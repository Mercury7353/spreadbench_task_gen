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escription" sheetId="1" state="visible" r:id="rId1"/>
    <sheet name="Model" sheetId="2" state="visible" r:id="rId2"/>
  </sheets>
  <definedNames>
    <definedName name="ZA0" localSheetId="1" hidden="0" function="0" vbProcedure="0">"Crystal Ball Data : Ver. 5.5"</definedName>
    <definedName name="ZA0A" localSheetId="1" hidden="0" function="0" vbProcedure="0">14+113</definedName>
    <definedName name="ZA0F" localSheetId="1" hidden="0" function="0" vbProcedure="0">3+102</definedName>
    <definedName name="ZA0T" localSheetId="1" hidden="0" function="0" vbProcedure="0">1182710+0</definedName>
    <definedName name="ZA100" localSheetId="1" hidden="0" function="0" vbProcedure="0">Model!$C$4+"bAnnual Gross Rent, first year"+33+180000+182400+200640</definedName>
    <definedName name="ZA101" localSheetId="1" hidden="0" function="0" vbProcedure="0">Model!$C$5+"bVacancy and Collection factor"+5+0.03+0.05+0.08</definedName>
    <definedName name="ZA102" localSheetId="1" hidden="0" function="0" vbProcedure="0">Model!$C$6+"bOperating Expenses, first year"+33+49986+55540+61094</definedName>
    <definedName name="ZA103" localSheetId="1" hidden="0" function="0" vbProcedure="0">Model!$C$7+"bAnnual % change in rent"+261+0.027+0.03+0.033</definedName>
    <definedName name="ZA104" localSheetId="1" hidden="0" function="0" vbProcedure="0">Model!$C$8+"bAnnual % change in expenses"+261+0.027+0.03+0.033</definedName>
    <definedName name="ZA105" localSheetId="1" hidden="0" function="0" vbProcedure="0">Model!$C$10+"aStated Annual Interest rate"+261+0.06+0.0075</definedName>
    <definedName name="ZA106" localSheetId="1" hidden="0" function="0" vbProcedure="0">Model!$C$13+"aCPI Annual Increase"+517+0.03+0.003</definedName>
    <definedName name="ZA107" localSheetId="1" hidden="0" function="0" vbProcedure="0">Model!$C$14+"aAfter tax, Real Discount rate"+517+0.08+0.008</definedName>
    <definedName name="ZA108" localSheetId="1" hidden="0" function="0" vbProcedure="0">Model!$C$15+"bCap Rate assumed at date of sale"+517+0.075+0.078+0.084</definedName>
    <definedName name="ZA109" localSheetId="1" hidden="0" function="0" vbProcedure="0">Model!$C$16+"bTransaction costs as % of sales price"+517+0.07+0.09+0.1</definedName>
    <definedName name="ZA110" localSheetId="1" hidden="0" function="0" vbProcedure="0">Model!$C$17+"aCap Rate at Purchase"+517+0.0906+0.00906</definedName>
    <definedName name="ZA111" localSheetId="1" hidden="0" function="0" vbProcedure="0">Model!$C$11+"bLoan Term (years)"+545+20+25+30</definedName>
    <definedName name="ZA112" localSheetId="1" hidden="0" function="0" vbProcedure="0">Model!$C$9+"bLoan to Value ratio"+261+0.6+0.75+0.8</definedName>
    <definedName name="ZA113" localSheetId="1" hidden="0" function="0" vbProcedure="0">Model!$C$12+"bPercent of price in improvements"+261+0.8+0.85+0.9</definedName>
    <definedName name="ZF100" localSheetId="1" hidden="0" function="0" vbProcedure="0">Model!$C$24+"Property Valuation"+""+553+553+473+595+558+888+1017+4+3+"-"+"+"+2.6+50+2+4+95+64977.9249448123+5+2+"-"+"+"+-1+-1+0</definedName>
    <definedName name="ZF101" localSheetId="1" hidden="0" function="0" vbProcedure="0">Model!$C$37+"NPV of Real Cash Flow"+""+33+33+473+309+1042+602+1501+4+3+"-"+"+"+2.6+50+2+4+95+8636.58943350135+5+2+"-"+"+"+-1+-1+0</definedName>
    <definedName name="ZF102" localSheetId="1" hidden="0" function="0" vbProcedure="0">Model!$C$38+"After Tax Real Internal Rate of Return:"+""+517+517+473+278+555+571+1014+4+3+"-"+"+"+2.6+50+2+4+95+0.00710586308806242+5+2+"-"+"+"+-1+-1+0</definedName>
    <definedName name="_xlnm.Print_Area" localSheetId="1">'Model'!$B$1:$O$89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#,##0_);\(#,##0\)"/>
    <numFmt numFmtId="165" formatCode="0.0%"/>
    <numFmt numFmtId="166" formatCode="_(\$* #,##0.00_);_(\$* \(#,##0.00\);_(\$* \-??_);_(@_)"/>
    <numFmt numFmtId="167" formatCode="\$#,##0.00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80"/>
      <sz val="1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i val="1"/>
      <sz val="8"/>
    </font>
    <font>
      <name val="Arial"/>
      <family val="2"/>
      <sz val="10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/>
      <right/>
      <top style="medium"/>
      <bottom style="thin"/>
      <diagonal/>
    </border>
    <border>
      <left/>
      <right/>
      <top style="medium"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6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 </author>
  </authors>
  <commentList>
    <comment ref="C4" authorId="0" shapeId="0">
      <text>
        <t>Assumption: Annual Gross Rent, first year
Triangular distribution
   Minimum 180,000
   Likeliest 182,400
   Maximum 200,640
Selected range is 
   from  180,000 to  200,640</t>
      </text>
    </comment>
    <comment ref="C5" authorId="0" shapeId="0">
      <text>
        <t>Assumption: Vacancy and Collection factor
Triangular distribution
   Minimum 3%
   Likeliest 5%
   Maximum 8%
Selected range is 
   from  3% to  8%</t>
      </text>
    </comment>
    <comment ref="C6" authorId="0" shapeId="0">
      <text>
        <t>Assumption: Operating Expenses, first year
Triangular distribution
   Minimum 49,986
   Likeliest 55,540
   Maximum 61,094
Selected range is 
   from  49,986 to  61,094</t>
      </text>
    </comment>
    <comment ref="C7" authorId="0" shapeId="0">
      <text>
        <t>Assumption: Annual % change in rent
Triangular distribution
   Minimum 2.7%
   Likeliest 3.0%
   Maximum 3.3%
Selected range is 
   from  2.7% to  3.3%</t>
      </text>
    </comment>
    <comment ref="C8" authorId="0" shapeId="0">
      <text>
        <t>Assumption: Annual % change in expenses
Triangular distribution
   Minimum 2.7%
   Likeliest 3.0%
   Maximum 3.3%
Selected range is 
   from  2.7% to  3.3%</t>
      </text>
    </comment>
    <comment ref="C9" authorId="0" shapeId="0">
      <text>
        <t>Assumption: Loan to Value ratio
Triangular distribution
   Minimum 60.0%
   Likeliest 75.0%
   Maximum 80.0%
Selected range is 
   from  60.0% to  80.0%</t>
      </text>
    </comment>
    <comment ref="C10" authorId="0" shapeId="0">
      <text>
        <t>Assumption: Stated Annual Interest rate
Normal distribution
   Mean 6.0%
   Standard Dev. 0.8%
Selected range is 
   from  -Infinity to  +Infinity</t>
      </text>
    </comment>
    <comment ref="C11" authorId="0" shapeId="0">
      <text>
        <t>Assumption: Loan Term (years)
Triangular distribution
   Minimum 20.00
   Likeliest 25.00
   Maximum 30.00
Selected range is 
   from  20.00 to  30.00</t>
      </text>
    </comment>
    <comment ref="B12" authorId="0" shapeId="0">
      <text>
        <t>William Ferrigno:
This is the percentage of the property that should be depreciated (land should not be depreciated).</t>
      </text>
    </comment>
    <comment ref="C12" authorId="0" shapeId="0">
      <text>
        <t>Assumption: Percent of price in improvements
Triangular distribution
   Minimum 80.0%
   Likeliest 85.0%
   Maximum 90.0%
Selected range is 
   from  80.0% to  90.0%</t>
      </text>
    </comment>
    <comment ref="C13" authorId="0" shapeId="0">
      <text>
        <t>Assumption: CPI Annual Increase
Normal distribution
   Mean 3.00%
   Standard Dev. 0.30%
Selected range is 
   from  -Infinity to  +Infinity</t>
      </text>
    </comment>
    <comment ref="C14" authorId="0" shapeId="0">
      <text>
        <t>Assumption: After tax, Real Discount rate
Normal distribution
   Mean 8.00%
   Standard Dev. 0.80%
Selected range is 
   from  -Infinity to  +Infinity</t>
      </text>
    </comment>
    <comment ref="C15" authorId="0" shapeId="0">
      <text>
        <t>Assumption: Cap Rate assumed at date of sale
Triangular distribution
   Minimum 7.50%
   Likeliest 7.80%
   Maximum 8.40%
Selected range is 
   from  7.50% to  8.40%</t>
      </text>
    </comment>
    <comment ref="C16" authorId="0" shapeId="0">
      <text>
        <t>Assumption: Transaction costs as % of sales price
Triangular distribution
   Minimum 7.00%
   Likeliest 9.00%
   Maximum 10.00%
Selected range is 
   from  7.00% to  10.00%</t>
      </text>
    </comment>
    <comment ref="C17" authorId="0" shapeId="0">
      <text>
        <t>Assumption: Cap Rate at Purchase
Normal distribution
   Mean 9.06%
   Standard Dev. 0.91%
Selected range is 
   from  -Infinity to  +Infinity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0" activeCellId="0" sqref="D10"/>
    </sheetView>
  </sheetViews>
  <sheetFormatPr baseColWidth="8" defaultColWidth="9.13671875" defaultRowHeight="12.75" zeroHeight="0" outlineLevelRow="0"/>
  <cols>
    <col width="9.130000000000001" customWidth="1" style="50" min="1" max="257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E4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6" activeCellId="0" sqref="I26"/>
    </sheetView>
  </sheetViews>
  <sheetFormatPr baseColWidth="8" defaultColWidth="9.0546875" defaultRowHeight="12.75" zeroHeight="0" outlineLevelRow="0"/>
  <cols>
    <col width="9.130000000000001" customWidth="1" style="50" min="1" max="1"/>
    <col width="46.09" customWidth="1" style="51" min="2" max="2"/>
    <col width="19.54" customWidth="1" style="51" min="3" max="3"/>
    <col width="9.27" customWidth="1" style="51" min="4" max="4"/>
    <col width="10.12" customWidth="1" style="51" min="5" max="15"/>
    <col width="17.26" customWidth="1" style="50" min="16" max="16"/>
    <col width="17.12" customWidth="1" style="50" min="17" max="17"/>
    <col width="14.12" customWidth="1" style="50" min="18" max="18"/>
    <col width="13.55" customWidth="1" style="50" min="19" max="19"/>
    <col width="13.69" customWidth="1" style="50" min="20" max="21"/>
    <col width="12.27" customWidth="1" style="50" min="22" max="31"/>
  </cols>
  <sheetData>
    <row r="1" ht="20.25" customFormat="1" customHeight="1" s="50">
      <c r="B1" s="52" t="inlineStr">
        <is>
          <t>Commercial Real Estate Valuation and Financial Feasibility</t>
        </is>
      </c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</row>
    <row r="2" ht="13.5" customFormat="1" customHeight="1" s="50"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</row>
    <row r="3" ht="13.5" customHeight="1" s="53">
      <c r="B3" s="54" t="inlineStr">
        <is>
          <t>ASSUMPTIONS</t>
        </is>
      </c>
      <c r="C3" s="55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0" t="n"/>
      <c r="O3" s="50" t="n"/>
    </row>
    <row r="4" ht="12.75" customHeight="1" s="53">
      <c r="A4" s="50" t="n"/>
      <c r="B4" s="57" t="inlineStr">
        <is>
          <t>Annual Gross Rent, first year</t>
        </is>
      </c>
      <c r="C4" s="58" t="n">
        <v>182400</v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AA4" s="50" t="n"/>
      <c r="AB4" s="50" t="n"/>
      <c r="AC4" s="50" t="n"/>
      <c r="AD4" s="50" t="n"/>
      <c r="AE4" s="50" t="n"/>
    </row>
    <row r="5" ht="12.75" customHeight="1" s="53">
      <c r="A5" s="50" t="n"/>
      <c r="B5" s="57" t="inlineStr">
        <is>
          <t>Vacancy and Collection factor</t>
        </is>
      </c>
      <c r="C5" s="59" t="n">
        <v>0.05</v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AA5" s="50" t="n"/>
      <c r="AB5" s="50" t="n"/>
      <c r="AC5" s="50" t="n"/>
      <c r="AD5" s="50" t="n"/>
      <c r="AE5" s="50" t="n"/>
    </row>
    <row r="6" ht="12.75" customHeight="1" s="53">
      <c r="A6" s="50" t="n"/>
      <c r="B6" s="57" t="inlineStr">
        <is>
          <t>Operating Expenses, first year</t>
        </is>
      </c>
      <c r="C6" s="60" t="n">
        <v>55540</v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AA6" s="50" t="n"/>
      <c r="AB6" s="50" t="n"/>
      <c r="AC6" s="50" t="n"/>
      <c r="AD6" s="50" t="n"/>
      <c r="AE6" s="50" t="n"/>
    </row>
    <row r="7" ht="12.75" customHeight="1" s="53">
      <c r="A7" s="50" t="n"/>
      <c r="B7" s="57" t="inlineStr">
        <is>
          <t>Annual % change in rent</t>
        </is>
      </c>
      <c r="C7" s="61" t="n">
        <v>0.03</v>
      </c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AA7" s="50" t="n"/>
      <c r="AB7" s="50" t="n"/>
      <c r="AC7" s="50" t="n"/>
      <c r="AD7" s="50" t="n"/>
      <c r="AE7" s="50" t="n"/>
    </row>
    <row r="8" ht="12.75" customHeight="1" s="53">
      <c r="A8" s="50" t="n"/>
      <c r="B8" s="57" t="inlineStr">
        <is>
          <t>Annual % change in expenses</t>
        </is>
      </c>
      <c r="C8" s="61" t="n">
        <v>0.03</v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AA8" s="50" t="n"/>
      <c r="AB8" s="50" t="n"/>
      <c r="AC8" s="50" t="n"/>
      <c r="AD8" s="50" t="n"/>
      <c r="AE8" s="50" t="n"/>
    </row>
    <row r="9" ht="12.75" customHeight="1" s="53">
      <c r="A9" s="50" t="n"/>
      <c r="B9" s="57" t="inlineStr">
        <is>
          <t>Loan to Value ratio</t>
        </is>
      </c>
      <c r="C9" s="61" t="n">
        <v>0.75</v>
      </c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AA9" s="50" t="n"/>
      <c r="AB9" s="50" t="n"/>
      <c r="AC9" s="50" t="n"/>
      <c r="AD9" s="50" t="n"/>
      <c r="AE9" s="50" t="n"/>
    </row>
    <row r="10" ht="12.75" customHeight="1" s="53">
      <c r="A10" s="50" t="n"/>
      <c r="B10" s="57" t="inlineStr">
        <is>
          <t>Stated Annual Interest rate</t>
        </is>
      </c>
      <c r="C10" s="61" t="n">
        <v>0.06</v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AA10" s="50" t="n"/>
      <c r="AB10" s="50" t="n"/>
      <c r="AC10" s="50" t="n"/>
      <c r="AD10" s="50" t="n"/>
      <c r="AE10" s="50" t="n"/>
    </row>
    <row r="11" ht="12.75" customHeight="1" s="53">
      <c r="A11" s="50" t="n"/>
      <c r="B11" s="57" t="inlineStr">
        <is>
          <t>Loan Term (years)</t>
        </is>
      </c>
      <c r="C11" s="62" t="n">
        <v>25</v>
      </c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AA11" s="50" t="n"/>
      <c r="AB11" s="50" t="n"/>
      <c r="AC11" s="50" t="n"/>
      <c r="AD11" s="50" t="n"/>
      <c r="AE11" s="50" t="n"/>
    </row>
    <row r="12" ht="12.75" customHeight="1" s="53">
      <c r="A12" s="50" t="n"/>
      <c r="B12" s="63" t="inlineStr">
        <is>
          <t>Percent of price in improvements</t>
        </is>
      </c>
      <c r="C12" s="61" t="n">
        <v>0.85</v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AA12" s="50" t="n"/>
      <c r="AB12" s="50" t="n"/>
      <c r="AC12" s="50" t="n"/>
      <c r="AD12" s="50" t="n"/>
      <c r="AE12" s="50" t="n"/>
    </row>
    <row r="13" ht="12.75" customHeight="1" s="53">
      <c r="A13" s="50" t="n"/>
      <c r="B13" s="57" t="inlineStr">
        <is>
          <t>CPI Annual Increase</t>
        </is>
      </c>
      <c r="C13" s="61" t="n">
        <v>0.03</v>
      </c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AA13" s="50" t="n"/>
      <c r="AB13" s="50" t="n"/>
      <c r="AC13" s="50" t="n"/>
      <c r="AD13" s="50" t="n"/>
      <c r="AE13" s="50" t="n"/>
    </row>
    <row r="14" ht="12.75" customHeight="1" s="53">
      <c r="A14" s="50" t="n"/>
      <c r="B14" s="57" t="inlineStr">
        <is>
          <t>After tax, Real Discount rate</t>
        </is>
      </c>
      <c r="C14" s="61" t="n">
        <v>0.08</v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AA14" s="50" t="n"/>
      <c r="AB14" s="50" t="n"/>
      <c r="AC14" s="50" t="n"/>
      <c r="AD14" s="50" t="n"/>
      <c r="AE14" s="50" t="n"/>
    </row>
    <row r="15" ht="12.75" customHeight="1" s="53">
      <c r="A15" s="50" t="n"/>
      <c r="B15" s="57" t="inlineStr">
        <is>
          <t>Cap Rate assumed at date of sale</t>
        </is>
      </c>
      <c r="C15" s="61" t="n">
        <v>0.08</v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AA15" s="50" t="n"/>
      <c r="AB15" s="50" t="n"/>
      <c r="AC15" s="50" t="n"/>
      <c r="AD15" s="50" t="n"/>
      <c r="AE15" s="50" t="n"/>
    </row>
    <row r="16" ht="12.75" customHeight="1" s="53">
      <c r="A16" s="50" t="n"/>
      <c r="B16" s="57" t="inlineStr">
        <is>
          <t>Transaction costs as % of sales price</t>
        </is>
      </c>
      <c r="C16" s="61" t="n">
        <v>0.09</v>
      </c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AA16" s="50" t="n"/>
      <c r="AB16" s="50" t="n"/>
      <c r="AC16" s="50" t="n"/>
      <c r="AD16" s="50" t="n"/>
      <c r="AE16" s="50" t="n"/>
    </row>
    <row r="17" ht="13.5" customHeight="1" s="53">
      <c r="A17" s="50" t="n"/>
      <c r="B17" s="57" t="inlineStr">
        <is>
          <t>Cap Rate at Purchase</t>
        </is>
      </c>
      <c r="C17" s="64" t="n">
        <v>0.0906</v>
      </c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AA17" s="50" t="n"/>
      <c r="AB17" s="50" t="n"/>
      <c r="AC17" s="50" t="n"/>
      <c r="AD17" s="50" t="n"/>
      <c r="AE17" s="50" t="n"/>
    </row>
    <row r="18" ht="13.5" customHeight="1" s="53">
      <c r="A18" s="50" t="n"/>
      <c r="B18" s="57" t="n"/>
      <c r="C18" s="6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AA18" s="50" t="n"/>
      <c r="AB18" s="50" t="n"/>
      <c r="AC18" s="50" t="n"/>
      <c r="AD18" s="50" t="n"/>
      <c r="AE18" s="50" t="n"/>
    </row>
    <row r="19" ht="12.75" customHeight="1" s="53">
      <c r="A19" s="50" t="n"/>
      <c r="B19" s="54" t="inlineStr">
        <is>
          <t>DEFINED VARIABLES</t>
        </is>
      </c>
      <c r="C19" s="54" t="n"/>
      <c r="D19" s="66" t="inlineStr">
        <is>
          <t>Source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AA19" s="50" t="n"/>
      <c r="AB19" s="50" t="n"/>
      <c r="AC19" s="50" t="n"/>
      <c r="AD19" s="50" t="n"/>
      <c r="AE19" s="50" t="n"/>
    </row>
    <row r="20" ht="12.75" customHeight="1" s="53">
      <c r="A20" s="50" t="n"/>
      <c r="B20" s="57" t="inlineStr">
        <is>
          <t>Recovery period (years)</t>
        </is>
      </c>
      <c r="C20" s="67" t="n">
        <v>39</v>
      </c>
      <c r="D20" s="68" t="inlineStr">
        <is>
          <t>Omnibus Budget Reconciliation Act of 1993</t>
        </is>
      </c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AA20" s="50" t="n"/>
      <c r="AB20" s="50" t="n"/>
      <c r="AC20" s="50" t="n"/>
      <c r="AD20" s="50" t="n"/>
      <c r="AE20" s="50" t="n"/>
    </row>
    <row r="21" ht="12.75" customHeight="1" s="53">
      <c r="A21" s="50" t="n"/>
      <c r="B21" s="57" t="inlineStr">
        <is>
          <t>Income tax rate (Corporate)</t>
        </is>
      </c>
      <c r="C21" s="69">
        <f>IF(E49&lt;50000,15%,IF(E49&lt;75000,25%,IF(E49&lt;100000,34%,IF(E49&lt;335000,39%,IF(E49&lt;10000000,34%,IF(E49&lt;15000000,35%,IF(E49&lt;18333333,38%,35%)))))))</f>
        <v/>
      </c>
      <c r="D21" s="68" t="inlineStr">
        <is>
          <t>IRS - Varies based on taxable income</t>
        </is>
      </c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AA21" s="50" t="n"/>
      <c r="AB21" s="50" t="n"/>
      <c r="AC21" s="50" t="n"/>
      <c r="AD21" s="50" t="n"/>
      <c r="AE21" s="50" t="n"/>
    </row>
    <row r="22" ht="12.75" customHeight="1" s="53">
      <c r="A22" s="50" t="n"/>
      <c r="B22" s="57" t="inlineStr">
        <is>
          <t>Capital Gains tax rate</t>
        </is>
      </c>
      <c r="C22" s="69">
        <f>IF(C21=15%,5%,15%)</f>
        <v/>
      </c>
      <c r="D22" s="68" t="inlineStr">
        <is>
          <t>IRS - Varies based on income tax bracket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AB22" s="50" t="n"/>
      <c r="AC22" s="50" t="n"/>
      <c r="AD22" s="50" t="n"/>
      <c r="AE22" s="50" t="n"/>
    </row>
    <row r="23" ht="13.5" customHeight="1" s="53">
      <c r="A23" s="50" t="n"/>
      <c r="B23" s="70" t="n"/>
      <c r="C23" s="71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AB23" s="50" t="n"/>
      <c r="AC23" s="50" t="n"/>
      <c r="AD23" s="50" t="n"/>
      <c r="AE23" s="50" t="n"/>
    </row>
    <row r="24" ht="13.5" customHeight="1" s="53">
      <c r="A24" s="50" t="n"/>
      <c r="B24" s="57" t="inlineStr">
        <is>
          <t>Property Valuation:</t>
        </is>
      </c>
      <c r="C24" s="72">
        <f>(E46/(C17*100))*100</f>
        <v/>
      </c>
      <c r="D24" s="73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AA24" s="50" t="n"/>
      <c r="AB24" s="50" t="n"/>
      <c r="AC24" s="50" t="n"/>
      <c r="AD24" s="50" t="n"/>
      <c r="AE24" s="50" t="n"/>
    </row>
    <row r="25" ht="13.5" customHeight="1" s="53">
      <c r="A25" s="50" t="n"/>
      <c r="B25" s="50" t="n"/>
      <c r="C25" s="74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AA25" s="50" t="n"/>
      <c r="AB25" s="50" t="n"/>
      <c r="AC25" s="50" t="n"/>
      <c r="AD25" s="50" t="n"/>
      <c r="AE25" s="50" t="n"/>
    </row>
    <row r="26" ht="12.75" customHeight="1" s="53">
      <c r="A26" s="50" t="n"/>
      <c r="B26" s="54" t="inlineStr">
        <is>
          <t>ECONOMIC VALUES, CALCULATED BY MODEL</t>
        </is>
      </c>
      <c r="C26" s="75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AA26" s="50" t="n"/>
      <c r="AB26" s="50" t="n"/>
      <c r="AC26" s="50" t="n"/>
      <c r="AD26" s="50" t="n"/>
      <c r="AE26" s="50" t="n"/>
    </row>
    <row r="27" ht="12.75" customHeight="1" s="53">
      <c r="A27" s="50" t="n"/>
      <c r="B27" s="57" t="inlineStr">
        <is>
          <t>Loan Amount</t>
        </is>
      </c>
      <c r="C27" s="76">
        <f>C9*C24</f>
        <v/>
      </c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AB27" s="50" t="n"/>
      <c r="AC27" s="50" t="n"/>
      <c r="AD27" s="50" t="n"/>
      <c r="AE27" s="50" t="n"/>
    </row>
    <row r="28" ht="12.75" customHeight="1" s="53">
      <c r="A28" s="50" t="n"/>
      <c r="B28" s="57" t="inlineStr">
        <is>
          <t>Equity Required</t>
        </is>
      </c>
      <c r="C28" s="76">
        <f>C24-C27</f>
        <v/>
      </c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AB28" s="50" t="n"/>
      <c r="AC28" s="50" t="n"/>
      <c r="AD28" s="50" t="n"/>
      <c r="AE28" s="50" t="n"/>
    </row>
    <row r="29" ht="12.75" customHeight="1" s="53">
      <c r="A29" s="50" t="n"/>
      <c r="B29" s="57" t="inlineStr">
        <is>
          <t>Mortgage Loan Constant</t>
        </is>
      </c>
      <c r="C29" s="73">
        <f>((C10)/((1-(1/(1+C10)^C11))))</f>
        <v/>
      </c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AB29" s="50" t="n"/>
      <c r="AC29" s="50" t="n"/>
      <c r="AD29" s="50" t="n"/>
      <c r="AE29" s="50" t="n"/>
    </row>
    <row r="30" ht="12.75" customHeight="1" s="53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3.5" customHeight="1" s="53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2.75" customHeight="1" s="53">
      <c r="A32" s="50" t="n"/>
      <c r="B32" s="54" t="inlineStr">
        <is>
          <t>DECISION ANALYSIS FACTORS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0" t="n"/>
      <c r="AE32" s="50" t="n"/>
    </row>
    <row r="33" ht="12.75" customHeight="1" s="53">
      <c r="A33" s="50" t="n"/>
      <c r="B33" s="50" t="n"/>
      <c r="C33" s="77" t="inlineStr">
        <is>
          <t>year</t>
        </is>
      </c>
      <c r="D33" s="78" t="n">
        <v>0</v>
      </c>
      <c r="E33" s="79" t="n">
        <v>1</v>
      </c>
      <c r="F33" s="79" t="n">
        <v>2</v>
      </c>
      <c r="G33" s="79" t="n">
        <v>3</v>
      </c>
      <c r="H33" s="79" t="n">
        <v>4</v>
      </c>
      <c r="I33" s="79" t="n">
        <v>5</v>
      </c>
      <c r="J33" s="79" t="n">
        <v>6</v>
      </c>
      <c r="K33" s="79" t="n">
        <v>7</v>
      </c>
      <c r="L33" s="79" t="n">
        <v>8</v>
      </c>
      <c r="M33" s="79" t="n">
        <v>9</v>
      </c>
      <c r="N33" s="79" t="n">
        <v>10</v>
      </c>
      <c r="O33" s="80" t="n">
        <v>11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50" t="n"/>
      <c r="AE33" s="50" t="n"/>
    </row>
    <row r="34" ht="12.75" customHeight="1" s="53">
      <c r="A34" s="50" t="n"/>
      <c r="B34" s="57" t="inlineStr">
        <is>
          <t>Real Cash Flow to Owner</t>
        </is>
      </c>
      <c r="C34" s="50" t="n"/>
      <c r="D34" s="76">
        <f>D67</f>
        <v/>
      </c>
      <c r="E34" s="76">
        <f>E67</f>
        <v/>
      </c>
      <c r="F34" s="76">
        <f>F67</f>
        <v/>
      </c>
      <c r="G34" s="76">
        <f>G67</f>
        <v/>
      </c>
      <c r="H34" s="76">
        <f>H67</f>
        <v/>
      </c>
      <c r="I34" s="76">
        <f>I67</f>
        <v/>
      </c>
      <c r="J34" s="76">
        <f>J67</f>
        <v/>
      </c>
      <c r="K34" s="76">
        <f>K67</f>
        <v/>
      </c>
      <c r="L34" s="76">
        <f>L67</f>
        <v/>
      </c>
      <c r="M34" s="76">
        <f>M67</f>
        <v/>
      </c>
      <c r="N34" s="76">
        <f>N67</f>
        <v/>
      </c>
      <c r="O34" s="82" t="n">
        <v>0</v>
      </c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  <c r="AD34" s="50" t="n"/>
      <c r="AE34" s="50" t="n"/>
    </row>
    <row r="35" ht="12.75" customHeight="1" s="53">
      <c r="A35" s="50" t="n"/>
      <c r="B35" s="57" t="inlineStr">
        <is>
          <t>Present Value of Real Cash Flow</t>
        </is>
      </c>
      <c r="C35" s="50" t="n"/>
      <c r="D35" s="76">
        <f>D34/((1+$C$14)^D33)</f>
        <v/>
      </c>
      <c r="E35" s="76">
        <f>E34/((1+$C$14)^E33)</f>
        <v/>
      </c>
      <c r="F35" s="76">
        <f>F34/((1+$C$14)^F33)</f>
        <v/>
      </c>
      <c r="G35" s="76">
        <f>G34/((1+$C$14)^G33)</f>
        <v/>
      </c>
      <c r="H35" s="76">
        <f>H34/((1+$C$14)^H33)</f>
        <v/>
      </c>
      <c r="I35" s="76">
        <f>I34/((1+$C$14)^I33)</f>
        <v/>
      </c>
      <c r="J35" s="76">
        <f>J34/((1+$C$14)^J33)</f>
        <v/>
      </c>
      <c r="K35" s="76">
        <f>K34/((1+$C$14)^K33)</f>
        <v/>
      </c>
      <c r="L35" s="76">
        <f>L34/((1+$C$14)^L33)</f>
        <v/>
      </c>
      <c r="M35" s="76">
        <f>M34/((1+$C$14)^M33)</f>
        <v/>
      </c>
      <c r="N35" s="76">
        <f>N34/((1+$C$14)^N33)</f>
        <v/>
      </c>
      <c r="O35" s="82">
        <f>O34/((1+$C$14)^O33)</f>
        <v/>
      </c>
      <c r="P35" s="50" t="n"/>
      <c r="Q35" s="50" t="n"/>
      <c r="AD35" s="50" t="n"/>
      <c r="AE35" s="50" t="n"/>
    </row>
    <row r="36" ht="13.5" customHeight="1" s="53">
      <c r="A36" s="50" t="n"/>
      <c r="B36" s="7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AD36" s="50" t="n"/>
      <c r="AE36" s="50" t="n"/>
    </row>
    <row r="37" ht="12.75" customHeight="1" s="53">
      <c r="A37" s="50" t="n"/>
      <c r="B37" s="57" t="inlineStr">
        <is>
          <t>NPV of Real Cash Flow:</t>
        </is>
      </c>
      <c r="C37" s="84">
        <f>SUM(D35:N35)</f>
        <v/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AD37" s="50" t="n"/>
      <c r="AE37" s="50" t="n"/>
    </row>
    <row r="38" ht="13.5" customHeight="1" s="53">
      <c r="A38" s="50" t="n"/>
      <c r="B38" s="57" t="inlineStr">
        <is>
          <t>After Tax Real Internal Rate of Return:</t>
        </is>
      </c>
      <c r="C38" s="85">
        <f>IRR(D34:N34,C10)</f>
        <v/>
      </c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AD38" s="50" t="n"/>
      <c r="AE38" s="50" t="n"/>
    </row>
    <row r="39" ht="13.5" customHeight="1" s="53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AD39" s="50" t="n"/>
      <c r="AE39" s="50" t="n"/>
    </row>
    <row r="40" ht="12.75" customHeight="1" s="53">
      <c r="A40" s="50" t="n"/>
      <c r="B40" s="54" t="inlineStr">
        <is>
          <t>PROFORMA INCOME STATEMENT</t>
        </is>
      </c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0" t="n"/>
      <c r="Q40" s="50" t="n"/>
      <c r="AD40" s="50" t="n"/>
      <c r="AE40" s="50" t="n"/>
    </row>
    <row r="41" ht="12.75" customFormat="1" customHeight="1" s="50">
      <c r="A41" s="50" t="n"/>
      <c r="B41" s="50" t="n"/>
      <c r="C41" s="77" t="inlineStr">
        <is>
          <t>year</t>
        </is>
      </c>
      <c r="D41" s="78" t="n">
        <v>0</v>
      </c>
      <c r="E41" s="79" t="n">
        <v>1</v>
      </c>
      <c r="F41" s="79" t="n">
        <v>2</v>
      </c>
      <c r="G41" s="79" t="n">
        <v>3</v>
      </c>
      <c r="H41" s="79" t="n">
        <v>4</v>
      </c>
      <c r="I41" s="79" t="n">
        <v>5</v>
      </c>
      <c r="J41" s="79" t="n">
        <v>6</v>
      </c>
      <c r="K41" s="79" t="n">
        <v>7</v>
      </c>
      <c r="L41" s="79" t="n">
        <v>8</v>
      </c>
      <c r="M41" s="79" t="n">
        <v>9</v>
      </c>
      <c r="N41" s="79" t="n">
        <v>10</v>
      </c>
      <c r="O41" s="80" t="n">
        <v>11</v>
      </c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</row>
    <row r="42" ht="12.75" customFormat="1" customHeight="1" s="50">
      <c r="A42" s="50" t="n"/>
      <c r="B42" s="57" t="inlineStr">
        <is>
          <t>Annual Gross Rental Income</t>
        </is>
      </c>
      <c r="C42" s="50" t="n"/>
      <c r="D42" s="86" t="inlineStr">
        <is>
          <t>na</t>
        </is>
      </c>
      <c r="E42" s="76">
        <f>C4</f>
        <v/>
      </c>
      <c r="F42" s="87">
        <f>E42*(1+$C$7)</f>
        <v/>
      </c>
      <c r="G42" s="87">
        <f>F42*(1+$C$7)</f>
        <v/>
      </c>
      <c r="H42" s="87">
        <f>G42*(1+$C$7)</f>
        <v/>
      </c>
      <c r="I42" s="87">
        <f>H42*(1+$C$7)</f>
        <v/>
      </c>
      <c r="J42" s="87">
        <f>I42*(1+$C$7)</f>
        <v/>
      </c>
      <c r="K42" s="87">
        <f>J42*(1+$C$7)</f>
        <v/>
      </c>
      <c r="L42" s="87">
        <f>K42*(1+$C$7)</f>
        <v/>
      </c>
      <c r="M42" s="87">
        <f>L42*(1+$C$7)</f>
        <v/>
      </c>
      <c r="N42" s="87">
        <f>M42*(1+$C$7)</f>
        <v/>
      </c>
      <c r="O42" s="88">
        <f>N42*(1+$C$7)</f>
        <v/>
      </c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</row>
    <row r="43" ht="12.75" customFormat="1" customHeight="1" s="50">
      <c r="A43" s="50" t="n"/>
      <c r="B43" s="57" t="inlineStr">
        <is>
          <t>Vacancy and Collection Losses</t>
        </is>
      </c>
      <c r="C43" s="50" t="n"/>
      <c r="D43" s="86" t="inlineStr">
        <is>
          <t>na</t>
        </is>
      </c>
      <c r="E43" s="87">
        <f>-(E42*$C$5)</f>
        <v/>
      </c>
      <c r="F43" s="87">
        <f>-(F42*$C$5)</f>
        <v/>
      </c>
      <c r="G43" s="87">
        <f>-(G42*$C$5)</f>
        <v/>
      </c>
      <c r="H43" s="87">
        <f>-(H42*$C$5)</f>
        <v/>
      </c>
      <c r="I43" s="87">
        <f>-(I42*$C$5)</f>
        <v/>
      </c>
      <c r="J43" s="87">
        <f>-(J42*$C$5)</f>
        <v/>
      </c>
      <c r="K43" s="87">
        <f>-(K42*$C$5)</f>
        <v/>
      </c>
      <c r="L43" s="87">
        <f>-(L42*$C$5)</f>
        <v/>
      </c>
      <c r="M43" s="87">
        <f>-(M42*$C$5)</f>
        <v/>
      </c>
      <c r="N43" s="87">
        <f>-(N42*$C$5)</f>
        <v/>
      </c>
      <c r="O43" s="88">
        <f>-(O42*$C$5)</f>
        <v/>
      </c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</row>
    <row r="44" ht="12.75" customFormat="1" customHeight="1" s="50">
      <c r="A44" s="50" t="n"/>
      <c r="B44" s="57" t="inlineStr">
        <is>
          <t>Effective Rental</t>
        </is>
      </c>
      <c r="C44" s="50" t="n"/>
      <c r="D44" s="86" t="inlineStr">
        <is>
          <t>na</t>
        </is>
      </c>
      <c r="E44" s="76">
        <f>E42+E43</f>
        <v/>
      </c>
      <c r="F44" s="76">
        <f>F42+F43</f>
        <v/>
      </c>
      <c r="G44" s="76">
        <f>G42+G43</f>
        <v/>
      </c>
      <c r="H44" s="76">
        <f>H42+H43</f>
        <v/>
      </c>
      <c r="I44" s="76">
        <f>I42+I43</f>
        <v/>
      </c>
      <c r="J44" s="76">
        <f>J42+J43</f>
        <v/>
      </c>
      <c r="K44" s="76">
        <f>K42+K43</f>
        <v/>
      </c>
      <c r="L44" s="76">
        <f>L42+L43</f>
        <v/>
      </c>
      <c r="M44" s="76">
        <f>M42+M43</f>
        <v/>
      </c>
      <c r="N44" s="76">
        <f>N42+N43</f>
        <v/>
      </c>
      <c r="O44" s="90">
        <f>O42+O43</f>
        <v/>
      </c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83" t="n"/>
      <c r="AA44" s="83" t="n"/>
      <c r="AB44" s="83" t="n"/>
      <c r="AC44" s="83" t="n"/>
    </row>
    <row r="45" ht="12.75" customFormat="1" customHeight="1" s="50">
      <c r="A45" s="50" t="n"/>
      <c r="B45" s="57" t="inlineStr">
        <is>
          <t>Operating Expenses</t>
        </is>
      </c>
      <c r="C45" s="50" t="n"/>
      <c r="D45" s="86" t="inlineStr">
        <is>
          <t>na</t>
        </is>
      </c>
      <c r="E45" s="76" t="n">
        <v>-55540</v>
      </c>
      <c r="F45" s="87">
        <f>E45*(1+$C$8)</f>
        <v/>
      </c>
      <c r="G45" s="87">
        <f>F45*(1+$C$8)</f>
        <v/>
      </c>
      <c r="H45" s="87">
        <f>G45*(1+$C$8)</f>
        <v/>
      </c>
      <c r="I45" s="87">
        <f>H45*(1+$C$8)</f>
        <v/>
      </c>
      <c r="J45" s="87">
        <f>I45*(1+$C$8)</f>
        <v/>
      </c>
      <c r="K45" s="87">
        <f>J45*(1+$C$8)</f>
        <v/>
      </c>
      <c r="L45" s="87">
        <f>K45*(1+$C$8)</f>
        <v/>
      </c>
      <c r="M45" s="87">
        <f>L45*(1+$C$8)</f>
        <v/>
      </c>
      <c r="N45" s="87">
        <f>M45*(1+$C$8)</f>
        <v/>
      </c>
      <c r="O45" s="88">
        <f>N45*(1+$C$8)</f>
        <v/>
      </c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</row>
    <row r="46" ht="12.75" customFormat="1" customHeight="1" s="50">
      <c r="A46" s="50" t="n"/>
      <c r="B46" s="57" t="inlineStr">
        <is>
          <t>Net Operating Income</t>
        </is>
      </c>
      <c r="C46" s="50" t="n"/>
      <c r="D46" s="86" t="inlineStr">
        <is>
          <t>na</t>
        </is>
      </c>
      <c r="E46" s="76">
        <f>SUM(E44:E45)</f>
        <v/>
      </c>
      <c r="F46" s="76">
        <f>SUM(F44:F45)</f>
        <v/>
      </c>
      <c r="G46" s="76">
        <f>SUM(G44:G45)</f>
        <v/>
      </c>
      <c r="H46" s="76">
        <f>SUM(H44:H45)</f>
        <v/>
      </c>
      <c r="I46" s="76">
        <f>SUM(I44:I45)</f>
        <v/>
      </c>
      <c r="J46" s="76">
        <f>SUM(J44:J45)</f>
        <v/>
      </c>
      <c r="K46" s="76">
        <f>SUM(K44:K45)</f>
        <v/>
      </c>
      <c r="L46" s="76">
        <f>SUM(L44:L45)</f>
        <v/>
      </c>
      <c r="M46" s="76">
        <f>SUM(M44:M45)</f>
        <v/>
      </c>
      <c r="N46" s="76">
        <f>SUM(N44:N45)</f>
        <v/>
      </c>
      <c r="O46" s="90">
        <f>SUM(O44:O45)</f>
        <v/>
      </c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83" t="n"/>
      <c r="AA46" s="83" t="n"/>
      <c r="AB46" s="83" t="n"/>
      <c r="AC46" s="83" t="n"/>
    </row>
    <row r="47" ht="12.75" customFormat="1" customHeight="1" s="50">
      <c r="A47" s="50" t="n"/>
      <c r="B47" s="57" t="inlineStr">
        <is>
          <t>Interest Expense</t>
        </is>
      </c>
      <c r="C47" s="50" t="n"/>
      <c r="D47" s="86" t="inlineStr">
        <is>
          <t>na</t>
        </is>
      </c>
      <c r="E47" s="76">
        <f>E74</f>
        <v/>
      </c>
      <c r="F47" s="76">
        <f>F74</f>
        <v/>
      </c>
      <c r="G47" s="76">
        <f>G74</f>
        <v/>
      </c>
      <c r="H47" s="76">
        <f>H74</f>
        <v/>
      </c>
      <c r="I47" s="76">
        <f>I74</f>
        <v/>
      </c>
      <c r="J47" s="76">
        <f>J74</f>
        <v/>
      </c>
      <c r="K47" s="76">
        <f>K74</f>
        <v/>
      </c>
      <c r="L47" s="76">
        <f>L74</f>
        <v/>
      </c>
      <c r="M47" s="76">
        <f>M74</f>
        <v/>
      </c>
      <c r="N47" s="76">
        <f>N74</f>
        <v/>
      </c>
      <c r="O47" s="90">
        <f>O74</f>
        <v/>
      </c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  <c r="AA47" s="83" t="n"/>
      <c r="AB47" s="83" t="n"/>
      <c r="AC47" s="83" t="n"/>
    </row>
    <row r="48" ht="12.75" customFormat="1" customHeight="1" s="50">
      <c r="A48" s="50" t="n"/>
      <c r="B48" s="57" t="inlineStr">
        <is>
          <t>Depreciation (cost recovery)</t>
        </is>
      </c>
      <c r="C48" s="50" t="n"/>
      <c r="D48" s="86" t="inlineStr">
        <is>
          <t>na</t>
        </is>
      </c>
      <c r="E48" s="87">
        <f>(C24*C12)/-C20</f>
        <v/>
      </c>
      <c r="F48" s="76">
        <f>E48</f>
        <v/>
      </c>
      <c r="G48" s="76">
        <f>F48</f>
        <v/>
      </c>
      <c r="H48" s="76">
        <f>G48</f>
        <v/>
      </c>
      <c r="I48" s="76">
        <f>H48</f>
        <v/>
      </c>
      <c r="J48" s="76">
        <f>I48</f>
        <v/>
      </c>
      <c r="K48" s="76">
        <f>J48</f>
        <v/>
      </c>
      <c r="L48" s="76">
        <f>K48</f>
        <v/>
      </c>
      <c r="M48" s="76">
        <f>L48</f>
        <v/>
      </c>
      <c r="N48" s="76">
        <f>M48</f>
        <v/>
      </c>
      <c r="O48" s="90">
        <f>N48</f>
        <v/>
      </c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3" t="n"/>
      <c r="AA48" s="83" t="n"/>
      <c r="AB48" s="83" t="n"/>
      <c r="AC48" s="83" t="n"/>
    </row>
    <row r="49" ht="12.75" customFormat="1" customHeight="1" s="50">
      <c r="A49" s="50" t="n"/>
      <c r="B49" s="57" t="inlineStr">
        <is>
          <t>Taxable Income</t>
        </is>
      </c>
      <c r="C49" s="50" t="n"/>
      <c r="D49" s="86" t="inlineStr">
        <is>
          <t>na</t>
        </is>
      </c>
      <c r="E49" s="76">
        <f>E46+E47+E48</f>
        <v/>
      </c>
      <c r="F49" s="76">
        <f>F46+F47+F48</f>
        <v/>
      </c>
      <c r="G49" s="76">
        <f>G46+G47+G48</f>
        <v/>
      </c>
      <c r="H49" s="76">
        <f>H46+H47+H48</f>
        <v/>
      </c>
      <c r="I49" s="76">
        <f>I46+I47+I48</f>
        <v/>
      </c>
      <c r="J49" s="76">
        <f>J46+J47+J48</f>
        <v/>
      </c>
      <c r="K49" s="76">
        <f>K46+K47+K48</f>
        <v/>
      </c>
      <c r="L49" s="76">
        <f>L46+L47+L48</f>
        <v/>
      </c>
      <c r="M49" s="76">
        <f>M46+M47+M48</f>
        <v/>
      </c>
      <c r="N49" s="76">
        <f>N46+N47+N48</f>
        <v/>
      </c>
      <c r="O49" s="90">
        <f>O46+O47+O48</f>
        <v/>
      </c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  <c r="AA49" s="83" t="n"/>
      <c r="AB49" s="83" t="n"/>
      <c r="AC49" s="83" t="n"/>
    </row>
    <row r="50" ht="12.75" customFormat="1" customHeight="1" s="50">
      <c r="A50" s="50" t="n"/>
      <c r="B50" s="57" t="inlineStr">
        <is>
          <t>Income Tax Liability</t>
        </is>
      </c>
      <c r="C50" s="50" t="n"/>
      <c r="D50" s="86" t="inlineStr">
        <is>
          <t>na</t>
        </is>
      </c>
      <c r="E50" s="87">
        <f>($C$21*-E49)</f>
        <v/>
      </c>
      <c r="F50" s="87">
        <f>($C$21*-F49)</f>
        <v/>
      </c>
      <c r="G50" s="87">
        <f>($C$21*-G49)</f>
        <v/>
      </c>
      <c r="H50" s="87">
        <f>($C$21*-H49)</f>
        <v/>
      </c>
      <c r="I50" s="87">
        <f>($C$21*-I49)</f>
        <v/>
      </c>
      <c r="J50" s="87">
        <f>($C$21*-J49)</f>
        <v/>
      </c>
      <c r="K50" s="87">
        <f>($C$21*-K49)</f>
        <v/>
      </c>
      <c r="L50" s="87">
        <f>($C$21*-L49)</f>
        <v/>
      </c>
      <c r="M50" s="87">
        <f>($C$21*-M49)</f>
        <v/>
      </c>
      <c r="N50" s="87">
        <f>($C$21*-N49)</f>
        <v/>
      </c>
      <c r="O50" s="88">
        <f>($C$21*-O49)</f>
        <v/>
      </c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</row>
    <row r="51" ht="12.75" customFormat="1" customHeight="1" s="50">
      <c r="A51" s="50" t="n"/>
      <c r="B51" s="57" t="inlineStr">
        <is>
          <t>Net Income After Tax</t>
        </is>
      </c>
      <c r="C51" s="50" t="n"/>
      <c r="D51" s="86" t="inlineStr">
        <is>
          <t>na</t>
        </is>
      </c>
      <c r="E51" s="76">
        <f>E49+E50</f>
        <v/>
      </c>
      <c r="F51" s="76">
        <f>F49+F50</f>
        <v/>
      </c>
      <c r="G51" s="76">
        <f>G49+G50</f>
        <v/>
      </c>
      <c r="H51" s="76">
        <f>H49+H50</f>
        <v/>
      </c>
      <c r="I51" s="76">
        <f>I49+I50</f>
        <v/>
      </c>
      <c r="J51" s="76">
        <f>J49+J50</f>
        <v/>
      </c>
      <c r="K51" s="76">
        <f>K49+K50</f>
        <v/>
      </c>
      <c r="L51" s="76">
        <f>L49+L50</f>
        <v/>
      </c>
      <c r="M51" s="76">
        <f>M49+M50</f>
        <v/>
      </c>
      <c r="N51" s="76">
        <f>N49+N50</f>
        <v/>
      </c>
      <c r="O51" s="90">
        <f>O49+O50</f>
        <v/>
      </c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83" t="n"/>
      <c r="AA51" s="83" t="n"/>
      <c r="AB51" s="83" t="n"/>
      <c r="AC51" s="83" t="n"/>
    </row>
    <row r="52" ht="12.75" customFormat="1" customHeight="1" s="50">
      <c r="A52" s="50" t="n"/>
      <c r="B52" s="50" t="n"/>
      <c r="C52" s="50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</row>
    <row r="53" ht="13.5" customFormat="1" customHeight="1" s="50">
      <c r="A53" s="50" t="n"/>
      <c r="B53" s="50" t="n"/>
      <c r="C53" s="50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</row>
    <row r="54" ht="12.75" customHeight="1" s="53">
      <c r="A54" s="50" t="n"/>
      <c r="B54" s="54" t="inlineStr">
        <is>
          <t>PROFORMA CASH FLOW STATEMENT</t>
        </is>
      </c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0" t="n"/>
      <c r="Q54" s="50" t="n"/>
      <c r="AD54" s="50" t="n"/>
      <c r="AE54" s="50" t="n"/>
    </row>
    <row r="55" ht="12.75" customFormat="1" customHeight="1" s="50">
      <c r="A55" s="50" t="n"/>
      <c r="B55" s="50" t="n"/>
      <c r="C55" s="77" t="inlineStr">
        <is>
          <t>year</t>
        </is>
      </c>
      <c r="D55" s="78" t="n">
        <v>0</v>
      </c>
      <c r="E55" s="79" t="n">
        <v>1</v>
      </c>
      <c r="F55" s="79" t="n">
        <v>2</v>
      </c>
      <c r="G55" s="79" t="n">
        <v>3</v>
      </c>
      <c r="H55" s="79" t="n">
        <v>4</v>
      </c>
      <c r="I55" s="79" t="n">
        <v>5</v>
      </c>
      <c r="J55" s="79" t="n">
        <v>6</v>
      </c>
      <c r="K55" s="79" t="n">
        <v>7</v>
      </c>
      <c r="L55" s="79" t="n">
        <v>8</v>
      </c>
      <c r="M55" s="79" t="n">
        <v>9</v>
      </c>
      <c r="N55" s="79" t="n">
        <v>10</v>
      </c>
      <c r="O55" s="80" t="n">
        <v>11</v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</row>
    <row r="56" ht="12.75" customFormat="1" customHeight="1" s="50">
      <c r="A56" s="50" t="n"/>
      <c r="B56" s="57" t="inlineStr">
        <is>
          <t>Annual Gross Rental Income</t>
        </is>
      </c>
      <c r="C56" s="50" t="n"/>
      <c r="D56" s="86" t="inlineStr">
        <is>
          <t>na</t>
        </is>
      </c>
      <c r="E56" s="76">
        <f>E42</f>
        <v/>
      </c>
      <c r="F56" s="76">
        <f>F42</f>
        <v/>
      </c>
      <c r="G56" s="76">
        <f>G42</f>
        <v/>
      </c>
      <c r="H56" s="76">
        <f>H42</f>
        <v/>
      </c>
      <c r="I56" s="76">
        <f>I42</f>
        <v/>
      </c>
      <c r="J56" s="76">
        <f>J42</f>
        <v/>
      </c>
      <c r="K56" s="76">
        <f>K42</f>
        <v/>
      </c>
      <c r="L56" s="76">
        <f>L42</f>
        <v/>
      </c>
      <c r="M56" s="76">
        <f>M42</f>
        <v/>
      </c>
      <c r="N56" s="76">
        <f>N42</f>
        <v/>
      </c>
      <c r="O56" s="90">
        <f>O42</f>
        <v/>
      </c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 ht="12.75" customFormat="1" customHeight="1" s="50">
      <c r="A57" s="50" t="n"/>
      <c r="B57" s="57" t="inlineStr">
        <is>
          <t>Vacancy and Collection Loses</t>
        </is>
      </c>
      <c r="C57" s="50" t="n"/>
      <c r="D57" s="86" t="inlineStr">
        <is>
          <t>na</t>
        </is>
      </c>
      <c r="E57" s="76">
        <f>E43</f>
        <v/>
      </c>
      <c r="F57" s="76">
        <f>F43</f>
        <v/>
      </c>
      <c r="G57" s="76">
        <f>G43</f>
        <v/>
      </c>
      <c r="H57" s="76">
        <f>H43</f>
        <v/>
      </c>
      <c r="I57" s="76">
        <f>I43</f>
        <v/>
      </c>
      <c r="J57" s="76">
        <f>J43</f>
        <v/>
      </c>
      <c r="K57" s="76">
        <f>K43</f>
        <v/>
      </c>
      <c r="L57" s="76">
        <f>L43</f>
        <v/>
      </c>
      <c r="M57" s="76">
        <f>M43</f>
        <v/>
      </c>
      <c r="N57" s="76">
        <f>N43</f>
        <v/>
      </c>
      <c r="O57" s="90">
        <f>O43</f>
        <v/>
      </c>
      <c r="P57" s="83" t="n"/>
      <c r="Q57" s="83" t="n"/>
      <c r="R57" s="83" t="n"/>
      <c r="S57" s="83" t="n"/>
      <c r="T57" s="83" t="n"/>
      <c r="U57" s="83" t="n"/>
      <c r="V57" s="83" t="n"/>
      <c r="W57" s="83" t="n"/>
      <c r="X57" s="83" t="n"/>
      <c r="Y57" s="83" t="n"/>
      <c r="Z57" s="83" t="n"/>
      <c r="AA57" s="83" t="n"/>
      <c r="AB57" s="83" t="n"/>
      <c r="AC57" s="83" t="n"/>
    </row>
    <row r="58" ht="12.75" customFormat="1" customHeight="1" s="50">
      <c r="A58" s="50" t="n"/>
      <c r="B58" s="57" t="inlineStr">
        <is>
          <t>Effective Rental</t>
        </is>
      </c>
      <c r="C58" s="50" t="n"/>
      <c r="D58" s="86" t="inlineStr">
        <is>
          <t>na</t>
        </is>
      </c>
      <c r="E58" s="76">
        <f>E44</f>
        <v/>
      </c>
      <c r="F58" s="76">
        <f>F44</f>
        <v/>
      </c>
      <c r="G58" s="76">
        <f>G44</f>
        <v/>
      </c>
      <c r="H58" s="76">
        <f>H44</f>
        <v/>
      </c>
      <c r="I58" s="76">
        <f>I44</f>
        <v/>
      </c>
      <c r="J58" s="76">
        <f>J44</f>
        <v/>
      </c>
      <c r="K58" s="76">
        <f>K44</f>
        <v/>
      </c>
      <c r="L58" s="76">
        <f>L44</f>
        <v/>
      </c>
      <c r="M58" s="76">
        <f>M44</f>
        <v/>
      </c>
      <c r="N58" s="76">
        <f>N44</f>
        <v/>
      </c>
      <c r="O58" s="90">
        <f>O44</f>
        <v/>
      </c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3" t="n"/>
      <c r="AA58" s="83" t="n"/>
      <c r="AB58" s="83" t="n"/>
      <c r="AC58" s="83" t="n"/>
    </row>
    <row r="59" ht="12.75" customFormat="1" customHeight="1" s="50">
      <c r="A59" s="50" t="n"/>
      <c r="B59" s="57" t="inlineStr">
        <is>
          <t>Operating Expenses</t>
        </is>
      </c>
      <c r="C59" s="50" t="n"/>
      <c r="D59" s="86" t="inlineStr">
        <is>
          <t>na</t>
        </is>
      </c>
      <c r="E59" s="76" t="n">
        <v>-55540</v>
      </c>
      <c r="F59" s="87">
        <f>E59*(1+$C$8)</f>
        <v/>
      </c>
      <c r="G59" s="87">
        <f>F59*(1+$C$8)</f>
        <v/>
      </c>
      <c r="H59" s="87">
        <f>G59*(1+$C$8)</f>
        <v/>
      </c>
      <c r="I59" s="87">
        <f>H59*(1+$C$8)</f>
        <v/>
      </c>
      <c r="J59" s="87">
        <f>I59*(1+$C$8)</f>
        <v/>
      </c>
      <c r="K59" s="87">
        <f>J59*(1+$C$8)</f>
        <v/>
      </c>
      <c r="L59" s="87">
        <f>K59*(1+$C$8)</f>
        <v/>
      </c>
      <c r="M59" s="87">
        <f>L59*(1+$C$8)</f>
        <v/>
      </c>
      <c r="N59" s="87">
        <f>M59*(1+$C$8)</f>
        <v/>
      </c>
      <c r="O59" s="88">
        <f>N59*(1+$C$8)</f>
        <v/>
      </c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  <c r="AA59" s="83" t="n"/>
      <c r="AB59" s="83" t="n"/>
      <c r="AC59" s="83" t="n"/>
    </row>
    <row r="60" ht="12.75" customFormat="1" customHeight="1" s="50">
      <c r="A60" s="50" t="n"/>
      <c r="B60" s="57" t="inlineStr">
        <is>
          <t>Net Operating Income</t>
        </is>
      </c>
      <c r="C60" s="50" t="n"/>
      <c r="D60" s="86" t="inlineStr">
        <is>
          <t>na</t>
        </is>
      </c>
      <c r="E60" s="76">
        <f>SUM(E58:E59)</f>
        <v/>
      </c>
      <c r="F60" s="76" t="n">
        <v>127443.6224642</v>
      </c>
      <c r="G60" s="76">
        <f>SUM(G58:G59)</f>
        <v/>
      </c>
      <c r="H60" s="76">
        <f>SUM(H58:H59)</f>
        <v/>
      </c>
      <c r="I60" s="76">
        <f>SUM(I58:I59)</f>
        <v/>
      </c>
      <c r="J60" s="76">
        <f>SUM(J58:J59)</f>
        <v/>
      </c>
      <c r="K60" s="76">
        <f>SUM(K58:K59)</f>
        <v/>
      </c>
      <c r="L60" s="76">
        <f>SUM(L58:L59)</f>
        <v/>
      </c>
      <c r="M60" s="76">
        <f>SUM(M58:M59)</f>
        <v/>
      </c>
      <c r="N60" s="76">
        <f>SUM(N58:N59)</f>
        <v/>
      </c>
      <c r="O60" s="90">
        <f>SUM(O58:O59)</f>
        <v/>
      </c>
      <c r="P60" s="83" t="n"/>
      <c r="Q60" s="83" t="n"/>
      <c r="R60" s="83" t="n"/>
      <c r="S60" s="83" t="n"/>
      <c r="T60" s="83" t="n"/>
      <c r="U60" s="83" t="n"/>
      <c r="V60" s="83" t="n"/>
      <c r="W60" s="83" t="n"/>
      <c r="X60" s="83" t="n"/>
      <c r="Y60" s="83" t="n"/>
      <c r="Z60" s="83" t="n"/>
      <c r="AA60" s="83" t="n"/>
      <c r="AB60" s="83" t="n"/>
      <c r="AC60" s="83" t="n"/>
    </row>
    <row r="61" ht="12.75" customFormat="1" customHeight="1" s="50">
      <c r="A61" s="50" t="n"/>
      <c r="B61" s="57" t="inlineStr">
        <is>
          <t>Debt Service</t>
        </is>
      </c>
      <c r="C61" s="50" t="n"/>
      <c r="D61" s="86" t="inlineStr">
        <is>
          <t>na</t>
        </is>
      </c>
      <c r="E61" s="76">
        <f>(-E73)</f>
        <v/>
      </c>
      <c r="F61" s="76" t="n">
        <v>94731.8503068155</v>
      </c>
      <c r="G61" s="76">
        <f>F61</f>
        <v/>
      </c>
      <c r="H61" s="76">
        <f>G61</f>
        <v/>
      </c>
      <c r="I61" s="76">
        <f>H61</f>
        <v/>
      </c>
      <c r="J61" s="76">
        <f>I61</f>
        <v/>
      </c>
      <c r="K61" s="76">
        <f>J61</f>
        <v/>
      </c>
      <c r="L61" s="76">
        <f>K61</f>
        <v/>
      </c>
      <c r="M61" s="76">
        <f>L61</f>
        <v/>
      </c>
      <c r="N61" s="76">
        <f>M61</f>
        <v/>
      </c>
      <c r="O61" s="92" t="inlineStr">
        <is>
          <t>na</t>
        </is>
      </c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  <c r="AA61" s="83" t="n"/>
      <c r="AB61" s="83" t="n"/>
      <c r="AC61" s="83" t="n"/>
    </row>
    <row r="62" ht="12.75" customFormat="1" customHeight="1" s="50">
      <c r="A62" s="50" t="n"/>
      <c r="B62" s="57" t="inlineStr">
        <is>
          <t>Income Tax Liability</t>
        </is>
      </c>
      <c r="C62" s="50" t="n"/>
      <c r="D62" s="86" t="inlineStr">
        <is>
          <t>na</t>
        </is>
      </c>
      <c r="E62" s="87">
        <f>E50</f>
        <v/>
      </c>
      <c r="F62" s="87">
        <f>F50</f>
        <v/>
      </c>
      <c r="G62" s="87">
        <f>G50</f>
        <v/>
      </c>
      <c r="H62" s="87">
        <f>H50</f>
        <v/>
      </c>
      <c r="I62" s="87">
        <f>I50</f>
        <v/>
      </c>
      <c r="J62" s="87">
        <f>J50</f>
        <v/>
      </c>
      <c r="K62" s="87">
        <f>K50</f>
        <v/>
      </c>
      <c r="L62" s="87">
        <f>L50</f>
        <v/>
      </c>
      <c r="M62" s="87">
        <f>M50</f>
        <v/>
      </c>
      <c r="N62" s="87">
        <f>N50</f>
        <v/>
      </c>
      <c r="O62" s="92" t="inlineStr">
        <is>
          <t>na</t>
        </is>
      </c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</row>
    <row r="63" ht="12.75" customFormat="1" customHeight="1" s="50">
      <c r="A63" s="50" t="n"/>
      <c r="B63" s="57" t="inlineStr">
        <is>
          <t>Equity Dividend (cash to owner)</t>
        </is>
      </c>
      <c r="C63" s="50" t="n"/>
      <c r="D63" s="86" t="inlineStr">
        <is>
          <t>na</t>
        </is>
      </c>
      <c r="E63" s="76">
        <f>E60+E61+E62</f>
        <v/>
      </c>
      <c r="F63" s="76">
        <f>F60+F61+F62</f>
        <v/>
      </c>
      <c r="G63" s="76">
        <f>G60+G61+G62</f>
        <v/>
      </c>
      <c r="H63" s="76">
        <f>H60+H61+H62</f>
        <v/>
      </c>
      <c r="I63" s="76">
        <f>I60+I61+I62</f>
        <v/>
      </c>
      <c r="J63" s="76">
        <f>J60+J61+J62</f>
        <v/>
      </c>
      <c r="K63" s="76">
        <f>K60+K61+K62</f>
        <v/>
      </c>
      <c r="L63" s="76">
        <f>L60+L61+L62</f>
        <v/>
      </c>
      <c r="M63" s="76">
        <f>M60+M61+M62</f>
        <v/>
      </c>
      <c r="N63" s="76">
        <f>N60+N61+N62</f>
        <v/>
      </c>
      <c r="O63" s="92" t="inlineStr">
        <is>
          <t>na</t>
        </is>
      </c>
      <c r="P63" s="83" t="n"/>
      <c r="Q63" s="83" t="n"/>
      <c r="R63" s="83" t="n"/>
      <c r="S63" s="83" t="n"/>
      <c r="T63" s="83" t="n"/>
      <c r="U63" s="83" t="n"/>
      <c r="V63" s="83" t="n"/>
      <c r="W63" s="83" t="n"/>
      <c r="X63" s="83" t="n"/>
      <c r="Y63" s="83" t="n"/>
      <c r="Z63" s="83" t="n"/>
      <c r="AA63" s="83" t="n"/>
      <c r="AB63" s="83" t="n"/>
      <c r="AC63" s="83" t="n"/>
    </row>
    <row r="64" ht="12.75" customFormat="1" customHeight="1" s="50">
      <c r="A64" s="50" t="n"/>
      <c r="B64" s="57" t="inlineStr">
        <is>
          <t>Down Payment/Reversion</t>
        </is>
      </c>
      <c r="C64" s="50" t="n"/>
      <c r="D64" s="76">
        <f>-C28</f>
        <v/>
      </c>
      <c r="E64" s="86" t="inlineStr">
        <is>
          <t>na</t>
        </is>
      </c>
      <c r="F64" s="86" t="inlineStr">
        <is>
          <t>na</t>
        </is>
      </c>
      <c r="G64" s="86" t="inlineStr">
        <is>
          <t>na</t>
        </is>
      </c>
      <c r="H64" s="86" t="inlineStr">
        <is>
          <t>na</t>
        </is>
      </c>
      <c r="I64" s="86" t="inlineStr">
        <is>
          <t>na</t>
        </is>
      </c>
      <c r="J64" s="86" t="inlineStr">
        <is>
          <t>na</t>
        </is>
      </c>
      <c r="K64" s="86" t="inlineStr">
        <is>
          <t>na</t>
        </is>
      </c>
      <c r="L64" s="86" t="inlineStr">
        <is>
          <t>na</t>
        </is>
      </c>
      <c r="M64" s="86" t="inlineStr">
        <is>
          <t>na</t>
        </is>
      </c>
      <c r="N64" s="93">
        <f>E89</f>
        <v/>
      </c>
      <c r="O64" s="94" t="inlineStr">
        <is>
          <t>na</t>
        </is>
      </c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</row>
    <row r="65" ht="12.75" customFormat="1" customHeight="1" s="50">
      <c r="A65" s="50" t="n"/>
      <c r="B65" s="57" t="inlineStr">
        <is>
          <t>Total Cash Flow to Owner</t>
        </is>
      </c>
      <c r="C65" s="50" t="n"/>
      <c r="D65" s="76">
        <f>D64</f>
        <v/>
      </c>
      <c r="E65" s="76">
        <f>SUM(E63:E64)</f>
        <v/>
      </c>
      <c r="F65" s="76">
        <f>SUM(F63:F64)</f>
        <v/>
      </c>
      <c r="G65" s="76">
        <f>SUM(G63:G64)</f>
        <v/>
      </c>
      <c r="H65" s="76">
        <f>SUM(H63:H64)</f>
        <v/>
      </c>
      <c r="I65" s="76">
        <f>SUM(I63:I64)</f>
        <v/>
      </c>
      <c r="J65" s="76">
        <f>SUM(J63:J64)</f>
        <v/>
      </c>
      <c r="K65" s="76">
        <f>SUM(K63:K64)</f>
        <v/>
      </c>
      <c r="L65" s="76">
        <f>SUM(L63:L64)</f>
        <v/>
      </c>
      <c r="M65" s="76">
        <f>SUM(M63:M64)</f>
        <v/>
      </c>
      <c r="N65" s="76">
        <f>SUM(N63:N64)</f>
        <v/>
      </c>
      <c r="O65" s="94" t="inlineStr">
        <is>
          <t>na</t>
        </is>
      </c>
      <c r="P65" s="83" t="n"/>
      <c r="Q65" s="83" t="n"/>
      <c r="R65" s="83" t="n"/>
      <c r="S65" s="83" t="n"/>
      <c r="T65" s="83" t="n"/>
      <c r="U65" s="83" t="n"/>
      <c r="V65" s="83" t="n"/>
      <c r="W65" s="83" t="n"/>
      <c r="X65" s="83" t="n"/>
      <c r="Y65" s="83" t="n"/>
      <c r="Z65" s="83" t="n"/>
      <c r="AA65" s="83" t="n"/>
      <c r="AB65" s="83" t="n"/>
      <c r="AC65" s="83" t="n"/>
    </row>
    <row r="66" ht="12.75" customFormat="1" customHeight="1" s="50">
      <c r="A66" s="50" t="n"/>
      <c r="B66" s="57" t="inlineStr">
        <is>
          <t>Purchasing Power Adjustment</t>
        </is>
      </c>
      <c r="C66" s="50" t="n"/>
      <c r="D66" s="95" t="inlineStr">
        <is>
          <t>na</t>
        </is>
      </c>
      <c r="E66" s="96">
        <f>(1+$C$13)^E55</f>
        <v/>
      </c>
      <c r="F66" s="96">
        <f>(1+$C$13)^F55</f>
        <v/>
      </c>
      <c r="G66" s="96">
        <f>(1+$C$13)^G55</f>
        <v/>
      </c>
      <c r="H66" s="96">
        <f>(1+$C$13)^H55</f>
        <v/>
      </c>
      <c r="I66" s="96">
        <f>(1+$C$13)^I55</f>
        <v/>
      </c>
      <c r="J66" s="96">
        <f>(1+$C$13)^J55</f>
        <v/>
      </c>
      <c r="K66" s="96">
        <f>(1+$C$13)^K55</f>
        <v/>
      </c>
      <c r="L66" s="96">
        <f>(1+$C$13)^L55</f>
        <v/>
      </c>
      <c r="M66" s="96">
        <f>(1+$C$13)^M55</f>
        <v/>
      </c>
      <c r="N66" s="96">
        <f>(1+$C$13)^N55</f>
        <v/>
      </c>
      <c r="O66" s="94" t="inlineStr">
        <is>
          <t>na</t>
        </is>
      </c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</row>
    <row r="67" ht="12.75" customFormat="1" customHeight="1" s="50">
      <c r="A67" s="50" t="n"/>
      <c r="B67" s="57" t="inlineStr">
        <is>
          <t>Real Cash Flow to Owner</t>
        </is>
      </c>
      <c r="C67" s="50" t="n"/>
      <c r="D67" s="76">
        <f>D65</f>
        <v/>
      </c>
      <c r="E67" s="76">
        <f>E65/E66</f>
        <v/>
      </c>
      <c r="F67" s="76">
        <f>F65/F66</f>
        <v/>
      </c>
      <c r="G67" s="76">
        <f>G65/G66</f>
        <v/>
      </c>
      <c r="H67" s="76">
        <f>H65/H66</f>
        <v/>
      </c>
      <c r="I67" s="76">
        <f>I65/I66</f>
        <v/>
      </c>
      <c r="J67" s="76">
        <f>J65/J66</f>
        <v/>
      </c>
      <c r="K67" s="76">
        <f>K65/K66</f>
        <v/>
      </c>
      <c r="L67" s="76">
        <f>L65/L66</f>
        <v/>
      </c>
      <c r="M67" s="76">
        <f>M65/M66</f>
        <v/>
      </c>
      <c r="N67" s="76">
        <f>N65/N66</f>
        <v/>
      </c>
      <c r="O67" s="94" t="inlineStr">
        <is>
          <t>na</t>
        </is>
      </c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 ht="12.75" customFormat="1" customHeight="1" s="50">
      <c r="A68" s="50" t="n"/>
      <c r="B68" s="50" t="n"/>
      <c r="C68" s="50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</row>
    <row r="69" ht="13.5" customFormat="1" customHeight="1" s="50">
      <c r="A69" s="50" t="n"/>
      <c r="B69" s="50" t="n"/>
      <c r="C69" s="50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</row>
    <row r="70" ht="12.75" customHeight="1" s="53">
      <c r="A70" s="50" t="n"/>
      <c r="B70" s="54" t="inlineStr">
        <is>
          <t>MORTGAGE LOAN AMORTIZATION SCHEDULE</t>
        </is>
      </c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0" t="n"/>
      <c r="Q70" s="50" t="n"/>
      <c r="AD70" s="50" t="n"/>
      <c r="AE70" s="50" t="n"/>
    </row>
    <row r="71" ht="12.75" customFormat="1" customHeight="1" s="50">
      <c r="A71" s="50" t="n"/>
      <c r="B71" s="50" t="n"/>
      <c r="C71" s="77" t="inlineStr">
        <is>
          <t>year</t>
        </is>
      </c>
      <c r="D71" s="78" t="n">
        <v>0</v>
      </c>
      <c r="E71" s="79" t="n">
        <v>1</v>
      </c>
      <c r="F71" s="79" t="n">
        <v>2</v>
      </c>
      <c r="G71" s="79" t="n">
        <v>3</v>
      </c>
      <c r="H71" s="79" t="n">
        <v>4</v>
      </c>
      <c r="I71" s="79" t="n">
        <v>5</v>
      </c>
      <c r="J71" s="79" t="n">
        <v>6</v>
      </c>
      <c r="K71" s="79" t="n">
        <v>7</v>
      </c>
      <c r="L71" s="79" t="n">
        <v>8</v>
      </c>
      <c r="M71" s="79" t="n">
        <v>9</v>
      </c>
      <c r="N71" s="79" t="n">
        <v>10</v>
      </c>
      <c r="O71" s="80" t="n">
        <v>11</v>
      </c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</row>
    <row r="72" ht="12.75" customFormat="1" customHeight="1" s="50">
      <c r="A72" s="50" t="n"/>
      <c r="B72" s="57" t="inlineStr">
        <is>
          <t>Balance Owed, beginning of year</t>
        </is>
      </c>
      <c r="C72" s="50" t="n"/>
      <c r="D72" s="91" t="n"/>
      <c r="E72" s="76">
        <f>C24*C9</f>
        <v/>
      </c>
      <c r="F72" s="76">
        <f>E76</f>
        <v/>
      </c>
      <c r="G72" s="76">
        <f>F76</f>
        <v/>
      </c>
      <c r="H72" s="76">
        <f>G76</f>
        <v/>
      </c>
      <c r="I72" s="76">
        <f>H76</f>
        <v/>
      </c>
      <c r="J72" s="76">
        <f>I76</f>
        <v/>
      </c>
      <c r="K72" s="76">
        <f>J76</f>
        <v/>
      </c>
      <c r="L72" s="76">
        <f>K76</f>
        <v/>
      </c>
      <c r="M72" s="76">
        <f>L76</f>
        <v/>
      </c>
      <c r="N72" s="76">
        <f>M76</f>
        <v/>
      </c>
      <c r="O72" s="90">
        <f>N76</f>
        <v/>
      </c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</row>
    <row r="73" ht="12.75" customFormat="1" customHeight="1" s="50">
      <c r="A73" s="50" t="n"/>
      <c r="B73" s="57" t="inlineStr">
        <is>
          <t>Annual Mortgage Payment</t>
        </is>
      </c>
      <c r="C73" s="50" t="n"/>
      <c r="D73" s="91" t="n"/>
      <c r="E73" s="76">
        <f>E72*C29</f>
        <v/>
      </c>
      <c r="F73" s="76">
        <f>E73</f>
        <v/>
      </c>
      <c r="G73" s="76">
        <f>F73</f>
        <v/>
      </c>
      <c r="H73" s="76">
        <f>G73</f>
        <v/>
      </c>
      <c r="I73" s="76">
        <f>H73</f>
        <v/>
      </c>
      <c r="J73" s="76">
        <f>I73</f>
        <v/>
      </c>
      <c r="K73" s="76">
        <f>J73</f>
        <v/>
      </c>
      <c r="L73" s="76">
        <f>K73</f>
        <v/>
      </c>
      <c r="M73" s="76">
        <f>L73</f>
        <v/>
      </c>
      <c r="N73" s="76">
        <f>M73</f>
        <v/>
      </c>
      <c r="O73" s="90">
        <f>N73</f>
        <v/>
      </c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  <c r="AA73" s="83" t="n"/>
      <c r="AB73" s="83" t="n"/>
      <c r="AC73" s="83" t="n"/>
    </row>
    <row r="74" ht="12.75" customFormat="1" customHeight="1" s="50">
      <c r="A74" s="50" t="n"/>
      <c r="B74" s="57" t="inlineStr">
        <is>
          <t>Interest Portion of Payment</t>
        </is>
      </c>
      <c r="C74" s="50" t="n"/>
      <c r="D74" s="91" t="n"/>
      <c r="E74" s="76">
        <f>$C$10*-E72</f>
        <v/>
      </c>
      <c r="F74" s="76">
        <f>$C$10*-F72</f>
        <v/>
      </c>
      <c r="G74" s="76">
        <f>$C$10*-G72</f>
        <v/>
      </c>
      <c r="H74" s="76">
        <f>$C$10*-H72</f>
        <v/>
      </c>
      <c r="I74" s="76">
        <f>$C$10*-I72</f>
        <v/>
      </c>
      <c r="J74" s="76">
        <f>$C$10*-J72</f>
        <v/>
      </c>
      <c r="K74" s="76">
        <f>$C$10*-K72</f>
        <v/>
      </c>
      <c r="L74" s="76">
        <f>$C$10*-L72</f>
        <v/>
      </c>
      <c r="M74" s="76">
        <f>$C$10*-M72</f>
        <v/>
      </c>
      <c r="N74" s="76">
        <f>$C$10*-N72</f>
        <v/>
      </c>
      <c r="O74" s="90">
        <f>$C$10*-O72</f>
        <v/>
      </c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 ht="12.75" customFormat="1" customHeight="1" s="50">
      <c r="A75" s="50" t="n"/>
      <c r="B75" s="57" t="inlineStr">
        <is>
          <t>Amortization of principal</t>
        </is>
      </c>
      <c r="C75" s="50" t="n"/>
      <c r="D75" s="91" t="n"/>
      <c r="E75" s="76">
        <f>E73+E74</f>
        <v/>
      </c>
      <c r="F75" s="76">
        <f>F73+F74</f>
        <v/>
      </c>
      <c r="G75" s="76">
        <f>G73+G74</f>
        <v/>
      </c>
      <c r="H75" s="76">
        <f>H73+H74</f>
        <v/>
      </c>
      <c r="I75" s="76">
        <f>I73+I74</f>
        <v/>
      </c>
      <c r="J75" s="76">
        <f>J73+J74</f>
        <v/>
      </c>
      <c r="K75" s="76">
        <f>K73+K74</f>
        <v/>
      </c>
      <c r="L75" s="76">
        <f>L73+L74</f>
        <v/>
      </c>
      <c r="M75" s="76">
        <f>M73+M74</f>
        <v/>
      </c>
      <c r="N75" s="76">
        <f>N73+N74</f>
        <v/>
      </c>
      <c r="O75" s="90">
        <f>O73+O74</f>
        <v/>
      </c>
      <c r="P75" s="83" t="n"/>
      <c r="Q75" s="83" t="n"/>
      <c r="R75" s="83" t="n"/>
      <c r="S75" s="83" t="n"/>
      <c r="T75" s="83" t="n"/>
      <c r="U75" s="83" t="n"/>
      <c r="V75" s="83" t="n"/>
      <c r="W75" s="83" t="n"/>
      <c r="X75" s="83" t="n"/>
      <c r="Y75" s="83" t="n"/>
      <c r="Z75" s="83" t="n"/>
      <c r="AA75" s="83" t="n"/>
      <c r="AB75" s="83" t="n"/>
      <c r="AC75" s="83" t="n"/>
    </row>
    <row r="76" ht="12.75" customFormat="1" customHeight="1" s="50">
      <c r="A76" s="50" t="n"/>
      <c r="B76" s="57" t="inlineStr">
        <is>
          <t>Balance Owed, end of year</t>
        </is>
      </c>
      <c r="C76" s="50" t="n"/>
      <c r="D76" s="91" t="n"/>
      <c r="E76" s="76">
        <f>E72-E75</f>
        <v/>
      </c>
      <c r="F76" s="76">
        <f>F72-F75</f>
        <v/>
      </c>
      <c r="G76" s="76">
        <f>G72-G75</f>
        <v/>
      </c>
      <c r="H76" s="76">
        <f>H72-H75</f>
        <v/>
      </c>
      <c r="I76" s="76">
        <f>I72-I75</f>
        <v/>
      </c>
      <c r="J76" s="76">
        <f>J72-J75</f>
        <v/>
      </c>
      <c r="K76" s="76">
        <f>K72-K75</f>
        <v/>
      </c>
      <c r="L76" s="76">
        <f>L72-L75</f>
        <v/>
      </c>
      <c r="M76" s="76">
        <f>M72-M75</f>
        <v/>
      </c>
      <c r="N76" s="76">
        <f>N72-N75</f>
        <v/>
      </c>
      <c r="O76" s="90">
        <f>O72-O75</f>
        <v/>
      </c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3" t="n"/>
      <c r="AA76" s="83" t="n"/>
      <c r="AB76" s="83" t="n"/>
      <c r="AC76" s="83" t="n"/>
    </row>
    <row r="77" ht="12.75" customFormat="1" customHeight="1" s="50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</row>
    <row r="78" ht="13.5" customFormat="1" customHeight="1" s="50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</row>
    <row r="79" ht="12.75" customHeight="1" s="53">
      <c r="A79" s="50" t="n"/>
      <c r="B79" s="54" t="inlineStr">
        <is>
          <t>ANALYSIS OF REVERSION ON SALE</t>
        </is>
      </c>
      <c r="C79" s="54" t="n"/>
      <c r="D79" s="54" t="n"/>
      <c r="E79" s="54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98" t="n"/>
      <c r="P79" s="50" t="n"/>
      <c r="Q79" s="50" t="n"/>
      <c r="AD79" s="50" t="n"/>
      <c r="AE79" s="50" t="n"/>
    </row>
    <row r="80" ht="12.75" customFormat="1" customHeight="1" s="50">
      <c r="A80" s="50" t="n"/>
      <c r="B80" s="57" t="inlineStr">
        <is>
          <t>Net Operating Income Projected, Year After Sale (Year 11)</t>
        </is>
      </c>
      <c r="C80" s="50" t="n"/>
      <c r="E80" s="76">
        <f>O46</f>
        <v/>
      </c>
      <c r="F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</row>
    <row r="81" ht="12.75" customFormat="1" customHeight="1" s="50">
      <c r="A81" s="50" t="n"/>
      <c r="B81" s="57" t="inlineStr">
        <is>
          <t>Cap Rate At Sale Date</t>
        </is>
      </c>
      <c r="C81" s="50" t="n"/>
      <c r="E81" s="73">
        <f>C15</f>
        <v/>
      </c>
      <c r="F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</row>
    <row r="82" ht="12.75" customFormat="1" customHeight="1" s="50">
      <c r="A82" s="50" t="n"/>
      <c r="B82" s="57" t="inlineStr">
        <is>
          <t>Capitalized Value (Sale Price)</t>
        </is>
      </c>
      <c r="C82" s="50" t="n"/>
      <c r="E82" s="76">
        <f>E80/E81</f>
        <v/>
      </c>
      <c r="F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</row>
    <row r="83" ht="12.75" customFormat="1" customHeight="1" s="50">
      <c r="A83" s="50" t="n"/>
      <c r="B83" s="57" t="inlineStr">
        <is>
          <t>Transaction Cost</t>
        </is>
      </c>
      <c r="C83" s="50" t="n"/>
      <c r="E83" s="87">
        <f>E82*-C16</f>
        <v/>
      </c>
      <c r="F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</row>
    <row r="84" ht="12.75" customFormat="1" customHeight="1" s="50">
      <c r="A84" s="50" t="n"/>
      <c r="B84" s="57" t="inlineStr">
        <is>
          <t>Net Sales Price</t>
        </is>
      </c>
      <c r="C84" s="50" t="n"/>
      <c r="E84" s="76">
        <f>E82+E83</f>
        <v/>
      </c>
      <c r="F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50" t="n"/>
      <c r="Q84" s="50" t="n"/>
      <c r="R84" s="76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</row>
    <row r="85" ht="12.75" customFormat="1" customHeight="1" s="50">
      <c r="A85" s="50" t="n"/>
      <c r="B85" s="57" t="inlineStr">
        <is>
          <t>Book Value At Sales Date (cost-dep)</t>
        </is>
      </c>
      <c r="C85" s="50" t="n"/>
      <c r="E85" s="76">
        <f>-(C24+(SUM(E48:N48)))</f>
        <v/>
      </c>
      <c r="F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</row>
    <row r="86" ht="12.75" customFormat="1" customHeight="1" s="50">
      <c r="A86" s="50" t="n"/>
      <c r="B86" s="57" t="inlineStr">
        <is>
          <t>Capital Gain ( Net Price - BV)</t>
        </is>
      </c>
      <c r="C86" s="50" t="n"/>
      <c r="E86" s="76">
        <f>E84+E85</f>
        <v/>
      </c>
      <c r="F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</row>
    <row r="87" ht="12.75" customFormat="1" customHeight="1" s="50">
      <c r="A87" s="50" t="n"/>
      <c r="B87" s="57" t="inlineStr">
        <is>
          <t>Capital Gains Tax</t>
        </is>
      </c>
      <c r="C87" s="50" t="n"/>
      <c r="E87" s="76">
        <f>E86*C22</f>
        <v/>
      </c>
      <c r="F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</row>
    <row r="88" ht="12.75" customFormat="1" customHeight="1" s="50">
      <c r="A88" s="50" t="n"/>
      <c r="B88" s="57" t="inlineStr">
        <is>
          <t>Mortgage Balance Owed</t>
        </is>
      </c>
      <c r="C88" s="50" t="n"/>
      <c r="E88" s="76">
        <f>N76</f>
        <v/>
      </c>
      <c r="F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</row>
    <row r="89" ht="12.75" customFormat="1" customHeight="1" s="50">
      <c r="A89" s="50" t="n"/>
      <c r="B89" s="57" t="inlineStr">
        <is>
          <t>Reversion in nominal dollars to owner at sales date</t>
        </is>
      </c>
      <c r="C89" s="50" t="n"/>
      <c r="E89" s="99">
        <f>E84-E87-E88</f>
        <v/>
      </c>
      <c r="F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</row>
    <row r="90" ht="12.75" customFormat="1" customHeight="1" s="50">
      <c r="A90" s="50" t="n"/>
      <c r="B90" s="50" t="n"/>
      <c r="C90" s="50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</row>
    <row r="91" ht="12.75" customFormat="1" customHeight="1" s="50">
      <c r="A91" s="50" t="n"/>
      <c r="B91" s="50" t="n"/>
      <c r="C91" s="50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</row>
    <row r="92" ht="12.75" customFormat="1" customHeight="1" s="50"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</row>
    <row r="93" ht="12.75" customFormat="1" customHeight="1" s="50"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</row>
    <row r="94" ht="12.75" customFormat="1" customHeight="1" s="50"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</row>
    <row r="95" ht="12.75" customFormat="1" customHeight="1" s="50"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</row>
    <row r="96" ht="12.75" customFormat="1" customHeight="1" s="50"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</row>
    <row r="97" ht="12.75" customFormat="1" customHeight="1" s="50"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</row>
    <row r="98" ht="12.75" customFormat="1" customHeight="1" s="50"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</row>
    <row r="99" ht="12.75" customFormat="1" customHeight="1" s="50"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</row>
    <row r="100" ht="12.75" customFormat="1" customHeight="1" s="50"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</row>
    <row r="101" ht="12.75" customFormat="1" customHeight="1" s="50"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</row>
    <row r="102" ht="12.75" customFormat="1" customHeight="1" s="50"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</row>
    <row r="103" ht="12.75" customFormat="1" customHeight="1" s="50"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</row>
    <row r="104" ht="12.75" customFormat="1" customHeight="1" s="50"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</row>
    <row r="105" ht="12.75" customFormat="1" customHeight="1" s="50"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</row>
    <row r="106" ht="12.75" customFormat="1" customHeight="1" s="50"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</row>
    <row r="107" ht="12.75" customFormat="1" customHeight="1" s="50"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</row>
    <row r="108" ht="12.75" customFormat="1" customHeight="1" s="50"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</row>
    <row r="109" ht="12.75" customFormat="1" customHeight="1" s="50"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</row>
    <row r="110" ht="12.75" customFormat="1" customHeight="1" s="50"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</row>
    <row r="111" ht="12.75" customFormat="1" customHeight="1" s="50"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</row>
    <row r="112" ht="12.75" customFormat="1" customHeight="1" s="50"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</row>
    <row r="113" ht="12.75" customFormat="1" customHeight="1" s="50"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</row>
    <row r="114" ht="12.75" customFormat="1" customHeight="1" s="50"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</row>
    <row r="115" ht="12.75" customFormat="1" customHeight="1" s="50"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</row>
    <row r="116" ht="12.75" customFormat="1" customHeight="1" s="50"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</row>
    <row r="117" ht="12.75" customFormat="1" customHeight="1" s="50"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</row>
    <row r="118" ht="12.75" customFormat="1" customHeight="1" s="50"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</row>
    <row r="119" ht="12.75" customFormat="1" customHeight="1" s="50"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</row>
    <row r="120" ht="12.75" customFormat="1" customHeight="1" s="50"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</row>
    <row r="121" ht="12.75" customFormat="1" customHeight="1" s="50"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</row>
    <row r="122" ht="12.75" customFormat="1" customHeight="1" s="50"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</row>
    <row r="123" ht="12.75" customFormat="1" customHeight="1" s="50"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</row>
    <row r="124" ht="12.75" customFormat="1" customHeight="1" s="50"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</row>
    <row r="125" ht="12.75" customFormat="1" customHeight="1" s="50"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</row>
    <row r="126" ht="12.75" customFormat="1" customHeight="1" s="50"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</row>
    <row r="127" ht="12.75" customFormat="1" customHeight="1" s="50"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</row>
    <row r="128" ht="12.75" customFormat="1" customHeight="1" s="50"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</row>
    <row r="129" ht="12.75" customFormat="1" customHeight="1" s="50"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</row>
    <row r="130" ht="12.75" customFormat="1" customHeight="1" s="50"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</row>
    <row r="131" ht="12.75" customFormat="1" customHeight="1" s="50"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</row>
    <row r="132" ht="12.75" customFormat="1" customHeight="1" s="50"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</row>
    <row r="133" ht="12.75" customFormat="1" customHeight="1" s="50"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</row>
    <row r="134" ht="12.75" customFormat="1" customHeight="1" s="50"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</row>
    <row r="135" ht="12.75" customFormat="1" customHeight="1" s="50"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</row>
    <row r="136" ht="12.75" customFormat="1" customHeight="1" s="50"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</row>
    <row r="137" ht="12.75" customFormat="1" customHeight="1" s="50"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</row>
    <row r="138" ht="12.75" customFormat="1" customHeight="1" s="50"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</row>
    <row r="139" ht="12.75" customFormat="1" customHeight="1" s="50"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</row>
    <row r="140" ht="12.75" customFormat="1" customHeight="1" s="50"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</row>
    <row r="141" ht="12.75" customFormat="1" customHeight="1" s="50"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</row>
    <row r="142" ht="12.75" customFormat="1" customHeight="1" s="50"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</row>
    <row r="143" ht="12.75" customFormat="1" customHeight="1" s="50"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</row>
    <row r="144" ht="12.75" customFormat="1" customHeight="1" s="50"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</row>
    <row r="145" ht="12.75" customFormat="1" customHeight="1" s="50"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</row>
    <row r="146" ht="12.75" customFormat="1" customHeight="1" s="50"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</row>
    <row r="147" ht="12.75" customFormat="1" customHeight="1" s="50"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</row>
    <row r="148" ht="12.75" customFormat="1" customHeight="1" s="50"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</row>
    <row r="149" ht="12.75" customFormat="1" customHeight="1" s="50"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</row>
    <row r="150" ht="12.75" customFormat="1" customHeight="1" s="50"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</row>
    <row r="151" ht="12.75" customFormat="1" customHeight="1" s="50"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</row>
    <row r="152" ht="12.75" customFormat="1" customHeight="1" s="50"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</row>
    <row r="153" ht="12.75" customFormat="1" customHeight="1" s="50"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</row>
    <row r="154" ht="12.75" customFormat="1" customHeight="1" s="50"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</row>
    <row r="155" ht="12.75" customFormat="1" customHeight="1" s="50"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</row>
    <row r="156" ht="12.75" customFormat="1" customHeight="1" s="50"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</row>
    <row r="157" ht="12.75" customFormat="1" customHeight="1" s="50"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</row>
    <row r="158" ht="12.75" customFormat="1" customHeight="1" s="50"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</row>
    <row r="159" ht="12.75" customFormat="1" customHeight="1" s="50"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</row>
    <row r="160" ht="12.75" customFormat="1" customHeight="1" s="50"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</row>
    <row r="161" ht="12.75" customFormat="1" customHeight="1" s="50"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</row>
    <row r="162" ht="12.75" customFormat="1" customHeight="1" s="50"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</row>
    <row r="163" ht="12.75" customFormat="1" customHeight="1" s="50"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</row>
    <row r="164" ht="12.75" customFormat="1" customHeight="1" s="50"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</row>
    <row r="165" ht="12.75" customFormat="1" customHeight="1" s="50"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</row>
    <row r="166" ht="12.75" customFormat="1" customHeight="1" s="50"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</row>
    <row r="167" ht="12.75" customFormat="1" customHeight="1" s="50"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</row>
    <row r="168" ht="12.75" customFormat="1" customHeight="1" s="50"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</row>
    <row r="169" ht="12.75" customFormat="1" customHeight="1" s="50"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</row>
    <row r="170" ht="12.75" customFormat="1" customHeight="1" s="50"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</row>
    <row r="171" ht="12.75" customFormat="1" customHeight="1" s="50"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</row>
    <row r="172" ht="12.75" customFormat="1" customHeight="1" s="50"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</row>
    <row r="173" ht="12.75" customFormat="1" customHeight="1" s="50"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</row>
    <row r="174" ht="12.75" customFormat="1" customHeight="1" s="50"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</row>
    <row r="175" ht="12.75" customFormat="1" customHeight="1" s="50">
      <c r="D175" s="50" t="n">
        <v>42956.2020613061</v>
      </c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</row>
    <row r="176" ht="12.75" customFormat="1" customHeight="1" s="50">
      <c r="D176" s="50" t="n">
        <v>74533.8230528649</v>
      </c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</row>
    <row r="177" ht="12.75" customFormat="1" customHeight="1" s="50">
      <c r="D177" s="50" t="n">
        <v>47966.5830425155</v>
      </c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</row>
    <row r="178" ht="12.75" customFormat="1" customHeight="1" s="50"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</row>
    <row r="179" ht="12.75" customFormat="1" customHeight="1" s="50"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</row>
    <row r="180" ht="12.75" customFormat="1" customHeight="1" s="50"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</row>
    <row r="181" ht="12.75" customFormat="1" customHeight="1" s="50"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</row>
    <row r="182" ht="12.75" customFormat="1" customHeight="1" s="50"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</row>
    <row r="183" ht="12.75" customFormat="1" customHeight="1" s="50"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</row>
    <row r="184" ht="12.75" customFormat="1" customHeight="1" s="50"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</row>
    <row r="185" ht="12.75" customFormat="1" customHeight="1" s="50"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</row>
    <row r="186" ht="12.75" customFormat="1" customHeight="1" s="50"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</row>
    <row r="187" ht="12.75" customFormat="1" customHeight="1" s="50"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</row>
    <row r="188" ht="12.75" customFormat="1" customHeight="1" s="50"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</row>
    <row r="189" ht="12.75" customFormat="1" customHeight="1" s="50"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</row>
    <row r="190" ht="12.75" customFormat="1" customHeight="1" s="50"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</row>
    <row r="191" ht="12.75" customHeight="1" s="53">
      <c r="D191" s="51" t="n">
        <v>0.0126958560236334</v>
      </c>
    </row>
    <row r="266" ht="12.75" customHeight="1" s="53">
      <c r="D266" s="51" t="n">
        <v>867.655817556173</v>
      </c>
    </row>
    <row r="272" ht="12.75" customHeight="1" s="53">
      <c r="D272" s="51" t="n">
        <v>253913.00350383</v>
      </c>
    </row>
    <row r="284" ht="12.75" customHeight="1" s="53">
      <c r="D284" s="51" t="n">
        <v>0.732726865319919</v>
      </c>
    </row>
    <row r="375" ht="12.75" customHeight="1" s="53">
      <c r="D375" s="51" t="n">
        <v>0.0182400377596519</v>
      </c>
    </row>
    <row r="376" ht="12.75" customHeight="1" s="53">
      <c r="D376" s="51" t="n">
        <v>0.0158017386016346</v>
      </c>
    </row>
    <row r="382" ht="12.75" customHeight="1" s="53">
      <c r="D382" s="51" t="n">
        <v>0.043247577041948</v>
      </c>
    </row>
    <row r="387" ht="12.75" customHeight="1" s="53">
      <c r="D387" s="51" t="n">
        <v>0.0302375901495449</v>
      </c>
    </row>
    <row r="388" ht="12.75" customHeight="1" s="53">
      <c r="D388" s="51" t="n">
        <v>0.0925816938058171</v>
      </c>
    </row>
    <row r="395" ht="12.75" customHeight="1" s="53">
      <c r="D395" s="51" t="n">
        <v>0.0233330216259292</v>
      </c>
    </row>
    <row r="397" ht="12.75" customHeight="1" s="53">
      <c r="D397" s="51" t="n">
        <v>0.018333918242578</v>
      </c>
    </row>
    <row r="401" ht="12.75" customHeight="1" s="53">
      <c r="D401" s="51" t="n">
        <v>0.00923521344705081</v>
      </c>
    </row>
  </sheetData>
  <printOptions horizontalCentered="1" verticalCentered="0" headings="0" gridLines="0" gridLinesSet="1"/>
  <pageMargins left="0.75" right="0.75" top="0.861111111111111" bottom="1" header="0.5" footer="0.5"/>
  <pageSetup orientation="landscape" paperSize="1" scale="100" fitToHeight="0" fitToWidth="1" firstPageNumber="0" useFirstPageNumber="0" pageOrder="overThenDown" blackAndWhite="0" draft="0" horizontalDpi="300" verticalDpi="300" copies="1"/>
  <headerFooter differentOddEven="0" differentFirst="0">
    <oddHeader/>
    <oddFooter>&amp;CDeveloped by Questor Consulting LLC&amp;R(561) 417-5515</oddFooter>
    <evenHeader/>
    <evenFooter/>
    <firstHeader/>
    <firstFooter/>
  </headerFooter>
  <rowBreaks count="1" manualBreakCount="1">
    <brk id="51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Ferrigno</dc:creator>
  <dc:title>Commercial Real Estate Valuation and Financial Feasibility Analysis</dc:title>
  <dc:language>en-US</dc:language>
  <dcterms:created xsi:type="dcterms:W3CDTF">2001-01-25T01:29:28Z</dcterms:created>
  <dcterms:modified xsi:type="dcterms:W3CDTF">2026-08-18T02:45:08Z</dcterms:modified>
  <cp:lastModifiedBy>Mike</cp:lastModifiedBy>
  <cp:revision>0</cp:revision>
  <cp:keywords>Real Estate Real Estate Financial</cp:keywords>
  <cp:lastPrinted>2005-06-08T19:40:08Z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r8>554022369</vt:r8>
  </property>
  <property name="_AuthorEmail" fmtid="{D5CDD505-2E9C-101B-9397-08002B2CF9AE}" pid="3">
    <vt:lpwstr>choule@quantrix.com</vt:lpwstr>
  </property>
  <property name="_AuthorEmailDisplayName" fmtid="{D5CDD505-2E9C-101B-9397-08002B2CF9AE}" pid="4">
    <vt:lpwstr>Chris Houle</vt:lpwstr>
  </property>
  <property name="_EmailSubject" fmtid="{D5CDD505-2E9C-101B-9397-08002B2CF9AE}" pid="5">
    <vt:lpwstr>Quantrix for Real Estate</vt:lpwstr>
  </property>
  <property name="_ReviewingToolsShownOnce" fmtid="{D5CDD505-2E9C-101B-9397-08002B2CF9AE}" pid="6">
    <vt:lpwstr/>
  </property>
</Properties>
</file>