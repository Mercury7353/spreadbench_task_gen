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>
        <f>'Input Assumptions'!$D$25/'Input Assumptions'!$D$9/1000*TBA!L8</f>
        <v/>
      </c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>
        <f>AH8</f>
        <v/>
      </c>
      <c r="AI12" s="33">
        <f>AI8</f>
        <v/>
      </c>
      <c r="AJ12" s="33">
        <f>AJ8</f>
        <v/>
      </c>
      <c r="AK12" s="33">
        <f>AK8</f>
        <v/>
      </c>
      <c r="AL12" s="33">
        <f>AL8</f>
        <v/>
      </c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>
        <f>I37</f>
        <v/>
      </c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>
        <f>G38</f>
        <v/>
      </c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>
        <f>Q38</f>
        <v/>
      </c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>
        <f>J39</f>
        <v/>
      </c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>
        <f>SUM(W12:W15)</f>
        <v/>
      </c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SUM(AB12:AB15)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>
        <f>SUM(AG12:AG15)</f>
        <v/>
      </c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>
        <f>IF(MAX($C$22-SUM($D$26:AI26),0)&gt;AJ19,AJ19,MAX($C$22-SUM($D$26:AI26),0))</f>
        <v/>
      </c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>
        <f>IF(V19-V26&gt;0,V19-V26,0)</f>
        <v/>
      </c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>
        <f>IF(AK19-AK26&gt;0,AK19-AK26,0)</f>
        <v/>
      </c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>
        <f>SUM(F26:F27)</f>
        <v/>
      </c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>
        <f>SUM(U26:U27)</f>
        <v/>
      </c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SUM(AA26:AA27)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>
        <f>SUM(AE26:AE27)</f>
        <v/>
      </c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K35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R35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X27</f>
        <v/>
      </c>
      <c r="Y34" s="33">
        <f>Y27</f>
        <v/>
      </c>
      <c r="Z34" s="33">
        <f>Z27</f>
        <v/>
      </c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>
        <f>SUM(U33:U34)</f>
        <v/>
      </c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>
        <f>SUM(Z33:Z34)</f>
        <v/>
      </c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>
        <f>'Input Assumptions'!$D$37*Construction!$C$34*TBA!S13</f>
        <v/>
      </c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>
        <f>'Input Assumptions'!$D$37*Construction!$C$34*TBA!AB13</f>
        <v/>
      </c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>
        <f>($C$34-AB33)*TBA!AA14*'Input Assumptions'!$D$36*'Input Assumptions'!$D$38</f>
        <v/>
      </c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>
        <f>('Input Assumptions'!$D$35+'Input Assumptions'!$D$36)*L33*TBA!K14</f>
        <v/>
      </c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('Input Assumptions'!$D$35+'Input Assumptions'!$D$36)*Q33*TBA!P14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>
        <f>('Input Assumptions'!$D$35+'Input Assumptions'!$D$36)*AA33*TBA!Z14</f>
        <v/>
      </c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>
        <f>('Input Assumptions'!$D$35+'Input Assumptions'!$D$36)*AD33*TBA!AC14</f>
        <v/>
      </c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Assumptions'!$D$35+'Input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AC16-AC28&lt;0.01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>
        <f>AG16-AG28&lt;0.01</f>
        <v/>
      </c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>
        <f>'Input Assumptions'!$D$14*(1+'Input Assumptions'!$D$17)^(SUM(TBA!$D$10:'TBA'!W10)-1)*TBA!W10</f>
        <v/>
      </c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>
        <f>'Input Assumptions'!$D$15*(1+'Input Assumptions'!$D$17)^(SUM(TBA!$D$10:'TBA'!R10)-1)*TBA!R10</f>
        <v/>
      </c>
      <c r="T8" s="33">
        <f>'Input Assumptions'!$D$15*(1+'Input Assumptions'!$D$17)^(SUM(TBA!$D$10:'TBA'!S10)-1)*TBA!S10</f>
        <v/>
      </c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>
        <f>'Input Assumptions'!$D$15*(1+'Input Assumptions'!$D$17)^(SUM(TBA!$D$10:'TBA'!AF10)-1)*TBA!AF10</f>
        <v/>
      </c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>
        <f>AM7*'Input Assumptions'!$D$20/1000</f>
        <v/>
      </c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>
        <f>G8*'Input Assumptions'!$D$21/1000</f>
        <v/>
      </c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>
        <f>P8*'Input Assumptions'!$D$21/1000</f>
        <v/>
      </c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>
        <f>SUM(W10:W11)</f>
        <v/>
      </c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>
        <f>SUM(AK10:AK11)</f>
        <v/>
      </c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>
        <f>K12*(1+'Input Assumptions'!$D$18)^(K2-$E$2)</f>
        <v/>
      </c>
      <c r="L14" s="37">
        <f>L12*(1+'Input Assumptions'!$D$18)^(L2-$E$2)</f>
        <v/>
      </c>
      <c r="M14" s="37">
        <f>M12*(1+'Input Assumptions'!$D$18)^(M2-$E$2)</f>
        <v/>
      </c>
      <c r="N14" s="37">
        <f>N12*(1+'Input Assumptions'!$D$18)^(N2-$E$2)</f>
        <v/>
      </c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>
        <f>S12*(1+'Input Assumptions'!$D$18)^(S2-$E$2)</f>
        <v/>
      </c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>
        <f>X12*(1+'Input Assumptions'!$D$18)^(X2-$E$2)</f>
        <v/>
      </c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>
        <f>AG12*(1+'Input Assumptions'!$D$18)^(AG2-$E$2)</f>
        <v/>
      </c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>
        <f>'Input Assumptions'!$D$29/1000*(1+'Input Assumptions'!$D$31)^(O2-$E$2)*TBA!N10</f>
        <v/>
      </c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>
        <f>'Input Assumptions'!$D$29/1000*(1+'Input Assumptions'!$D$31)^(AC2-$E$2)*TBA!AB10</f>
        <v/>
      </c>
      <c r="AD20" s="33">
        <f>'Input Assumptions'!$D$29/1000*(1+'Input Assumptions'!$D$31)^(AD2-$E$2)*TBA!AC10</f>
        <v/>
      </c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>
        <f>SUM(G19:G20)</f>
        <v/>
      </c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>
        <f>SUM(M19:M20)</f>
        <v/>
      </c>
      <c r="N21" s="37">
        <f>SUM(N19:N20)</f>
        <v/>
      </c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>
        <f>SUM(AH19:AH20)</f>
        <v/>
      </c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>
        <f>SUM(AM19:AM20)</f>
        <v/>
      </c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AS17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X11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>
      <c r="B11" t="inlineStr">
        <is>
          <t>Closing Balance</t>
        </is>
      </c>
      <c r="C11" s="55" t="inlineStr">
        <is>
          <t>k£</t>
        </is>
      </c>
      <c r="F11" s="60">
        <f>SUM(F8:F10)</f>
        <v/>
      </c>
      <c r="G11" s="60">
        <f>SUM(G8:G10)</f>
        <v/>
      </c>
      <c r="H11" s="60">
        <f>SUM(H8:H10)</f>
        <v/>
      </c>
      <c r="I11" s="60">
        <f>SUM(I8:I10)</f>
        <v/>
      </c>
      <c r="J11" s="60">
        <f>SUM(J8:J10)</f>
        <v/>
      </c>
      <c r="K11" s="60">
        <f>SUM(K8:K10)</f>
        <v/>
      </c>
      <c r="L11" s="60">
        <f>SUM(L8:L10)</f>
        <v/>
      </c>
      <c r="M11" s="60">
        <f>SUM(M8:M10)</f>
        <v/>
      </c>
      <c r="N11" s="60">
        <f>SUM(N8:N10)</f>
        <v/>
      </c>
      <c r="O11" s="60">
        <f>SUM(O8:O10)</f>
        <v/>
      </c>
      <c r="P11" s="60">
        <f>SUM(P8:P10)</f>
        <v/>
      </c>
      <c r="Q11" s="60">
        <f>SUM(Q8:Q10)</f>
        <v/>
      </c>
      <c r="R11" s="60">
        <f>SUM(R8:R10)</f>
        <v/>
      </c>
      <c r="S11" s="60">
        <f>SUM(S8:S10)</f>
        <v/>
      </c>
      <c r="T11" s="60">
        <f>SUM(T8:T10)</f>
        <v/>
      </c>
      <c r="U11" s="60">
        <f>SUM(U8:U10)</f>
        <v/>
      </c>
      <c r="V11" s="60">
        <f>SUM(V8:V10)</f>
        <v/>
      </c>
      <c r="W11" s="60">
        <f>SUM(W8:W10)</f>
        <v/>
      </c>
      <c r="X11" s="60">
        <f>SUM(X8:X10)</f>
        <v/>
      </c>
      <c r="Y11" s="60">
        <f>SUM(Y8:Y10)</f>
        <v/>
      </c>
      <c r="Z11" s="60">
        <f>SUM(Z8:Z10)</f>
        <v/>
      </c>
      <c r="AA11" s="60">
        <f>SUM(AA8:AA10)</f>
        <v/>
      </c>
      <c r="AB11" s="60">
        <f>SUM(AB8:AB10)</f>
        <v/>
      </c>
      <c r="AC11" s="60">
        <f>SUM(AC8:AC10)</f>
        <v/>
      </c>
      <c r="AD11" s="60">
        <f>SUM(AD8:AD10)</f>
        <v/>
      </c>
      <c r="AE11" s="60">
        <f>SUM(AE8:AE10)</f>
        <v/>
      </c>
      <c r="AF11" s="60">
        <f>SUM(AF8:AF10)</f>
        <v/>
      </c>
      <c r="AG11" s="60">
        <f>SUM(AG8:AG10)</f>
        <v/>
      </c>
      <c r="AH11" s="60">
        <f>SUM(AH8:AH10)</f>
        <v/>
      </c>
      <c r="AI11" s="60">
        <f>SUM(AI8:AI10)</f>
        <v/>
      </c>
      <c r="AJ11" s="60">
        <f>SUM(AJ8:AJ10)</f>
        <v/>
      </c>
      <c r="AK11" s="60">
        <f>SUM(AK8:AK10)</f>
        <v/>
      </c>
      <c r="AL11" s="60">
        <f>SUM(AL8:AL10)</f>
        <v/>
      </c>
      <c r="AM11" s="60">
        <f>SUM(AM8:AM10)</f>
        <v/>
      </c>
      <c r="AN11" s="60">
        <f>SUM(AN8:AN10)</f>
        <v/>
      </c>
      <c r="AO11" s="60">
        <f>SUM(AO8:AO10)</f>
        <v/>
      </c>
      <c r="AP11" s="60">
        <f>SUM(AP8:AP10)</f>
        <v/>
      </c>
      <c r="AQ11" s="60">
        <f>SUM(AQ8:AQ10)</f>
        <v/>
      </c>
      <c r="AR11" s="60">
        <f>SUM(AR8:AR10)</f>
        <v/>
      </c>
      <c r="AS11" s="60">
        <f>SUM(AS8:AS10)</f>
        <v/>
      </c>
    </row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width="13" customWidth="1" min="47" max="47"/>
    <col hidden="1" width="9" customWidth="1" min="48" max="16384"/>
  </cols>
  <sheetData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>
        <f>Operation!K14</f>
        <v/>
      </c>
      <c r="M9" s="33">
        <f>Operation!L14</f>
        <v/>
      </c>
      <c r="N9" s="33">
        <f>Operation!M14</f>
        <v/>
      </c>
      <c r="O9" s="33">
        <f>Operation!N14</f>
        <v/>
      </c>
      <c r="P9" s="33">
        <f>Operation!O14</f>
        <v/>
      </c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-Operation!F21</f>
        <v/>
      </c>
      <c r="H11" s="33">
        <f>-Operation!G21</f>
        <v/>
      </c>
      <c r="I11" s="33">
        <f>-Operation!H21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>
        <f>-Operation!AJ21</f>
        <v/>
      </c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-Operation!AO21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>
        <f>SUM(G9:G12)</f>
        <v/>
      </c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SUM(AH9:AH12)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>
        <f>SUM(AR9:AR12)</f>
        <v/>
      </c>
      <c r="AS13" s="64">
        <f>SUM(AS9:AS12)</f>
        <v/>
      </c>
    </row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>
        <f>Amortization!F13</f>
        <v/>
      </c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>
        <f>Amortization!Q13</f>
        <v/>
      </c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Amortization!V13</f>
        <v/>
      </c>
      <c r="X15" s="33">
        <f>Amortization!W13</f>
        <v/>
      </c>
      <c r="Y15" s="33">
        <f>Amortization!X13</f>
        <v/>
      </c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>
        <f>Amortization!AI13</f>
        <v/>
      </c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Amortization!AN13</f>
        <v/>
      </c>
      <c r="AP15" s="33">
        <f>Amortization!AO13</f>
        <v/>
      </c>
      <c r="AQ15" s="33">
        <f>Amortization!AP13</f>
        <v/>
      </c>
      <c r="AR15" s="33">
        <f>Amortization!AQ13</f>
        <v/>
      </c>
      <c r="AS15" s="33">
        <f>Amortization!AR13</f>
        <v/>
      </c>
    </row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>
        <f>Debt!AJ14</f>
        <v/>
      </c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>
        <f>SUM(L17:L20)</f>
        <v/>
      </c>
      <c r="M21" s="64">
        <f>SUM(M17:M20)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>
        <f>SUM(Z17:Z20)</f>
        <v/>
      </c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>
        <f>SUM(AH17:AH20)</f>
        <v/>
      </c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>
        <f>IF(H21&lt;0,0,-'Input Assumptions'!$D$44*'P&amp;L'!H21)</f>
        <v/>
      </c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>
        <f>IF(Z21&lt;0,0,-'Input Assumptions'!$D$44*'P&amp;L'!Z21)</f>
        <v/>
      </c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>
        <f>IF(AM21&lt;0,0,-'Input Assumptions'!$D$44*'P&amp;L'!AM21)</f>
        <v/>
      </c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>
        <f>IF(AS21&lt;0,0,-'Input Assumptions'!$D$44*'P&amp;L'!AS21)</f>
        <v/>
      </c>
    </row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>
        <f>SUM(I21:I24)</f>
        <v/>
      </c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>
        <f>SUM(P21:P24)</f>
        <v/>
      </c>
      <c r="Q25" s="64">
        <f>SUM(Q21:Q24)</f>
        <v/>
      </c>
      <c r="R25" s="64">
        <f>SUM(R21:R24)</f>
        <v/>
      </c>
      <c r="S25" s="64">
        <f>SUM(S21:S24)</f>
        <v/>
      </c>
      <c r="T25" s="64">
        <f>SUM(T21:T24)</f>
        <v/>
      </c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>
        <f>SUM(AC21:AC24)</f>
        <v/>
      </c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>
        <f>Operation!R14</f>
        <v/>
      </c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>
        <f>-Operation!F21</f>
        <v/>
      </c>
      <c r="H10" s="33">
        <f>-Operation!G21</f>
        <v/>
      </c>
      <c r="I10" s="33">
        <f>-Operation!H21</f>
        <v/>
      </c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>
        <f>-Operation!AA21</f>
        <v/>
      </c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>
        <f>'P&amp;L'!T23</f>
        <v/>
      </c>
      <c r="U12" s="33">
        <f>'P&amp;L'!U23</f>
        <v/>
      </c>
      <c r="V12" s="33">
        <f>'P&amp;L'!V23</f>
        <v/>
      </c>
      <c r="W12" s="33">
        <f>'P&amp;L'!W23</f>
        <v/>
      </c>
      <c r="X12" s="33">
        <f>'P&amp;L'!X23</f>
        <v/>
      </c>
      <c r="Y12" s="33">
        <f>'P&amp;L'!Y23</f>
        <v/>
      </c>
      <c r="Z12" s="33">
        <f>'P&amp;L'!Z23</f>
        <v/>
      </c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>
        <f>'P&amp;L'!AG23</f>
        <v/>
      </c>
      <c r="AH12" s="33">
        <f>'P&amp;L'!AH23</f>
        <v/>
      </c>
      <c r="AI12" s="33">
        <f>'P&amp;L'!AI23</f>
        <v/>
      </c>
      <c r="AJ12" s="33">
        <f>'P&amp;L'!AJ23</f>
        <v/>
      </c>
      <c r="AK12" s="33">
        <f>'P&amp;L'!AK23</f>
        <v/>
      </c>
      <c r="AL12" s="33">
        <f>'P&amp;L'!AL23</f>
        <v/>
      </c>
      <c r="AM12" s="33">
        <f>'P&amp;L'!AM23</f>
        <v/>
      </c>
      <c r="AN12" s="33">
        <f>'P&amp;L'!AN23</f>
        <v/>
      </c>
      <c r="AO12" s="33">
        <f>'P&amp;L'!AO23</f>
        <v/>
      </c>
      <c r="AP12" s="33">
        <f>'P&amp;L'!AP23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>
        <f>SUM(H8:H13)</f>
        <v/>
      </c>
      <c r="I14" s="65">
        <f>SUM(I8:I13)</f>
        <v/>
      </c>
      <c r="J14" s="65">
        <f>SUM(J8:J13)</f>
        <v/>
      </c>
      <c r="K14" s="65">
        <f>SUM(K8:K13)</f>
        <v/>
      </c>
      <c r="L14" s="65">
        <f>SUM(L8:L13)</f>
        <v/>
      </c>
      <c r="M14" s="65">
        <f>SUM(M8:M13)</f>
        <v/>
      </c>
      <c r="N14" s="65">
        <f>SUM(N8:N13)</f>
        <v/>
      </c>
      <c r="O14" s="65">
        <f>SUM(O8:O13)</f>
        <v/>
      </c>
      <c r="P14" s="65">
        <f>SUM(P8:P13)</f>
        <v/>
      </c>
      <c r="Q14" s="65">
        <f>SUM(Q8:Q13)</f>
        <v/>
      </c>
      <c r="R14" s="65">
        <f>SUM(R8:R13)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SUM(Y8:Y13)</f>
        <v/>
      </c>
      <c r="Z14" s="65">
        <f>SUM(Z8:Z13)</f>
        <v/>
      </c>
      <c r="AA14" s="65">
        <f>SUM(AA8:AA13)</f>
        <v/>
      </c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>
        <f>SUM(AP8:AP13)</f>
        <v/>
      </c>
      <c r="AQ14" s="65">
        <f>SUM(AQ8:AQ13)</f>
        <v/>
      </c>
      <c r="AR14" s="65">
        <f>SUM(AR8:AR13)</f>
        <v/>
      </c>
      <c r="AS14" s="65">
        <f>SUM(AS8:AS13)</f>
        <v/>
      </c>
    </row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>
        <f>Debt!G10</f>
        <v/>
      </c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>
        <f>J14+J16+J17</f>
        <v/>
      </c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P14+P16+P17</f>
        <v/>
      </c>
      <c r="Q19" s="65">
        <f>Q14+Q16+Q17</f>
        <v/>
      </c>
      <c r="R19" s="65">
        <f>R14+R16+R17</f>
        <v/>
      </c>
      <c r="S19" s="65">
        <f>S14+S16+S17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>
        <f>AF14+AF16+AF17</f>
        <v/>
      </c>
      <c r="AG19" s="65">
        <f>AG14+AG16+AG17</f>
        <v/>
      </c>
      <c r="AH19" s="65">
        <f>AH14+AH16+AH17</f>
        <v/>
      </c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>
        <f>AN14+AN16+AN17</f>
        <v/>
      </c>
      <c r="AO19" s="65">
        <f>AO14+AO16+AO17</f>
        <v/>
      </c>
      <c r="AP19" s="65">
        <f>AP14+AP16+AP17</f>
        <v/>
      </c>
      <c r="AQ19" s="65">
        <f>AQ14+AQ16+AQ17</f>
        <v/>
      </c>
      <c r="AR19" s="65">
        <f>AR14+AR16+AR17</f>
        <v/>
      </c>
      <c r="AS19" s="65">
        <f>AS14+AS16+AS17</f>
        <v/>
      </c>
    </row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L19+L21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>
        <f>AC19+AC21</f>
        <v/>
      </c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>
        <f>AO19+AO21</f>
        <v/>
      </c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>
        <f>AR25+AS23</f>
        <v/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>
        <f>Amortization!M10</f>
        <v/>
      </c>
      <c r="O8" s="33">
        <f>Amortization!N10</f>
        <v/>
      </c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>
        <f>Amortization!S10</f>
        <v/>
      </c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>
        <f>Amortization!X10</f>
        <v/>
      </c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>
        <f>CFS!K25</f>
        <v/>
      </c>
      <c r="L9" s="33">
        <f>CFS!L25</f>
        <v/>
      </c>
      <c r="M9" s="33">
        <f>CFS!M25</f>
        <v/>
      </c>
      <c r="N9" s="33">
        <f>CFS!N25</f>
        <v/>
      </c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>
        <f>CFS!AD25</f>
        <v/>
      </c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>
        <f>CFS!AQ25</f>
        <v/>
      </c>
      <c r="AR9" s="33">
        <f>CFS!AR25</f>
        <v/>
      </c>
      <c r="AS9" s="33">
        <f>CFS!AS25</f>
        <v/>
      </c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>
        <f>SUM(J8:J9)</f>
        <v/>
      </c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>
        <f>SUM(X8:X9)</f>
        <v/>
      </c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>
        <f>SUM(Construction!$E$26:X26)</f>
        <v/>
      </c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>
        <f>'P&amp;L'!F25+CFS!F21+'Balance Sheet'!E14</f>
        <v/>
      </c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>
        <f>'P&amp;L'!J25+CFS!J21+'Balance Sheet'!I14</f>
        <v/>
      </c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>
        <f>'P&amp;L'!Y25+CFS!Y21+'Balance Sheet'!X14</f>
        <v/>
      </c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>
        <f>Debt!S11</f>
        <v/>
      </c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>
        <f>Debt!Y11</f>
        <v/>
      </c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>
        <f>Debt!AH11</f>
        <v/>
      </c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>
        <f>SUM(Q13:Q15)</f>
        <v/>
      </c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>
        <f>SUM(AE13:AE15)</f>
        <v/>
      </c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>
        <f>SUM(AJ13:AJ15)</f>
        <v/>
      </c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>
        <f>I10-I16&lt;0.01</f>
        <v/>
      </c>
      <c r="J19" s="67">
        <f>J10-J16&lt;0.01</f>
        <v/>
      </c>
      <c r="K19" s="67">
        <f>K10-K16&lt;0.01</f>
        <v/>
      </c>
      <c r="L19" s="67">
        <f>L10-L16&lt;0.01</f>
        <v/>
      </c>
      <c r="M19" s="67">
        <f>M10-M16&lt;0.01</f>
        <v/>
      </c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-Construction!T12</f>
        <v/>
      </c>
      <c r="V8" s="33">
        <f>-Construction!U12</f>
        <v/>
      </c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>
        <f>-Construction!P13</f>
        <v/>
      </c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-Construction!AC14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-Construction!AH14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-Construction!AD15</f>
        <v/>
      </c>
      <c r="AF11" s="33">
        <f>-Construction!AE15</f>
        <v/>
      </c>
      <c r="AG11" s="33">
        <f>-Construction!AF15</f>
        <v/>
      </c>
      <c r="AH11" s="33">
        <f>-Construction!AG15</f>
        <v/>
      </c>
      <c r="AI11" s="33">
        <f>-Construction!AH15</f>
        <v/>
      </c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>
        <f>SUM(G8:G11)</f>
        <v/>
      </c>
      <c r="H12" s="75">
        <f>SUM(H8:H11)</f>
        <v/>
      </c>
      <c r="I12" s="75">
        <f>SUM(I8:I11)</f>
        <v/>
      </c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>
        <f>SUM(P8:P11)</f>
        <v/>
      </c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SUM(AC8:AC11)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>
        <f>SUM(AM8:AM11)</f>
        <v/>
      </c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>
        <f>Operation!K14</f>
        <v/>
      </c>
      <c r="M14" s="33">
        <f>Operation!L14</f>
        <v/>
      </c>
      <c r="N14" s="33">
        <f>Operation!M14</f>
        <v/>
      </c>
      <c r="O14" s="33">
        <f>Operation!N14</f>
        <v/>
      </c>
      <c r="P14" s="33">
        <f>Operation!O14</f>
        <v/>
      </c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>
        <f>-Operation!M21</f>
        <v/>
      </c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-Operation!X21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>
        <f>'P&amp;L'!F23</f>
        <v/>
      </c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>
        <f>'P&amp;L'!N23</f>
        <v/>
      </c>
      <c r="O16" s="33">
        <f>'P&amp;L'!O23</f>
        <v/>
      </c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>
        <f>'P&amp;L'!T23</f>
        <v/>
      </c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>
        <f>'P&amp;L'!AD23</f>
        <v/>
      </c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>
        <f>-Construction!AC26</f>
        <v/>
      </c>
      <c r="AE24" s="33">
        <f>-Construction!AD26</f>
        <v/>
      </c>
      <c r="AF24" s="33">
        <f>-Construction!AE26</f>
        <v/>
      </c>
      <c r="AG24" s="33">
        <f>-Construction!AF26</f>
        <v/>
      </c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-Construction!AN26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>
        <f>-CFS!H21</f>
        <v/>
      </c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>
        <f>-CFS!N21</f>
        <v/>
      </c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>
        <f>-CFS!W21</f>
        <v/>
      </c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SUM(H24:H26)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>
        <f>SUM(AI24:AI26)</f>
        <v/>
      </c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>
        <f>SUM(AO24:AO26)</f>
        <v/>
      </c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2026-08-18T02:45:10Z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