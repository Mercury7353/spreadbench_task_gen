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1"/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4"/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/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1"/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/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6"/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19"/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2"/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/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6"/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/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0"/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2"/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/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39"/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1"/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/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1"/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3"/>
    <row r="4"/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6"/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1"/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3"/>
    <row r="4"/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 t="n"/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9"/>
    <row r="10"/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 t="n"/>
      <c r="AI12" s="33">
        <f>AI8</f>
        <v/>
      </c>
      <c r="AJ12" s="33">
        <f>AJ8</f>
        <v/>
      </c>
      <c r="AK12" s="33">
        <f>AK8</f>
        <v/>
      </c>
      <c r="AL12" s="33" t="n"/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 t="n"/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 t="n"/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 t="n"/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 t="n"/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 t="n"/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SUM(AB12:AB15)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 t="n"/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7"/>
    <row r="18"/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3"/>
    <row r="24"/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 t="n"/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 t="n"/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 t="n"/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 t="n"/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 t="n"/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 t="n"/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29"/>
    <row r="30"/>
    <row r="31"/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 t="n"/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 t="n"/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 t="n"/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 t="n"/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 t="n"/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 t="n"/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 t="n"/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('Input Assumptions'!$D$35+'Input Assumptions'!$D$36)*Q33*TBA!P14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 t="n"/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 t="n"/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0"/>
    <row r="41"/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 t="n"/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1"/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3"/>
    <row r="4"/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6"/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 t="n"/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 t="n"/>
      <c r="T8" s="33" t="n"/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 t="n"/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9"/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 t="n"/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 t="n"/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 t="n"/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 t="n"/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 t="n"/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3"/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 t="n"/>
      <c r="L14" s="37" t="n"/>
      <c r="M14" s="37">
        <f>M12*(1+'Input Assumptions'!$D$18)^(M2-$E$2)</f>
        <v/>
      </c>
      <c r="N14" s="37" t="n"/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 t="n"/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 t="n"/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 t="n"/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5"/>
    <row r="16"/>
    <row r="17"/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19"/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 t="n"/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 t="n"/>
      <c r="AD20" s="33" t="n"/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 t="n"/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 t="n"/>
      <c r="N21" s="37" t="n"/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 t="n"/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 t="n"/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1"/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3"/>
    <row r="4"/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6"/>
    <row r="7"/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1"/>
    <row r="12"/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1"/>
    <row r="2"/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4"/>
    <row r="5"/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7"/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SUM(F8:F10)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</f>
        <v/>
      </c>
      <c r="AS11" s="60">
        <f>SUM(AS8:AS10)</f>
        <v/>
      </c>
    </row>
    <row r="12"/>
    <row r="13"/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5"/>
    <row r="16"/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width="13" customWidth="1" min="47" max="47"/>
    <col hidden="1" width="9" customWidth="1" min="48" max="16384"/>
  </cols>
  <sheetData>
    <row r="1"/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3"/>
    <row r="4"/>
    <row r="5"/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7"/>
    <row r="8"/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 t="n"/>
      <c r="M9" s="33">
        <f>Operation!L14</f>
        <v/>
      </c>
      <c r="N9" s="33">
        <f>Operation!M14</f>
        <v/>
      </c>
      <c r="O9" s="33">
        <f>Operation!N14</f>
        <v/>
      </c>
      <c r="P9" s="33" t="n"/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 t="n"/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-Operation!AO21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 t="n"/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 t="n"/>
      <c r="AS13" s="64">
        <f>SUM(AS9:AS12)</f>
        <v/>
      </c>
    </row>
    <row r="14"/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 t="n"/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 t="n"/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 t="n"/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 t="n"/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 t="n"/>
      <c r="AR15" s="33">
        <f>Amortization!AQ13</f>
        <v/>
      </c>
      <c r="AS15" s="33">
        <f>Amortization!AR13</f>
        <v/>
      </c>
    </row>
    <row r="16"/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8"/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 t="n"/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0"/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 t="n"/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 t="n"/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 t="n"/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2"/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 t="n"/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 t="n"/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 t="n"/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 t="n"/>
    </row>
    <row r="24"/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 t="n"/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 t="n"/>
      <c r="Q25" s="64">
        <f>SUM(Q21:Q24)</f>
        <v/>
      </c>
      <c r="R25" s="64" t="n"/>
      <c r="S25" s="64">
        <f>SUM(S21:S24)</f>
        <v/>
      </c>
      <c r="T25" s="64" t="n"/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 t="n"/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1"/>
    <row r="2"/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4"/>
    <row r="5"/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7"/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 t="n"/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9"/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 t="n"/>
      <c r="H10" s="33">
        <f>-Operation!G21</f>
        <v/>
      </c>
      <c r="I10" s="33" t="n"/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 t="n"/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1"/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 t="n"/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 t="n"/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 t="n"/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 t="n"/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3"/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 t="n"/>
      <c r="I14" s="65">
        <f>SUM(I8:I13)</f>
        <v/>
      </c>
      <c r="J14" s="65">
        <f>SUM(J8:J13)</f>
        <v/>
      </c>
      <c r="K14" s="65" t="n"/>
      <c r="L14" s="65">
        <f>SUM(L8:L13)</f>
        <v/>
      </c>
      <c r="M14" s="65">
        <f>SUM(M8:M13)</f>
        <v/>
      </c>
      <c r="N14" s="65">
        <f>SUM(N8:N13)</f>
        <v/>
      </c>
      <c r="O14" s="65" t="n"/>
      <c r="P14" s="65" t="n"/>
      <c r="Q14" s="65">
        <f>SUM(Q8:Q13)</f>
        <v/>
      </c>
      <c r="R14" s="65">
        <f>SUM(R8:R13)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 t="n"/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 t="n"/>
      <c r="AQ14" s="65">
        <f>SUM(AQ8:AQ13)</f>
        <v/>
      </c>
      <c r="AR14" s="65">
        <f>SUM(AR8:AR13)</f>
        <v/>
      </c>
      <c r="AS14" s="65">
        <f>SUM(AS8:AS13)</f>
        <v/>
      </c>
    </row>
    <row r="15"/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 t="n"/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8"/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 t="n"/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 t="n"/>
      <c r="AG19" s="65">
        <f>AG14+AG16+AG17</f>
        <v/>
      </c>
      <c r="AH19" s="65" t="n"/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 t="n"/>
      <c r="AO19" s="65">
        <f>AO14+AO16+AO17</f>
        <v/>
      </c>
      <c r="AP19" s="65" t="n"/>
      <c r="AQ19" s="65">
        <f>AQ14+AQ16+AQ17</f>
        <v/>
      </c>
      <c r="AR19" s="65">
        <f>AR14+AR16+AR17</f>
        <v/>
      </c>
      <c r="AS19" s="65">
        <f>AS14+AS16+AS17</f>
        <v/>
      </c>
    </row>
    <row r="20"/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2"/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L19+L21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 t="n"/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 t="n"/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4"/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1"/>
    <row r="2"/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4"/>
    <row r="5"/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7"/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 t="n"/>
      <c r="O8" s="33" t="n"/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 t="n"/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 t="n"/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 t="n"/>
      <c r="L9" s="33">
        <f>CFS!L25</f>
        <v/>
      </c>
      <c r="M9" s="33">
        <f>CFS!M25</f>
        <v/>
      </c>
      <c r="N9" s="33" t="n"/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 t="n"/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 t="n"/>
      <c r="AR9" s="33">
        <f>CFS!AR25</f>
        <v/>
      </c>
      <c r="AS9" s="33" t="n"/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 t="n"/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 t="n"/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 t="n"/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 t="n"/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 t="n"/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 t="n"/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 t="n"/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 t="n"/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 t="n"/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 t="n"/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 t="n"/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 t="n"/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 t="n"/>
      <c r="J19" s="67">
        <f>J10-J16&lt;0.01</f>
        <v/>
      </c>
      <c r="K19" s="67">
        <f>K10-K16&lt;0.01</f>
        <v/>
      </c>
      <c r="L19" s="67">
        <f>L10-L16&lt;0.01</f>
        <v/>
      </c>
      <c r="M19" s="67" t="n"/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1"/>
    <row r="2"/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4"/>
    <row r="5"/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7"/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 t="n"/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 t="n"/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-Construction!AH14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 t="n"/>
      <c r="AH11" s="33">
        <f>-Construction!AG15</f>
        <v/>
      </c>
      <c r="AI11" s="33" t="n"/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 t="n"/>
      <c r="H12" s="75">
        <f>SUM(H8:H11)</f>
        <v/>
      </c>
      <c r="I12" s="75" t="n"/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 t="n"/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SUM(AC8:AC11)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 t="n"/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 t="n"/>
      <c r="M14" s="33">
        <f>Operation!L14</f>
        <v/>
      </c>
      <c r="N14" s="33">
        <f>Operation!M14</f>
        <v/>
      </c>
      <c r="O14" s="33">
        <f>Operation!N14</f>
        <v/>
      </c>
      <c r="P14" s="33" t="n"/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 t="n"/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-Operation!X21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 t="n"/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 t="n"/>
      <c r="O16" s="33" t="n"/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 t="n"/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 t="n"/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0"/>
    <row r="21"/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3"/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 t="n"/>
      <c r="AE24" s="33">
        <f>-Construction!AD26</f>
        <v/>
      </c>
      <c r="AF24" s="33">
        <f>-Construction!AE26</f>
        <v/>
      </c>
      <c r="AG24" s="33" t="n"/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 t="n"/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 t="n"/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 t="n"/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 t="n"/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 t="n"/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2026-08-18T02:45:10Z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