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omments/comment1.xml" ContentType="application/vnd.openxmlformats-officedocument.spreadsheetml.comments+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618" firstSheet="0" activeTab="0" autoFilterDateGrouping="1"/>
  </bookViews>
  <sheets>
    <sheet name="Introduction" sheetId="1" state="visible" r:id="rId1"/>
    <sheet name="1. Required Start-Up Funds" sheetId="2" state="visible" r:id="rId2"/>
    <sheet name="2. Salaries and Wages" sheetId="3" state="visible" r:id="rId3"/>
    <sheet name="3. Fixed Operating Expenses" sheetId="4" state="visible" r:id="rId4"/>
    <sheet name="4. Projected Sales Forecast" sheetId="5" state="visible" r:id="rId5"/>
    <sheet name="5. Projected Sales Forecast (2)" sheetId="6" state="visible" r:id="rId6"/>
    <sheet name="6. Cash Receipts-Disbursements" sheetId="7" state="visible" r:id="rId7"/>
    <sheet name="7. Beginning Balance Sheet" sheetId="8" state="visible" r:id="rId8"/>
    <sheet name="8. Income Statement" sheetId="9" state="visible" r:id="rId9"/>
    <sheet name="9. Cash Flow Statement" sheetId="10" state="visible" r:id="rId10"/>
    <sheet name="10. Balance Sheet" sheetId="11" state="visible" r:id="rId11"/>
    <sheet name="11. Year End Summary" sheetId="12" state="visible" r:id="rId12"/>
    <sheet name="12. Income Statement (2)" sheetId="13" state="visible" r:id="rId13"/>
    <sheet name="13. Cash Flow Statement (2)" sheetId="14" state="visible" r:id="rId14"/>
    <sheet name="14. Balance Sheet (2)" sheetId="15" state="visible" r:id="rId15"/>
    <sheet name="15. Income Statement (3)" sheetId="16" state="visible" r:id="rId16"/>
    <sheet name="16. Cash Flow Statement (3)" sheetId="17" state="visible" r:id="rId17"/>
    <sheet name="17. Balance Sheet (3)" sheetId="18" state="visible" r:id="rId18"/>
    <sheet name="18. Financial Ratios" sheetId="19" state="visible" r:id="rId19"/>
    <sheet name="19. Breakeven Analysis" sheetId="20" state="visible" r:id="rId20"/>
    <sheet name="20. Amoritization Schedule" sheetId="21" state="visible" r:id="rId21"/>
    <sheet name="21. Financial Diagnostics" sheetId="22" state="visible" r:id="rId22"/>
  </sheets>
  <definedNames>
    <definedName name="_xlnm.Print_Area" localSheetId="0">'Introduction'!$A$1:$P$31</definedName>
    <definedName name="_xlnm.Print_Titles" localSheetId="7">'7. Beginning Balance Sheet'!$1:$6</definedName>
    <definedName name="_xlnm.Print_Titles" localSheetId="8">'8. Income Statement'!$1:$6</definedName>
    <definedName name="_xlnm.Print_Area" localSheetId="8">'8. Income Statement'!$A$1:$Q$66</definedName>
    <definedName name="_xlnm.Print_Titles" localSheetId="9">'9. Cash Flow Statement'!$1:$6</definedName>
    <definedName name="_xlnm.Print_Titles" localSheetId="10">'10. Balance Sheet'!$1:$6</definedName>
    <definedName name="_xlnm.Print_Titles" localSheetId="11">'11. Year End Summary'!$1:$6</definedName>
    <definedName name="_xlnm.Print_Titles" localSheetId="12">'12. Income Statement (2)'!$1:$6</definedName>
    <definedName name="_xlnm.Print_Area" localSheetId="12">'12. Income Statement (2)'!$A$1:$Q$66</definedName>
    <definedName name="_xlnm.Print_Titles" localSheetId="13">'13. Cash Flow Statement (2)'!$1:$6</definedName>
    <definedName name="_xlnm.Print_Titles" localSheetId="14">'14. Balance Sheet (2)'!$1:$6</definedName>
    <definedName name="_xlnm.Print_Titles" localSheetId="15">'15. Income Statement (3)'!$1:$6</definedName>
    <definedName name="_xlnm.Print_Area" localSheetId="15">'15. Income Statement (3)'!$A$1:$Q$66</definedName>
    <definedName name="_xlnm.Print_Titles" localSheetId="16">'16. Cash Flow Statement (3)'!$1:$6</definedName>
    <definedName name="_xlnm.Print_Titles" localSheetId="17">'17. Balance Sheet (3)'!$1:$6</definedName>
  </definedNames>
  <calcPr calcId="124519" fullCalcOnLoad="1" refMode="A1" iterate="0" iterateCount="100" iterateDelta="0.001"/>
</workbook>
</file>

<file path=xl/styles.xml><?xml version="1.0" encoding="utf-8"?>
<styleSheet xmlns="http://schemas.openxmlformats.org/spreadsheetml/2006/main">
  <numFmts count="8">
    <numFmt numFmtId="164" formatCode="_(* #,##0.00_);_(* \(#,##0.00\);_(* \-??_);_(@_)"/>
    <numFmt numFmtId="165" formatCode="[$-409]d\-mmm\-yy"/>
    <numFmt numFmtId="166" formatCode="_(\$* #,##0_);_(\$* \(#,##0\);_(\$* \-??_);_(@_)"/>
    <numFmt numFmtId="167" formatCode="_(* #,##0_);_(* \(#,##0\);_(* \-??_);_(@_)"/>
    <numFmt numFmtId="168" formatCode="\$#,##0.00_);[RED]&quot;($&quot;#,##0.00\)"/>
    <numFmt numFmtId="169" formatCode="_(\$* #,##0.00_);_(\$* \(#,##0.00\);_(\$* \-??_);_(@_)"/>
    <numFmt numFmtId="170" formatCode="[$-409]m/d/yyyy"/>
    <numFmt numFmtId="171" formatCode="_(* #,##0.00000000000000000000000000000000_);_(* \(#,##0.00000000000000000000000000000000\);_(* \-??_);_(@_)"/>
  </numFmts>
  <fonts count="15">
    <font>
      <name val="Arial"/>
      <family val="0"/>
      <sz val="9"/>
    </font>
    <font>
      <name val="Arial"/>
      <family val="0"/>
      <sz val="10"/>
    </font>
    <font>
      <name val="Arial"/>
      <family val="0"/>
      <sz val="10"/>
    </font>
    <font>
      <name val="Arial"/>
      <family val="0"/>
      <sz val="10"/>
    </font>
    <font>
      <name val="Arial"/>
      <family val="2"/>
      <b val="1"/>
      <sz val="14"/>
    </font>
    <font>
      <name val="Arial"/>
      <family val="2"/>
      <color rgb="FF000000"/>
      <sz val="9"/>
    </font>
    <font>
      <name val="Arial"/>
      <family val="2"/>
      <i val="1"/>
      <sz val="9"/>
    </font>
    <font>
      <name val="Arial"/>
      <family val="2"/>
      <b val="1"/>
      <sz val="9"/>
    </font>
    <font>
      <name val="Wingdings 3"/>
      <charset val="2"/>
      <family val="1"/>
      <sz val="9"/>
    </font>
    <font>
      <name val="Arial"/>
      <family val="2"/>
      <b val="1"/>
      <sz val="12"/>
    </font>
    <font>
      <name val="Arial"/>
      <family val="2"/>
      <sz val="9"/>
    </font>
    <font>
      <name val="Arial"/>
      <family val="2"/>
      <sz val="8"/>
    </font>
    <font>
      <name val="Arial"/>
      <family val="2"/>
      <b val="1"/>
      <sz val="8"/>
    </font>
    <font>
      <name val="Arial"/>
      <family val="2"/>
      <color rgb="FFFFFFFF"/>
      <sz val="9"/>
    </font>
    <font>
      <name val="Tahoma"/>
      <family val="2"/>
      <b val="1"/>
      <color rgb="FF000000"/>
      <sz val="8"/>
    </font>
  </fonts>
  <fills count="4">
    <fill>
      <patternFill/>
    </fill>
    <fill>
      <patternFill patternType="gray125"/>
    </fill>
    <fill>
      <patternFill patternType="solid">
        <fgColor rgb="FFFFFF99"/>
        <bgColor rgb="FFFFFFCC"/>
      </patternFill>
    </fill>
    <fill>
      <patternFill patternType="solid">
        <fgColor rgb="FFCCFFCC"/>
        <bgColor rgb="FFCCFFFF"/>
      </patternFill>
    </fill>
  </fills>
  <borders count="11">
    <border>
      <left/>
      <right/>
      <top/>
      <bottom/>
      <diagonal/>
    </border>
    <border>
      <left style="thin"/>
      <right style="thin"/>
      <top style="thin"/>
      <bottom style="thin"/>
      <diagonal/>
    </border>
    <border>
      <left style="thin"/>
      <right/>
      <top style="thin"/>
      <bottom style="thin"/>
      <diagonal/>
    </border>
    <border>
      <left/>
      <right style="thin"/>
      <top style="thin"/>
      <bottom style="thin"/>
      <diagonal/>
    </border>
    <border>
      <left/>
      <right/>
      <top/>
      <bottom style="medium"/>
      <diagonal/>
    </border>
    <border>
      <left/>
      <right/>
      <top style="medium"/>
      <bottom style="double"/>
      <diagonal/>
    </border>
    <border>
      <left/>
      <right/>
      <top style="medium"/>
      <bottom style="medium"/>
      <diagonal/>
    </border>
    <border>
      <left/>
      <right/>
      <top/>
      <bottom style="thick"/>
      <diagonal/>
    </border>
    <border>
      <left/>
      <right/>
      <top/>
      <bottom style="thin"/>
      <diagonal/>
    </border>
    <border>
      <left/>
      <right/>
      <top style="thin"/>
      <bottom style="double"/>
      <diagonal/>
    </border>
    <border>
      <left/>
      <right/>
      <top/>
      <bottom style="double"/>
      <diagonal/>
    </border>
  </borders>
  <cellStyleXfs count="6">
    <xf numFmtId="0" fontId="0" fillId="0" borderId="0" applyAlignment="1">
      <alignment horizontal="general" vertical="bottom"/>
    </xf>
    <xf numFmtId="164" fontId="0" fillId="0" borderId="0"/>
    <xf numFmtId="41" fontId="3" fillId="0" borderId="0"/>
    <xf numFmtId="169" fontId="0" fillId="0" borderId="0"/>
    <xf numFmtId="42" fontId="3" fillId="0" borderId="0"/>
    <xf numFmtId="9" fontId="0" fillId="0" borderId="0"/>
  </cellStyleXfs>
  <cellXfs count="234">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6" fillId="0" borderId="0" applyAlignment="1" pivotButton="0" quotePrefix="0" xfId="0">
      <alignment horizontal="general" vertical="bottom"/>
    </xf>
    <xf numFmtId="164" fontId="0" fillId="2" borderId="1" applyAlignment="1" pivotButton="0" quotePrefix="0" xfId="15">
      <alignment horizontal="general" vertical="bottom"/>
    </xf>
    <xf numFmtId="0" fontId="5" fillId="0" borderId="0" applyAlignment="1" pivotButton="0" quotePrefix="0" xfId="0">
      <alignment horizontal="general" vertical="bottom"/>
    </xf>
    <xf numFmtId="164" fontId="0" fillId="3" borderId="1" applyAlignment="1" pivotButton="0" quotePrefix="0" xfId="15">
      <alignment horizontal="general" vertical="bottom"/>
    </xf>
    <xf numFmtId="0" fontId="7" fillId="0" borderId="0" applyAlignment="1" pivotButton="0" quotePrefix="0" xfId="0">
      <alignment horizontal="general" vertical="bottom"/>
    </xf>
    <xf numFmtId="0" fontId="7" fillId="2" borderId="2" applyAlignment="1" applyProtection="1" pivotButton="0" quotePrefix="0" xfId="0">
      <alignment horizontal="general" vertical="bottom"/>
      <protection locked="0" hidden="0"/>
    </xf>
    <xf numFmtId="0" fontId="0" fillId="2" borderId="3" applyAlignment="1" pivotButton="0" quotePrefix="0" xfId="0">
      <alignment horizontal="general" vertical="bottom"/>
    </xf>
    <xf numFmtId="0" fontId="7" fillId="0" borderId="0" applyAlignment="1" pivotButton="0" quotePrefix="0" xfId="0">
      <alignment horizontal="right" vertical="bottom"/>
    </xf>
    <xf numFmtId="0" fontId="8" fillId="0" borderId="0" applyAlignment="1" pivotButton="0" quotePrefix="0" xfId="0">
      <alignment horizontal="right" vertical="bottom"/>
    </xf>
    <xf numFmtId="0" fontId="9" fillId="0" borderId="0" applyAlignment="1" pivotButton="0" quotePrefix="0" xfId="0">
      <alignment horizontal="general" vertical="bottom"/>
    </xf>
    <xf numFmtId="165" fontId="7" fillId="0" borderId="0" applyAlignment="1" pivotButton="0" quotePrefix="0" xfId="0">
      <alignment horizontal="general" vertical="bottom"/>
    </xf>
    <xf numFmtId="0" fontId="9" fillId="0" borderId="0" applyAlignment="1" pivotButton="0" quotePrefix="0" xfId="0">
      <alignment horizontal="left" vertical="bottom"/>
    </xf>
    <xf numFmtId="0" fontId="0" fillId="0" borderId="0" applyAlignment="1" pivotButton="0" quotePrefix="0" xfId="0">
      <alignment horizontal="general" vertical="bottom"/>
    </xf>
    <xf numFmtId="0" fontId="10" fillId="0" borderId="0" applyAlignment="1" pivotButton="0" quotePrefix="0" xfId="0">
      <alignment horizontal="general" vertical="bottom"/>
    </xf>
    <xf numFmtId="0" fontId="10" fillId="0" borderId="0" applyAlignment="1" applyProtection="1" pivotButton="0" quotePrefix="0" xfId="0">
      <alignment horizontal="general" vertical="bottom"/>
      <protection locked="0" hidden="0"/>
    </xf>
    <xf numFmtId="0" fontId="7" fillId="0" borderId="0" applyAlignment="1" pivotButton="0" quotePrefix="0" xfId="0">
      <alignment horizontal="left" vertical="bottom"/>
    </xf>
    <xf numFmtId="166" fontId="10" fillId="2" borderId="0" applyAlignment="1" applyProtection="1" pivotButton="0" quotePrefix="0" xfId="17">
      <alignment horizontal="general" vertical="bottom"/>
      <protection locked="0" hidden="0"/>
    </xf>
    <xf numFmtId="166" fontId="10" fillId="0" borderId="0" applyAlignment="1" pivotButton="0" quotePrefix="0" xfId="17">
      <alignment horizontal="general" vertical="bottom"/>
    </xf>
    <xf numFmtId="166" fontId="10" fillId="0" borderId="0" applyAlignment="1" pivotButton="0" quotePrefix="0" xfId="0">
      <alignment horizontal="general" vertical="bottom"/>
    </xf>
    <xf numFmtId="167" fontId="10" fillId="2" borderId="0" applyAlignment="1" applyProtection="1" pivotButton="0" quotePrefix="0" xfId="15">
      <alignment horizontal="general" vertical="bottom"/>
      <protection locked="0" hidden="0"/>
    </xf>
    <xf numFmtId="166" fontId="10" fillId="0" borderId="0" applyAlignment="1" pivotButton="0" quotePrefix="0" xfId="15">
      <alignment horizontal="general" vertical="bottom"/>
    </xf>
    <xf numFmtId="164" fontId="10" fillId="3" borderId="0" applyAlignment="1" applyProtection="1" pivotButton="0" quotePrefix="0" xfId="15">
      <alignment horizontal="general" vertical="bottom"/>
      <protection locked="0" hidden="0"/>
    </xf>
    <xf numFmtId="164" fontId="10" fillId="0" borderId="0" applyAlignment="1" applyProtection="1" pivotButton="0" quotePrefix="0" xfId="15">
      <alignment horizontal="general" vertical="bottom"/>
      <protection locked="0" hidden="0"/>
    </xf>
    <xf numFmtId="166" fontId="10" fillId="0" borderId="4" applyAlignment="1" pivotButton="0" quotePrefix="0" xfId="0">
      <alignment horizontal="general" vertical="bottom"/>
    </xf>
    <xf numFmtId="167" fontId="10" fillId="0" borderId="0" applyAlignment="1" pivotButton="0" quotePrefix="0" xfId="15">
      <alignment horizontal="general" vertical="bottom"/>
    </xf>
    <xf numFmtId="164" fontId="10" fillId="0" borderId="0" applyAlignment="1" applyProtection="1" pivotButton="0" quotePrefix="0" xfId="15">
      <alignment horizontal="general" vertical="bottom"/>
      <protection locked="0" hidden="0"/>
    </xf>
    <xf numFmtId="164" fontId="10" fillId="0" borderId="0" applyAlignment="1" applyProtection="1" pivotButton="0" quotePrefix="0" xfId="0">
      <alignment horizontal="general" vertical="bottom"/>
      <protection locked="0" hidden="0"/>
    </xf>
    <xf numFmtId="166" fontId="10" fillId="0" borderId="5" applyAlignment="1" pivotButton="0" quotePrefix="0" xfId="0">
      <alignment horizontal="general" vertical="bottom"/>
    </xf>
    <xf numFmtId="10" fontId="10" fillId="0" borderId="0" applyAlignment="1" pivotButton="0" quotePrefix="0" xfId="19">
      <alignment horizontal="general" vertical="bottom"/>
    </xf>
    <xf numFmtId="10" fontId="10" fillId="3" borderId="0" applyAlignment="1" applyProtection="1" pivotButton="0" quotePrefix="0" xfId="19">
      <alignment horizontal="general" vertical="bottom"/>
      <protection locked="0" hidden="0"/>
    </xf>
    <xf numFmtId="168" fontId="10" fillId="0" borderId="0" applyAlignment="1" pivotButton="0" quotePrefix="0" xfId="0">
      <alignment horizontal="general" vertical="bottom"/>
    </xf>
    <xf numFmtId="167" fontId="10" fillId="0" borderId="4" applyAlignment="1" pivotButton="0" quotePrefix="0" xfId="15">
      <alignment horizontal="general" vertical="bottom"/>
    </xf>
    <xf numFmtId="168" fontId="10" fillId="0" borderId="4" applyAlignment="1" pivotButton="0" quotePrefix="0" xfId="0">
      <alignment horizontal="general" vertical="bottom"/>
    </xf>
    <xf numFmtId="10" fontId="10" fillId="0" borderId="0" applyAlignment="1" pivotButton="0" quotePrefix="0" xfId="0">
      <alignment horizontal="general" vertical="bottom"/>
    </xf>
    <xf numFmtId="166" fontId="10" fillId="0" borderId="5" applyAlignment="1" pivotButton="0" quotePrefix="0" xfId="17">
      <alignment horizontal="general" vertical="bottom"/>
    </xf>
    <xf numFmtId="168" fontId="10" fillId="0" borderId="6"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0" fillId="0" borderId="0" applyAlignment="1" pivotButton="0" quotePrefix="0" xfId="0">
      <alignment horizontal="center" vertical="bottom"/>
    </xf>
    <xf numFmtId="0" fontId="0"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center" vertical="bottom"/>
    </xf>
    <xf numFmtId="0" fontId="10" fillId="0" borderId="0" applyAlignment="1" pivotButton="0" quotePrefix="0" xfId="0">
      <alignment horizontal="general" vertical="bottom"/>
    </xf>
    <xf numFmtId="0" fontId="7" fillId="0" borderId="0" applyAlignment="1" pivotButton="0" quotePrefix="0" xfId="0">
      <alignment horizontal="center" vertical="bottom"/>
    </xf>
    <xf numFmtId="0" fontId="7" fillId="0" borderId="7" applyAlignment="1" pivotButton="0" quotePrefix="0" xfId="0">
      <alignment horizontal="right" vertical="bottom"/>
    </xf>
    <xf numFmtId="0" fontId="7" fillId="0" borderId="0" applyAlignment="1" pivotButton="0" quotePrefix="0" xfId="0">
      <alignment horizontal="right" vertical="bottom"/>
    </xf>
    <xf numFmtId="10" fontId="10" fillId="2" borderId="0" applyAlignment="1" applyProtection="1" pivotButton="0" quotePrefix="0" xfId="19">
      <alignment horizontal="general" vertical="bottom"/>
      <protection locked="0" hidden="0"/>
    </xf>
    <xf numFmtId="0" fontId="10" fillId="2" borderId="0" applyAlignment="1" applyProtection="1" pivotButton="0" quotePrefix="0" xfId="0">
      <alignment horizontal="center" vertical="bottom"/>
      <protection locked="0" hidden="0"/>
    </xf>
    <xf numFmtId="164" fontId="10" fillId="2" borderId="0" applyAlignment="1" applyProtection="1" pivotButton="0" quotePrefix="0" xfId="15">
      <alignment horizontal="general" vertical="bottom"/>
      <protection locked="0" hidden="0"/>
    </xf>
    <xf numFmtId="164" fontId="10" fillId="0" borderId="0" applyAlignment="1" pivotButton="0" quotePrefix="0" xfId="15">
      <alignment horizontal="general" vertical="bottom"/>
    </xf>
    <xf numFmtId="169" fontId="10" fillId="2" borderId="0" applyAlignment="1" applyProtection="1" pivotButton="0" quotePrefix="0" xfId="17">
      <alignment horizontal="general" vertical="bottom"/>
      <protection locked="0" hidden="0"/>
    </xf>
    <xf numFmtId="169" fontId="10" fillId="0" borderId="0" applyAlignment="1" pivotButton="0" quotePrefix="0" xfId="17">
      <alignment horizontal="general" vertical="bottom"/>
    </xf>
    <xf numFmtId="166" fontId="10" fillId="0" borderId="0" applyAlignment="1" pivotButton="0" quotePrefix="0" xfId="0">
      <alignment horizontal="general" vertical="bottom"/>
    </xf>
    <xf numFmtId="166" fontId="10" fillId="3" borderId="0" applyAlignment="1" applyProtection="1" pivotButton="0" quotePrefix="0" xfId="17">
      <alignment horizontal="general" vertical="bottom"/>
      <protection locked="0" hidden="0"/>
    </xf>
    <xf numFmtId="10" fontId="10" fillId="3" borderId="0" applyAlignment="1" applyProtection="1" pivotButton="0" quotePrefix="0" xfId="0">
      <alignment horizontal="general" vertical="bottom"/>
      <protection locked="0" hidden="0"/>
    </xf>
    <xf numFmtId="167" fontId="10" fillId="2" borderId="4" applyAlignment="1" applyProtection="1" pivotButton="0" quotePrefix="0" xfId="15">
      <alignment horizontal="general" vertical="bottom"/>
      <protection locked="0" hidden="0"/>
    </xf>
    <xf numFmtId="167" fontId="10" fillId="0" borderId="0" applyAlignment="1" pivotButton="0" quotePrefix="0" xfId="0">
      <alignment horizontal="general" vertical="bottom"/>
    </xf>
    <xf numFmtId="167" fontId="10" fillId="0" borderId="0" applyAlignment="1" pivotButton="0" quotePrefix="0" xfId="0">
      <alignment horizontal="general" vertical="bottom"/>
    </xf>
    <xf numFmtId="0" fontId="10" fillId="0" borderId="4" applyAlignment="1" pivotButton="0" quotePrefix="0" xfId="0">
      <alignment horizontal="general" vertical="bottom"/>
    </xf>
    <xf numFmtId="167" fontId="10" fillId="0" borderId="5" applyAlignment="1" pivotButton="0" quotePrefix="0" xfId="15">
      <alignment horizontal="general" vertical="bottom"/>
    </xf>
    <xf numFmtId="0" fontId="7" fillId="0" borderId="0" applyAlignment="1" pivotButton="0" quotePrefix="0" xfId="0">
      <alignment horizontal="general" vertical="bottom"/>
    </xf>
    <xf numFmtId="0" fontId="7" fillId="3" borderId="0" applyAlignment="1" applyProtection="1" pivotButton="0" quotePrefix="0" xfId="0">
      <alignment horizontal="general" vertical="bottom"/>
      <protection locked="0" hidden="0"/>
    </xf>
    <xf numFmtId="0" fontId="7" fillId="3" borderId="0" applyAlignment="1" pivotButton="0" quotePrefix="0" xfId="0">
      <alignment horizontal="general" vertical="bottom"/>
    </xf>
    <xf numFmtId="0" fontId="10" fillId="3" borderId="0" applyAlignment="1" pivotButton="0" quotePrefix="0" xfId="0">
      <alignment horizontal="general" vertical="bottom"/>
    </xf>
    <xf numFmtId="166" fontId="10" fillId="0" borderId="4" applyAlignment="1" pivotButton="0" quotePrefix="0" xfId="0">
      <alignment horizontal="general" vertical="bottom"/>
    </xf>
    <xf numFmtId="0" fontId="0" fillId="0" borderId="0" applyAlignment="1" pivotButton="0" quotePrefix="0" xfId="0">
      <alignment horizontal="right" vertical="bottom"/>
    </xf>
    <xf numFmtId="0" fontId="10" fillId="0" borderId="0" applyAlignment="1" pivotButton="0" quotePrefix="0" xfId="0">
      <alignment horizontal="right" vertical="bottom"/>
    </xf>
    <xf numFmtId="0" fontId="7" fillId="0" borderId="0" applyAlignment="1" pivotButton="0" quotePrefix="0" xfId="0">
      <alignment horizontal="general" vertical="bottom"/>
    </xf>
    <xf numFmtId="0" fontId="7" fillId="0" borderId="0" applyAlignment="1" pivotButton="0" quotePrefix="0" xfId="0">
      <alignment horizontal="right" vertical="bottom"/>
    </xf>
    <xf numFmtId="0" fontId="7" fillId="0" borderId="0" applyAlignment="1" pivotButton="0" quotePrefix="0" xfId="0">
      <alignment horizontal="center" vertical="bottom"/>
    </xf>
    <xf numFmtId="0" fontId="7" fillId="2" borderId="7" applyAlignment="1" applyProtection="1" pivotButton="0" quotePrefix="0" xfId="0">
      <alignment horizontal="right" vertical="bottom"/>
      <protection locked="0" hidden="0"/>
    </xf>
    <xf numFmtId="0" fontId="7" fillId="2" borderId="0" applyAlignment="1" applyProtection="1" pivotButton="0" quotePrefix="0" xfId="0">
      <alignment horizontal="general" vertical="bottom"/>
      <protection locked="0" hidden="0"/>
    </xf>
    <xf numFmtId="169" fontId="10" fillId="2" borderId="0" applyAlignment="1" applyProtection="1" pivotButton="0" quotePrefix="0" xfId="17">
      <alignment horizontal="right" vertical="bottom"/>
      <protection locked="0" hidden="0"/>
    </xf>
    <xf numFmtId="10" fontId="10" fillId="0" borderId="0" applyAlignment="1" pivotButton="0" quotePrefix="0" xfId="19">
      <alignment horizontal="right" vertical="bottom"/>
    </xf>
    <xf numFmtId="169" fontId="10" fillId="2" borderId="8" applyAlignment="1" applyProtection="1" pivotButton="0" quotePrefix="0" xfId="17">
      <alignment horizontal="right" vertical="bottom"/>
      <protection locked="0" hidden="0"/>
    </xf>
    <xf numFmtId="169" fontId="10" fillId="0" borderId="0" applyAlignment="1" pivotButton="0" quotePrefix="0" xfId="17">
      <alignment horizontal="right" vertical="bottom"/>
    </xf>
    <xf numFmtId="10" fontId="10" fillId="0" borderId="4" applyAlignment="1" pivotButton="0" quotePrefix="0" xfId="19">
      <alignment horizontal="general" vertical="bottom"/>
    </xf>
    <xf numFmtId="10" fontId="10" fillId="0" borderId="4" applyAlignment="1" pivotButton="0" quotePrefix="0" xfId="0">
      <alignment horizontal="general" vertical="bottom"/>
    </xf>
    <xf numFmtId="10" fontId="10" fillId="2" borderId="0" applyAlignment="1" applyProtection="1" pivotButton="0" quotePrefix="0" xfId="19">
      <alignment horizontal="right" vertical="bottom"/>
      <protection locked="0" hidden="0"/>
    </xf>
    <xf numFmtId="0" fontId="10" fillId="0" borderId="0" applyAlignment="1" pivotButton="0" quotePrefix="0" xfId="0">
      <alignment horizontal="left" vertical="bottom"/>
    </xf>
    <xf numFmtId="167" fontId="10" fillId="3" borderId="0" applyAlignment="1" applyProtection="1" pivotButton="0" quotePrefix="0" xfId="15">
      <alignment horizontal="general" vertical="bottom"/>
      <protection locked="0" hidden="0"/>
    </xf>
    <xf numFmtId="166" fontId="10" fillId="0" borderId="0" applyAlignment="1" pivotButton="0" quotePrefix="0" xfId="17">
      <alignment horizontal="right" vertical="bottom"/>
    </xf>
    <xf numFmtId="167" fontId="10" fillId="0" borderId="8" applyAlignment="1" pivotButton="0" quotePrefix="0" xfId="15">
      <alignment horizontal="right" vertical="bottom"/>
    </xf>
    <xf numFmtId="167" fontId="10" fillId="0" borderId="0" applyAlignment="1" pivotButton="0" quotePrefix="0" xfId="15">
      <alignment horizontal="right" vertical="bottom"/>
    </xf>
    <xf numFmtId="167" fontId="10" fillId="0" borderId="9" applyAlignment="1" pivotButton="0" quotePrefix="0" xfId="15">
      <alignment horizontal="right" vertical="bottom"/>
    </xf>
    <xf numFmtId="169" fontId="10" fillId="0" borderId="0" applyAlignment="1" pivotButton="0" quotePrefix="0" xfId="17">
      <alignment horizontal="right" vertical="bottom"/>
    </xf>
    <xf numFmtId="0" fontId="11" fillId="0" borderId="0" applyAlignment="1" pivotButton="0" quotePrefix="0" xfId="0">
      <alignment horizontal="right" vertical="bottom"/>
    </xf>
    <xf numFmtId="10" fontId="11" fillId="0" borderId="0" applyAlignment="1" pivotButton="0" quotePrefix="0" xfId="19">
      <alignment horizontal="right" vertical="bottom"/>
    </xf>
    <xf numFmtId="167" fontId="11" fillId="0" borderId="0" applyAlignment="1" pivotButton="0" quotePrefix="0" xfId="15">
      <alignment horizontal="general" vertical="bottom"/>
    </xf>
    <xf numFmtId="167" fontId="11" fillId="0" borderId="0" applyAlignment="1" pivotButton="0" quotePrefix="0" xfId="0">
      <alignment horizontal="general" vertical="bottom"/>
    </xf>
    <xf numFmtId="166" fontId="11" fillId="0" borderId="0" applyAlignment="1" pivotButton="0" quotePrefix="0" xfId="17">
      <alignment horizontal="right" vertical="bottom"/>
    </xf>
    <xf numFmtId="167" fontId="11" fillId="0" borderId="0" applyAlignment="1" pivotButton="0" quotePrefix="0" xfId="15">
      <alignment horizontal="right" vertical="bottom"/>
    </xf>
    <xf numFmtId="166" fontId="11" fillId="0" borderId="0" applyAlignment="1" pivotButton="0" quotePrefix="0" xfId="0">
      <alignment horizontal="right" vertical="bottom"/>
    </xf>
    <xf numFmtId="0" fontId="7" fillId="0" borderId="7" applyAlignment="1" pivotButton="0" quotePrefix="0" xfId="0">
      <alignment horizontal="right" vertical="bottom"/>
    </xf>
    <xf numFmtId="10" fontId="10" fillId="2" borderId="0" applyAlignment="1" applyProtection="1" pivotButton="0" quotePrefix="0" xfId="17">
      <alignment horizontal="right" vertical="bottom"/>
      <protection locked="0" hidden="0"/>
    </xf>
    <xf numFmtId="0" fontId="7" fillId="0" borderId="0" applyAlignment="1" pivotButton="0" quotePrefix="0" xfId="0">
      <alignment horizontal="center" vertical="bottom"/>
    </xf>
    <xf numFmtId="10" fontId="10" fillId="2" borderId="4" applyAlignment="1" applyProtection="1" pivotButton="0" quotePrefix="0" xfId="19">
      <alignment horizontal="general" vertical="bottom"/>
      <protection locked="0" hidden="0"/>
    </xf>
    <xf numFmtId="10" fontId="7" fillId="0" borderId="5" applyAlignment="1" pivotButton="0" quotePrefix="0" xfId="19">
      <alignment horizontal="general" vertical="bottom"/>
    </xf>
    <xf numFmtId="167" fontId="13" fillId="0" borderId="0" applyAlignment="1" pivotButton="0" quotePrefix="0" xfId="15">
      <alignment horizontal="general" vertical="bottom"/>
    </xf>
    <xf numFmtId="0" fontId="0" fillId="0" borderId="0" applyAlignment="1" pivotButton="0" quotePrefix="0" xfId="0">
      <alignment horizontal="general" vertical="bottom"/>
    </xf>
    <xf numFmtId="0" fontId="10" fillId="0" borderId="0" applyAlignment="1" pivotButton="0" quotePrefix="0" xfId="0">
      <alignment horizontal="general" vertical="bottom"/>
    </xf>
    <xf numFmtId="170" fontId="7" fillId="2" borderId="7" applyAlignment="1" applyProtection="1" pivotButton="0" quotePrefix="0" xfId="0">
      <alignment horizontal="right" vertical="bottom"/>
      <protection locked="0" hidden="0"/>
    </xf>
    <xf numFmtId="0" fontId="12" fillId="0" borderId="0" applyAlignment="1" pivotButton="0" quotePrefix="0" xfId="0">
      <alignment horizontal="right" vertical="bottom"/>
    </xf>
    <xf numFmtId="0" fontId="11" fillId="0" borderId="0" applyAlignment="1" pivotButton="0" quotePrefix="0" xfId="0">
      <alignment horizontal="general" vertical="bottom"/>
    </xf>
    <xf numFmtId="167" fontId="10" fillId="0" borderId="0" applyAlignment="1" pivotButton="0" quotePrefix="0" xfId="0">
      <alignment horizontal="general" vertical="bottom"/>
    </xf>
    <xf numFmtId="167" fontId="11" fillId="0" borderId="0" applyAlignment="1" pivotButton="0" quotePrefix="0" xfId="0">
      <alignment horizontal="general" vertical="bottom"/>
    </xf>
    <xf numFmtId="167" fontId="10" fillId="0" borderId="4" applyAlignment="1" pivotButton="0" quotePrefix="0" xfId="0">
      <alignment horizontal="general" vertical="bottom"/>
    </xf>
    <xf numFmtId="167" fontId="10" fillId="0" borderId="10" applyAlignment="1" pivotButton="0" quotePrefix="0" xfId="15">
      <alignment horizontal="general" vertical="bottom"/>
    </xf>
    <xf numFmtId="167" fontId="13" fillId="0" borderId="0" applyAlignment="1" pivotButton="0" quotePrefix="0" xfId="0">
      <alignment horizontal="general" vertical="bottom"/>
    </xf>
    <xf numFmtId="167" fontId="0" fillId="0" borderId="0" applyAlignment="1" pivotButton="0" quotePrefix="0" xfId="0">
      <alignment horizontal="general" vertical="bottom"/>
    </xf>
    <xf numFmtId="167" fontId="10" fillId="3" borderId="4" applyAlignment="1" applyProtection="1" pivotButton="0" quotePrefix="0" xfId="15">
      <alignment horizontal="general" vertical="bottom"/>
      <protection locked="0" hidden="0"/>
    </xf>
    <xf numFmtId="171" fontId="10" fillId="0" borderId="0" applyAlignment="1" pivotButton="0" quotePrefix="0" xfId="0">
      <alignment horizontal="general" vertical="bottom"/>
    </xf>
    <xf numFmtId="10" fontId="10" fillId="0" borderId="0" applyAlignment="1" pivotButton="0" quotePrefix="0" xfId="19">
      <alignment horizontal="left" vertical="bottom" indent="3"/>
    </xf>
    <xf numFmtId="167" fontId="10" fillId="0" borderId="0" applyAlignment="1" pivotButton="0" quotePrefix="0" xfId="19">
      <alignment horizontal="general" vertical="bottom"/>
    </xf>
    <xf numFmtId="164" fontId="10" fillId="0" borderId="0" applyAlignment="1" pivotButton="0" quotePrefix="0" xfId="15">
      <alignment horizontal="general" vertical="bottom"/>
    </xf>
    <xf numFmtId="0" fontId="11" fillId="0" borderId="0" applyAlignment="1" pivotButton="0" quotePrefix="0" xfId="0">
      <alignment horizontal="general" vertical="bottom"/>
    </xf>
    <xf numFmtId="164" fontId="0" fillId="0" borderId="0" applyAlignment="1" pivotButton="0" quotePrefix="0" xfId="15">
      <alignment horizontal="general" vertical="bottom"/>
    </xf>
    <xf numFmtId="10" fontId="7" fillId="0" borderId="0" applyAlignment="1" pivotButton="0" quotePrefix="0" xfId="19">
      <alignment horizontal="general" vertical="bottom"/>
    </xf>
    <xf numFmtId="164" fontId="10" fillId="0" borderId="0" applyAlignment="1" pivotButton="0" quotePrefix="0" xfId="0">
      <alignment horizontal="general" vertical="bottom"/>
    </xf>
    <xf numFmtId="167" fontId="10" fillId="0" borderId="0" applyAlignment="1" pivotButton="0" quotePrefix="0" xfId="0">
      <alignment horizontal="left" vertical="bottom"/>
    </xf>
    <xf numFmtId="0" fontId="7" fillId="0" borderId="0" applyAlignment="1" pivotButton="0" quotePrefix="0" xfId="0">
      <alignment horizontal="general" vertical="bottom"/>
    </xf>
    <xf numFmtId="0" fontId="7" fillId="0" borderId="0" applyAlignment="1" pivotButton="0" quotePrefix="0" xfId="0">
      <alignment horizontal="left" vertical="bottom"/>
    </xf>
    <xf numFmtId="0" fontId="10" fillId="0" borderId="0" applyAlignment="1" pivotButton="0" quotePrefix="0" xfId="19">
      <alignment horizontal="general" vertical="bottom"/>
    </xf>
    <xf numFmtId="0" fontId="10" fillId="0" borderId="0" applyAlignment="1" pivotButton="0" quotePrefix="0" xfId="0">
      <alignment horizontal="general" vertical="bottom"/>
    </xf>
    <xf numFmtId="167" fontId="0" fillId="0" borderId="0" applyAlignment="1" pivotButton="0" quotePrefix="0" xfId="0">
      <alignment horizontal="general" vertical="bottom"/>
    </xf>
    <xf numFmtId="0" fontId="10" fillId="0" borderId="0" applyAlignment="1" pivotButton="0" quotePrefix="0" xfId="15">
      <alignment horizontal="general" vertical="bottom"/>
    </xf>
    <xf numFmtId="164" fontId="10" fillId="0" borderId="0" applyAlignment="1" pivotButton="0" quotePrefix="0" xfId="19">
      <alignment horizontal="general" vertical="bottom"/>
    </xf>
    <xf numFmtId="0" fontId="10" fillId="0" borderId="0" applyAlignment="1" pivotButton="0" quotePrefix="0" xfId="15">
      <alignment horizontal="left"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6" fillId="0" borderId="0" applyAlignment="1" pivotButton="0" quotePrefix="0" xfId="0">
      <alignment horizontal="general" vertical="bottom"/>
    </xf>
    <xf numFmtId="164" fontId="0" fillId="2" borderId="1" applyAlignment="1" pivotButton="0" quotePrefix="0" xfId="15">
      <alignment horizontal="general" vertical="bottom"/>
    </xf>
    <xf numFmtId="0" fontId="5" fillId="0" borderId="0" applyAlignment="1" pivotButton="0" quotePrefix="0" xfId="0">
      <alignment horizontal="general" vertical="bottom"/>
    </xf>
    <xf numFmtId="164" fontId="0" fillId="3" borderId="1" applyAlignment="1" pivotButton="0" quotePrefix="0" xfId="15">
      <alignment horizontal="general" vertical="bottom"/>
    </xf>
    <xf numFmtId="0" fontId="7" fillId="0" borderId="0" applyAlignment="1" pivotButton="0" quotePrefix="0" xfId="0">
      <alignment horizontal="general" vertical="bottom"/>
    </xf>
    <xf numFmtId="0" fontId="7" fillId="2" borderId="2" applyAlignment="1" applyProtection="1" pivotButton="0" quotePrefix="0" xfId="0">
      <alignment horizontal="general" vertical="bottom"/>
      <protection locked="0" hidden="0"/>
    </xf>
    <xf numFmtId="0" fontId="0" fillId="2" borderId="3" applyAlignment="1" pivotButton="0" quotePrefix="0" xfId="0">
      <alignment horizontal="general" vertical="bottom"/>
    </xf>
    <xf numFmtId="0" fontId="7" fillId="0" borderId="0" applyAlignment="1" pivotButton="0" quotePrefix="0" xfId="0">
      <alignment horizontal="right" vertical="bottom"/>
    </xf>
    <xf numFmtId="0" fontId="8" fillId="0" borderId="0" applyAlignment="1" pivotButton="0" quotePrefix="0" xfId="0">
      <alignment horizontal="right" vertical="bottom"/>
    </xf>
    <xf numFmtId="0" fontId="9" fillId="0" borderId="0" applyAlignment="1" pivotButton="0" quotePrefix="0" xfId="0">
      <alignment horizontal="general" vertical="bottom"/>
    </xf>
    <xf numFmtId="165" fontId="7" fillId="0" borderId="0" applyAlignment="1" pivotButton="0" quotePrefix="0" xfId="0">
      <alignment horizontal="general" vertical="bottom"/>
    </xf>
    <xf numFmtId="0" fontId="9" fillId="0" borderId="0" applyAlignment="1" pivotButton="0" quotePrefix="0" xfId="0">
      <alignment horizontal="left" vertical="bottom"/>
    </xf>
    <xf numFmtId="0" fontId="10" fillId="0" borderId="0" applyAlignment="1" pivotButton="0" quotePrefix="0" xfId="0">
      <alignment horizontal="general" vertical="bottom"/>
    </xf>
    <xf numFmtId="0" fontId="10" fillId="0" borderId="0" applyAlignment="1" applyProtection="1" pivotButton="0" quotePrefix="0" xfId="0">
      <alignment horizontal="general" vertical="bottom"/>
      <protection locked="0" hidden="0"/>
    </xf>
    <xf numFmtId="0" fontId="7" fillId="0" borderId="0" applyAlignment="1" pivotButton="0" quotePrefix="0" xfId="0">
      <alignment horizontal="left" vertical="bottom"/>
    </xf>
    <xf numFmtId="166" fontId="10" fillId="2" borderId="0" applyAlignment="1" applyProtection="1" pivotButton="0" quotePrefix="0" xfId="17">
      <alignment horizontal="general" vertical="bottom"/>
      <protection locked="0" hidden="0"/>
    </xf>
    <xf numFmtId="166" fontId="10" fillId="0" borderId="0" applyAlignment="1" pivotButton="0" quotePrefix="0" xfId="17">
      <alignment horizontal="general" vertical="bottom"/>
    </xf>
    <xf numFmtId="166" fontId="10" fillId="0" borderId="0" applyAlignment="1" pivotButton="0" quotePrefix="0" xfId="0">
      <alignment horizontal="general" vertical="bottom"/>
    </xf>
    <xf numFmtId="167" fontId="10" fillId="2" borderId="0" applyAlignment="1" applyProtection="1" pivotButton="0" quotePrefix="0" xfId="15">
      <alignment horizontal="general" vertical="bottom"/>
      <protection locked="0" hidden="0"/>
    </xf>
    <xf numFmtId="166" fontId="10" fillId="0" borderId="0" applyAlignment="1" pivotButton="0" quotePrefix="0" xfId="15">
      <alignment horizontal="general" vertical="bottom"/>
    </xf>
    <xf numFmtId="164" fontId="10" fillId="3" borderId="0" applyAlignment="1" applyProtection="1" pivotButton="0" quotePrefix="0" xfId="15">
      <alignment horizontal="general" vertical="bottom"/>
      <protection locked="0" hidden="0"/>
    </xf>
    <xf numFmtId="164" fontId="10" fillId="0" borderId="0" applyAlignment="1" applyProtection="1" pivotButton="0" quotePrefix="0" xfId="15">
      <alignment horizontal="general" vertical="bottom"/>
      <protection locked="0" hidden="0"/>
    </xf>
    <xf numFmtId="166" fontId="10" fillId="0" borderId="4" applyAlignment="1" pivotButton="0" quotePrefix="0" xfId="0">
      <alignment horizontal="general" vertical="bottom"/>
    </xf>
    <xf numFmtId="167" fontId="10" fillId="0" borderId="0" applyAlignment="1" pivotButton="0" quotePrefix="0" xfId="15">
      <alignment horizontal="general" vertical="bottom"/>
    </xf>
    <xf numFmtId="164" fontId="10" fillId="0" borderId="0" applyAlignment="1" applyProtection="1" pivotButton="0" quotePrefix="0" xfId="0">
      <alignment horizontal="general" vertical="bottom"/>
      <protection locked="0" hidden="0"/>
    </xf>
    <xf numFmtId="166" fontId="10" fillId="0" borderId="5" applyAlignment="1" pivotButton="0" quotePrefix="0" xfId="0">
      <alignment horizontal="general" vertical="bottom"/>
    </xf>
    <xf numFmtId="10" fontId="10" fillId="0" borderId="0" applyAlignment="1" pivotButton="0" quotePrefix="0" xfId="19">
      <alignment horizontal="general" vertical="bottom"/>
    </xf>
    <xf numFmtId="10" fontId="10" fillId="3" borderId="0" applyAlignment="1" applyProtection="1" pivotButton="0" quotePrefix="0" xfId="19">
      <alignment horizontal="general" vertical="bottom"/>
      <protection locked="0" hidden="0"/>
    </xf>
    <xf numFmtId="168" fontId="10" fillId="0" borderId="0" applyAlignment="1" pivotButton="0" quotePrefix="0" xfId="0">
      <alignment horizontal="general" vertical="bottom"/>
    </xf>
    <xf numFmtId="167" fontId="10" fillId="0" borderId="4" applyAlignment="1" pivotButton="0" quotePrefix="0" xfId="15">
      <alignment horizontal="general" vertical="bottom"/>
    </xf>
    <xf numFmtId="168" fontId="10" fillId="0" borderId="4" applyAlignment="1" pivotButton="0" quotePrefix="0" xfId="0">
      <alignment horizontal="general" vertical="bottom"/>
    </xf>
    <xf numFmtId="10" fontId="10" fillId="0" borderId="0" applyAlignment="1" pivotButton="0" quotePrefix="0" xfId="0">
      <alignment horizontal="general" vertical="bottom"/>
    </xf>
    <xf numFmtId="166" fontId="10" fillId="0" borderId="5" applyAlignment="1" pivotButton="0" quotePrefix="0" xfId="17">
      <alignment horizontal="general" vertical="bottom"/>
    </xf>
    <xf numFmtId="168" fontId="10" fillId="0" borderId="6"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0" fillId="0" borderId="0" applyAlignment="1" pivotButton="0" quotePrefix="0" xfId="0">
      <alignment horizontal="center" vertical="bottom"/>
    </xf>
    <xf numFmtId="0" fontId="10" fillId="0" borderId="0" applyAlignment="1" pivotButton="0" quotePrefix="0" xfId="0">
      <alignment horizontal="center" vertical="bottom"/>
    </xf>
    <xf numFmtId="0" fontId="7" fillId="0" borderId="0" applyAlignment="1" pivotButton="0" quotePrefix="0" xfId="0">
      <alignment horizontal="center" vertical="bottom"/>
    </xf>
    <xf numFmtId="0" fontId="7" fillId="0" borderId="7" applyAlignment="1" pivotButton="0" quotePrefix="0" xfId="0">
      <alignment horizontal="right" vertical="bottom"/>
    </xf>
    <xf numFmtId="10" fontId="10" fillId="2" borderId="0" applyAlignment="1" applyProtection="1" pivotButton="0" quotePrefix="0" xfId="19">
      <alignment horizontal="general" vertical="bottom"/>
      <protection locked="0" hidden="0"/>
    </xf>
    <xf numFmtId="0" fontId="10" fillId="2" borderId="0" applyAlignment="1" applyProtection="1" pivotButton="0" quotePrefix="0" xfId="0">
      <alignment horizontal="center" vertical="bottom"/>
      <protection locked="0" hidden="0"/>
    </xf>
    <xf numFmtId="164" fontId="10" fillId="2" borderId="0" applyAlignment="1" applyProtection="1" pivotButton="0" quotePrefix="0" xfId="15">
      <alignment horizontal="general" vertical="bottom"/>
      <protection locked="0" hidden="0"/>
    </xf>
    <xf numFmtId="164" fontId="10" fillId="0" borderId="0" applyAlignment="1" pivotButton="0" quotePrefix="0" xfId="15">
      <alignment horizontal="general" vertical="bottom"/>
    </xf>
    <xf numFmtId="169" fontId="10" fillId="2" borderId="0" applyAlignment="1" applyProtection="1" pivotButton="0" quotePrefix="0" xfId="17">
      <alignment horizontal="general" vertical="bottom"/>
      <protection locked="0" hidden="0"/>
    </xf>
    <xf numFmtId="169" fontId="10" fillId="0" borderId="0" applyAlignment="1" pivotButton="0" quotePrefix="0" xfId="17">
      <alignment horizontal="general" vertical="bottom"/>
    </xf>
    <xf numFmtId="166" fontId="10" fillId="3" borderId="0" applyAlignment="1" applyProtection="1" pivotButton="0" quotePrefix="0" xfId="17">
      <alignment horizontal="general" vertical="bottom"/>
      <protection locked="0" hidden="0"/>
    </xf>
    <xf numFmtId="10" fontId="10" fillId="3" borderId="0" applyAlignment="1" applyProtection="1" pivotButton="0" quotePrefix="0" xfId="0">
      <alignment horizontal="general" vertical="bottom"/>
      <protection locked="0" hidden="0"/>
    </xf>
    <xf numFmtId="167" fontId="10" fillId="2" borderId="4" applyAlignment="1" applyProtection="1" pivotButton="0" quotePrefix="0" xfId="15">
      <alignment horizontal="general" vertical="bottom"/>
      <protection locked="0" hidden="0"/>
    </xf>
    <xf numFmtId="167" fontId="10" fillId="0" borderId="0" applyAlignment="1" pivotButton="0" quotePrefix="0" xfId="0">
      <alignment horizontal="general" vertical="bottom"/>
    </xf>
    <xf numFmtId="0" fontId="10" fillId="0" borderId="4" applyAlignment="1" pivotButton="0" quotePrefix="0" xfId="0">
      <alignment horizontal="general" vertical="bottom"/>
    </xf>
    <xf numFmtId="167" fontId="10" fillId="0" borderId="5" applyAlignment="1" pivotButton="0" quotePrefix="0" xfId="15">
      <alignment horizontal="general" vertical="bottom"/>
    </xf>
    <xf numFmtId="0" fontId="7" fillId="3" borderId="0" applyAlignment="1" applyProtection="1" pivotButton="0" quotePrefix="0" xfId="0">
      <alignment horizontal="general" vertical="bottom"/>
      <protection locked="0" hidden="0"/>
    </xf>
    <xf numFmtId="0" fontId="7" fillId="3" borderId="0" applyAlignment="1" pivotButton="0" quotePrefix="0" xfId="0">
      <alignment horizontal="general" vertical="bottom"/>
    </xf>
    <xf numFmtId="0" fontId="10" fillId="3" borderId="0" applyAlignment="1" pivotButton="0" quotePrefix="0" xfId="0">
      <alignment horizontal="general" vertical="bottom"/>
    </xf>
    <xf numFmtId="0" fontId="0" fillId="0" borderId="0" applyAlignment="1" pivotButton="0" quotePrefix="0" xfId="0">
      <alignment horizontal="right" vertical="bottom"/>
    </xf>
    <xf numFmtId="0" fontId="10" fillId="0" borderId="0" applyAlignment="1" pivotButton="0" quotePrefix="0" xfId="0">
      <alignment horizontal="right" vertical="bottom"/>
    </xf>
    <xf numFmtId="0" fontId="7" fillId="2" borderId="7" applyAlignment="1" applyProtection="1" pivotButton="0" quotePrefix="0" xfId="0">
      <alignment horizontal="right" vertical="bottom"/>
      <protection locked="0" hidden="0"/>
    </xf>
    <xf numFmtId="0" fontId="7" fillId="2" borderId="0" applyAlignment="1" applyProtection="1" pivotButton="0" quotePrefix="0" xfId="0">
      <alignment horizontal="general" vertical="bottom"/>
      <protection locked="0" hidden="0"/>
    </xf>
    <xf numFmtId="169" fontId="10" fillId="2" borderId="0" applyAlignment="1" applyProtection="1" pivotButton="0" quotePrefix="0" xfId="17">
      <alignment horizontal="right" vertical="bottom"/>
      <protection locked="0" hidden="0"/>
    </xf>
    <xf numFmtId="10" fontId="10" fillId="0" borderId="0" applyAlignment="1" pivotButton="0" quotePrefix="0" xfId="19">
      <alignment horizontal="right" vertical="bottom"/>
    </xf>
    <xf numFmtId="169" fontId="10" fillId="2" borderId="8" applyAlignment="1" applyProtection="1" pivotButton="0" quotePrefix="0" xfId="17">
      <alignment horizontal="right" vertical="bottom"/>
      <protection locked="0" hidden="0"/>
    </xf>
    <xf numFmtId="169" fontId="10" fillId="0" borderId="0" applyAlignment="1" pivotButton="0" quotePrefix="0" xfId="17">
      <alignment horizontal="right" vertical="bottom"/>
    </xf>
    <xf numFmtId="10" fontId="10" fillId="0" borderId="4" applyAlignment="1" pivotButton="0" quotePrefix="0" xfId="19">
      <alignment horizontal="general" vertical="bottom"/>
    </xf>
    <xf numFmtId="10" fontId="10" fillId="0" borderId="4" applyAlignment="1" pivotButton="0" quotePrefix="0" xfId="0">
      <alignment horizontal="general" vertical="bottom"/>
    </xf>
    <xf numFmtId="10" fontId="10" fillId="2" borderId="0" applyAlignment="1" applyProtection="1" pivotButton="0" quotePrefix="0" xfId="19">
      <alignment horizontal="right" vertical="bottom"/>
      <protection locked="0" hidden="0"/>
    </xf>
    <xf numFmtId="0" fontId="10" fillId="0" borderId="0" applyAlignment="1" pivotButton="0" quotePrefix="0" xfId="0">
      <alignment horizontal="left" vertical="bottom"/>
    </xf>
    <xf numFmtId="167" fontId="10" fillId="3" borderId="0" applyAlignment="1" applyProtection="1" pivotButton="0" quotePrefix="0" xfId="15">
      <alignment horizontal="general" vertical="bottom"/>
      <protection locked="0" hidden="0"/>
    </xf>
    <xf numFmtId="166" fontId="10" fillId="0" borderId="0" applyAlignment="1" pivotButton="0" quotePrefix="0" xfId="17">
      <alignment horizontal="right" vertical="bottom"/>
    </xf>
    <xf numFmtId="167" fontId="10" fillId="0" borderId="8" applyAlignment="1" pivotButton="0" quotePrefix="0" xfId="15">
      <alignment horizontal="right" vertical="bottom"/>
    </xf>
    <xf numFmtId="167" fontId="10" fillId="0" borderId="0" applyAlignment="1" pivotButton="0" quotePrefix="0" xfId="15">
      <alignment horizontal="right" vertical="bottom"/>
    </xf>
    <xf numFmtId="167" fontId="10" fillId="0" borderId="9" applyAlignment="1" pivotButton="0" quotePrefix="0" xfId="15">
      <alignment horizontal="right" vertical="bottom"/>
    </xf>
    <xf numFmtId="0" fontId="11" fillId="0" borderId="0" applyAlignment="1" pivotButton="0" quotePrefix="0" xfId="0">
      <alignment horizontal="right" vertical="bottom"/>
    </xf>
    <xf numFmtId="10" fontId="11" fillId="0" borderId="0" applyAlignment="1" pivotButton="0" quotePrefix="0" xfId="19">
      <alignment horizontal="right" vertical="bottom"/>
    </xf>
    <xf numFmtId="167" fontId="11" fillId="0" borderId="0" applyAlignment="1" pivotButton="0" quotePrefix="0" xfId="15">
      <alignment horizontal="general" vertical="bottom"/>
    </xf>
    <xf numFmtId="167" fontId="11" fillId="0" borderId="0" applyAlignment="1" pivotButton="0" quotePrefix="0" xfId="0">
      <alignment horizontal="general" vertical="bottom"/>
    </xf>
    <xf numFmtId="166" fontId="11" fillId="0" borderId="0" applyAlignment="1" pivotButton="0" quotePrefix="0" xfId="17">
      <alignment horizontal="right" vertical="bottom"/>
    </xf>
    <xf numFmtId="167" fontId="11" fillId="0" borderId="0" applyAlignment="1" pivotButton="0" quotePrefix="0" xfId="15">
      <alignment horizontal="right" vertical="bottom"/>
    </xf>
    <xf numFmtId="166" fontId="11" fillId="0" borderId="0" applyAlignment="1" pivotButton="0" quotePrefix="0" xfId="0">
      <alignment horizontal="right" vertical="bottom"/>
    </xf>
    <xf numFmtId="10" fontId="10" fillId="2" borderId="0" applyAlignment="1" applyProtection="1" pivotButton="0" quotePrefix="0" xfId="17">
      <alignment horizontal="right" vertical="bottom"/>
      <protection locked="0" hidden="0"/>
    </xf>
    <xf numFmtId="10" fontId="10" fillId="2" borderId="4" applyAlignment="1" applyProtection="1" pivotButton="0" quotePrefix="0" xfId="19">
      <alignment horizontal="general" vertical="bottom"/>
      <protection locked="0" hidden="0"/>
    </xf>
    <xf numFmtId="10" fontId="7" fillId="0" borderId="5" applyAlignment="1" pivotButton="0" quotePrefix="0" xfId="19">
      <alignment horizontal="general" vertical="bottom"/>
    </xf>
    <xf numFmtId="167" fontId="13" fillId="0" borderId="0" applyAlignment="1" pivotButton="0" quotePrefix="0" xfId="15">
      <alignment horizontal="general" vertical="bottom"/>
    </xf>
    <xf numFmtId="170" fontId="7" fillId="2" borderId="7" applyAlignment="1" applyProtection="1" pivotButton="0" quotePrefix="0" xfId="0">
      <alignment horizontal="right" vertical="bottom"/>
      <protection locked="0" hidden="0"/>
    </xf>
    <xf numFmtId="0" fontId="12" fillId="0" borderId="0" applyAlignment="1" pivotButton="0" quotePrefix="0" xfId="0">
      <alignment horizontal="right" vertical="bottom"/>
    </xf>
    <xf numFmtId="167" fontId="10" fillId="0" borderId="4" applyAlignment="1" pivotButton="0" quotePrefix="0" xfId="0">
      <alignment horizontal="general" vertical="bottom"/>
    </xf>
    <xf numFmtId="167" fontId="10" fillId="0" borderId="10" applyAlignment="1" pivotButton="0" quotePrefix="0" xfId="15">
      <alignment horizontal="general" vertical="bottom"/>
    </xf>
    <xf numFmtId="167" fontId="13" fillId="0" borderId="0" applyAlignment="1" pivotButton="0" quotePrefix="0" xfId="0">
      <alignment horizontal="general" vertical="bottom"/>
    </xf>
    <xf numFmtId="167" fontId="0" fillId="0" borderId="0" applyAlignment="1" pivotButton="0" quotePrefix="0" xfId="0">
      <alignment horizontal="general" vertical="bottom"/>
    </xf>
    <xf numFmtId="167" fontId="10" fillId="3" borderId="4" applyAlignment="1" applyProtection="1" pivotButton="0" quotePrefix="0" xfId="15">
      <alignment horizontal="general" vertical="bottom"/>
      <protection locked="0" hidden="0"/>
    </xf>
    <xf numFmtId="171" fontId="10" fillId="0" borderId="0" applyAlignment="1" pivotButton="0" quotePrefix="0" xfId="0">
      <alignment horizontal="general" vertical="bottom"/>
    </xf>
    <xf numFmtId="10" fontId="10" fillId="0" borderId="0" applyAlignment="1" pivotButton="0" quotePrefix="0" xfId="19">
      <alignment horizontal="left" vertical="bottom" indent="3"/>
    </xf>
    <xf numFmtId="167" fontId="10" fillId="0" borderId="0" applyAlignment="1" pivotButton="0" quotePrefix="0" xfId="19">
      <alignment horizontal="general" vertical="bottom"/>
    </xf>
    <xf numFmtId="164" fontId="0" fillId="0" borderId="0" applyAlignment="1" pivotButton="0" quotePrefix="0" xfId="15">
      <alignment horizontal="general" vertical="bottom"/>
    </xf>
    <xf numFmtId="10" fontId="7" fillId="0" borderId="0" applyAlignment="1" pivotButton="0" quotePrefix="0" xfId="19">
      <alignment horizontal="general" vertical="bottom"/>
    </xf>
    <xf numFmtId="164" fontId="10" fillId="0" borderId="0" applyAlignment="1" pivotButton="0" quotePrefix="0" xfId="0">
      <alignment horizontal="general" vertical="bottom"/>
    </xf>
    <xf numFmtId="167" fontId="10" fillId="0" borderId="0" applyAlignment="1" pivotButton="0" quotePrefix="0" xfId="0">
      <alignment horizontal="left" vertical="bottom"/>
    </xf>
    <xf numFmtId="0" fontId="10" fillId="0" borderId="0" applyAlignment="1" pivotButton="0" quotePrefix="0" xfId="19">
      <alignment horizontal="general" vertical="bottom"/>
    </xf>
    <xf numFmtId="0" fontId="10" fillId="0" borderId="0" applyAlignment="1" pivotButton="0" quotePrefix="0" xfId="15">
      <alignment horizontal="general" vertical="bottom"/>
    </xf>
    <xf numFmtId="164" fontId="10" fillId="0" borderId="0" applyAlignment="1" pivotButton="0" quotePrefix="0" xfId="19">
      <alignment horizontal="general" vertical="bottom"/>
    </xf>
    <xf numFmtId="0" fontId="10" fillId="0" borderId="0" applyAlignment="1" pivotButton="0" quotePrefix="0" xfId="15">
      <alignment horizontal="left"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 </author>
  </authors>
  <commentList>
    <comment ref="G8" authorId="0" shapeId="0">
      <text>
        <t>An indication of a company's ability to meet short-term debt obligations.</t>
      </text>
    </comment>
    <comment ref="G9" authorId="0" shapeId="0">
      <text>
        <t>The ratio between all assets quickly convertible into cash and current liabilities. Measures a company's liquidity. Also called acid-test ratio.</t>
      </text>
    </comment>
    <comment ref="G11" authorId="0" shapeId="0">
      <text>
        <t>This ratio expresses the relationship between capital contributed by creditors and that contributed by owners.</t>
      </text>
    </comment>
    <comment ref="G12" authorId="0" shapeId="0">
      <text>
        <t>This ratio indicates how well your cash flow covers debt and the capability of the business to take on additional debt.</t>
      </text>
    </comment>
    <comment ref="G14" authorId="0" shapeId="0">
      <text>
        <t>This ratio calculates the percentage of increase (or decrease) in sales between the current year and the previous year.</t>
      </text>
    </comment>
    <comment ref="G15" authorId="0" shapeId="0">
      <text>
        <t>The percentage of sales used to pay for the COGS (expenses which directly vary with sales) is expressed in this ratio.</t>
      </text>
    </comment>
    <comment ref="G16" authorId="0" shapeId="0">
      <text>
        <t>This ratio indicates how much profit is earned on your products without consideration of indirect costs, selling and administration costs.</t>
      </text>
    </comment>
    <comment ref="G17" authorId="0" shapeId="0">
      <text>
        <t>This ratio measures the percentage of selling, general and administrative costs to your amount of sales.</t>
      </text>
    </comment>
    <comment ref="G18" authorId="0" shapeId="0">
      <text>
        <t>Net profit margin shows how much profit comes from every dollar of sales.</t>
      </text>
    </comment>
    <comment ref="G19" authorId="0" shapeId="0">
      <text>
        <t>Return on equity determines the rate of return on your investment in the business.  As an owner or shareholder this is one of the most important ratios as it shows the hard fact about the business - are you making enough of a profit to compensate you for the risk of being in business?</t>
      </text>
    </comment>
    <comment ref="G20" authorId="0" shapeId="0">
      <text>
        <t>This ratio measures how effectively assets are used to generate a return.</t>
      </text>
    </comment>
    <comment ref="G21" authorId="0" shapeId="0">
      <text>
        <t>This ratio measures the owner's compensation as a percentage of sales.</t>
      </text>
    </comment>
    <comment ref="G23" authorId="0" shapeId="0">
      <text>
        <t>Days in receivable calculates the average number of days it takes to collect your account receivable (number of days of sales in receivables).</t>
      </text>
    </comment>
    <comment ref="G24" authorId="0" shapeId="0">
      <text>
        <t>This ratio tells you the number of times accounts receivable turnover during the year.</t>
      </text>
    </comment>
    <comment ref="G25" authorId="0" shapeId="0">
      <text>
        <t>This ratio shows the average number of days it will take to sell your inventory.</t>
      </text>
    </comment>
    <comment ref="G26" authorId="0" shapeId="0">
      <text>
        <t>This ratio calculates the number of times inventory is turned over (or sold) during the year.</t>
      </text>
    </comment>
    <comment ref="G27" authorId="0" shapeId="0">
      <text>
        <t>This ratio indicates how efficiently your business generates sales on every dollar of assets.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9.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0"/>
  </sheetPr>
  <dimension ref="B1:C32"/>
  <sheetViews>
    <sheetView showFormulas="0" showGridLines="0" showRowColHeaders="0" showZeros="1" rightToLeft="0" tabSelected="1" showOutlineSymbols="1" defaultGridColor="1" view="normal" topLeftCell="A1" colorId="64" zoomScale="100" zoomScaleNormal="100" zoomScalePageLayoutView="100" workbookViewId="0">
      <selection pane="topLeft" activeCell="B19" activeCellId="0" sqref="B19"/>
    </sheetView>
  </sheetViews>
  <sheetFormatPr baseColWidth="8" defaultColWidth="9.15234375" defaultRowHeight="12" zeroHeight="0" outlineLevelRow="0"/>
  <cols>
    <col width="7.72" customWidth="1" style="130" min="1" max="1"/>
    <col width="33.77" customWidth="1" style="130" min="2" max="2"/>
    <col width="15.16" customWidth="1" style="130" min="3" max="3"/>
  </cols>
  <sheetData>
    <row r="1" ht="18" customHeight="1" s="131">
      <c r="B1" s="132" t="inlineStr">
        <is>
          <t>Financial Projection Model</t>
        </is>
      </c>
    </row>
    <row r="3" ht="12" customHeight="1" s="131">
      <c r="B3" s="130" t="inlineStr">
        <is>
          <t>This spreadsheet walks you through the process of developing an integrated set of financial projections.</t>
        </is>
      </c>
    </row>
    <row r="5" ht="12" customHeight="1" s="131">
      <c r="B5" s="130" t="inlineStr">
        <is>
          <t>To use this model, simply complete any information asked for found in the color yellow.</t>
        </is>
      </c>
    </row>
    <row r="6" ht="12" customHeight="1" s="131">
      <c r="B6" s="133" t="inlineStr">
        <is>
          <t>Example:  Fill in boxes that look like this</t>
        </is>
      </c>
      <c r="C6" s="134" t="n">
        <v>0</v>
      </c>
    </row>
    <row r="8" ht="12" customHeight="1" s="131">
      <c r="B8" s="135" t="inlineStr">
        <is>
          <t>A number found in the color green is optional information that you can complete.</t>
        </is>
      </c>
    </row>
    <row r="9" ht="12" customHeight="1" s="131">
      <c r="B9" s="133" t="inlineStr">
        <is>
          <t>Example:  Check these assumptions</t>
        </is>
      </c>
      <c r="C9" s="136" t="n">
        <v>0</v>
      </c>
    </row>
    <row r="11" ht="12" customHeight="1" s="131">
      <c r="B11" s="130" t="inlineStr">
        <is>
          <t>Otherwise, any information found in black type is automatically calculated for you.</t>
        </is>
      </c>
    </row>
    <row r="12" ht="12" customHeight="1" s="131">
      <c r="B12" s="130" t="inlineStr">
        <is>
          <t>Although the cells that are calculated are locked (or protected), you can turn off this protection to modify the sheets.</t>
        </is>
      </c>
    </row>
    <row r="13" ht="12" customHeight="1" s="131">
      <c r="B13" s="130" t="inlineStr">
        <is>
          <t>To do this, select "Tools" from the menu bar at the top of the screen.  Then select, "Protection."</t>
        </is>
      </c>
    </row>
    <row r="14" ht="12" customHeight="1" s="131">
      <c r="B14" s="130" t="inlineStr">
        <is>
          <t>Finally, select "Unprotect Sheet" and you will be able to edit any labels or formulas.</t>
        </is>
      </c>
    </row>
    <row r="16" ht="12" customHeight="1" s="131">
      <c r="B16" s="130" t="inlineStr">
        <is>
          <t>Before you begin, we need some information about your business to best customize your financial statements.</t>
        </is>
      </c>
    </row>
    <row r="17" ht="12" customHeight="1" s="131">
      <c r="B17" s="137" t="inlineStr">
        <is>
          <t>Please enter the name of your business in the box below:</t>
        </is>
      </c>
    </row>
    <row r="18" ht="6" customHeight="1" s="131"/>
    <row r="19" ht="18" customHeight="1" s="131">
      <c r="B19" s="138" t="inlineStr">
        <is>
          <t>Enter Your Business Name Here</t>
        </is>
      </c>
      <c r="C19" s="139" t="n"/>
    </row>
    <row r="22" ht="12" customHeight="1" s="131">
      <c r="B22" s="130" t="inlineStr">
        <is>
          <t>The first six worksheets in this workbook are steps you will need to complete.  They are titled:</t>
        </is>
      </c>
    </row>
    <row r="23" ht="12" customHeight="1" s="131">
      <c r="B23" s="130" t="inlineStr">
        <is>
          <t>1.  Required Start-Up Funds</t>
        </is>
      </c>
    </row>
    <row r="24" ht="12" customHeight="1" s="131">
      <c r="B24" s="130" t="inlineStr">
        <is>
          <t>2.  Salaries and Wages</t>
        </is>
      </c>
    </row>
    <row r="25" ht="12" customHeight="1" s="131">
      <c r="B25" s="130" t="inlineStr">
        <is>
          <t>3.  Fixed Operating Expenses</t>
        </is>
      </c>
    </row>
    <row r="26" ht="12" customHeight="1" s="131">
      <c r="B26" s="130" t="inlineStr">
        <is>
          <t>4.  Projected Sales Forecast (2 sheets)</t>
        </is>
      </c>
    </row>
    <row r="27" ht="12" customHeight="1" s="131">
      <c r="B27" s="130" t="inlineStr">
        <is>
          <t>5.  Cash Receipts and Disbursements</t>
        </is>
      </c>
    </row>
    <row r="28" ht="12" customHeight="1" s="131">
      <c r="B28" s="130" t="inlineStr">
        <is>
          <t>The sixth step titled, "Beginning Balance Sheet" is for existing businesses only.</t>
        </is>
      </c>
    </row>
    <row r="31" ht="12" customHeight="1" s="131">
      <c r="B31" s="140" t="inlineStr">
        <is>
          <t>Begin by clicking on the tabs below</t>
        </is>
      </c>
    </row>
    <row r="32" ht="12" customHeight="1" s="131">
      <c r="B32" s="141" t="inlineStr">
        <is>
          <t>q</t>
        </is>
      </c>
    </row>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2.xml><?xml version="1.0" encoding="utf-8"?>
<worksheet xmlns="http://schemas.openxmlformats.org/spreadsheetml/2006/main">
  <sheetPr filterMode="0">
    <tabColor rgb="FFFFFF99"/>
    <outlinePr summaryBelow="1" summaryRight="1"/>
    <pageSetUpPr fitToPage="0"/>
  </sheetPr>
  <dimension ref="A1:O50"/>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E8" activeCellId="0" sqref="E8"/>
    </sheetView>
  </sheetViews>
  <sheetFormatPr baseColWidth="8" defaultColWidth="9.15234375" defaultRowHeight="12" zeroHeight="0" outlineLevelRow="0"/>
  <cols>
    <col width="2.99" customWidth="1" style="130" min="1" max="1"/>
    <col width="2.99" customWidth="1" style="137" min="2" max="3"/>
    <col width="25.76" customWidth="1" style="130" min="4" max="4"/>
    <col width="16.74" customWidth="1" style="130" min="5" max="5"/>
    <col width="2.99" customWidth="1" style="130" min="6" max="6"/>
    <col width="20.74" customWidth="1" style="130" min="7" max="7"/>
    <col width="16.74" customWidth="1" style="130" min="8" max="9"/>
    <col width="18.89" customWidth="1" style="130" min="10" max="10"/>
    <col width="16.74" customWidth="1" style="130" min="11" max="11"/>
    <col width="14.73" customWidth="1" style="130" min="12" max="14"/>
  </cols>
  <sheetData>
    <row r="1" ht="15.75" customHeight="1" s="131">
      <c r="A1" s="142">
        <f>Introduction!B19</f>
        <v/>
      </c>
      <c r="B1" s="142" t="n"/>
      <c r="C1" s="142" t="n"/>
      <c r="D1" s="142" t="n"/>
      <c r="E1" s="142" t="n"/>
      <c r="F1" s="142" t="n"/>
      <c r="G1" s="142" t="n"/>
      <c r="H1" s="142" t="n"/>
      <c r="I1" s="142" t="n"/>
      <c r="J1" s="142" t="n"/>
      <c r="K1" s="142" t="n"/>
      <c r="L1" s="142" t="n"/>
      <c r="M1" s="143">
        <f>NOW()</f>
        <v/>
      </c>
      <c r="N1" s="142" t="n"/>
      <c r="O1" s="142" t="n"/>
    </row>
    <row r="2" ht="15.75" customHeight="1" s="131">
      <c r="A2" s="144" t="inlineStr">
        <is>
          <t>Required Start-Up Funds</t>
        </is>
      </c>
      <c r="B2" s="144" t="n"/>
      <c r="C2" s="144" t="n"/>
      <c r="D2" s="144" t="n"/>
      <c r="E2" s="144" t="n"/>
      <c r="F2" s="144" t="n"/>
      <c r="G2" s="144" t="n"/>
      <c r="H2" s="144" t="n"/>
      <c r="I2" s="144" t="n"/>
      <c r="J2" s="144" t="n"/>
      <c r="K2" s="144" t="n"/>
      <c r="L2" s="144" t="n"/>
      <c r="M2" s="144" t="n"/>
      <c r="N2" s="142" t="n"/>
      <c r="O2" s="142" t="n"/>
    </row>
    <row r="3" ht="12.75" customHeight="1" s="131">
      <c r="A3" s="130" t="n"/>
      <c r="D3" s="145" t="n"/>
      <c r="E3" s="145" t="n"/>
      <c r="F3" s="145" t="n"/>
      <c r="G3" s="145" t="n"/>
      <c r="H3" s="145" t="n"/>
      <c r="I3" s="145" t="n"/>
      <c r="J3" s="145" t="n"/>
      <c r="K3" s="145" t="n"/>
      <c r="L3" s="145" t="n"/>
      <c r="M3" s="145" t="n"/>
    </row>
    <row r="4" ht="12.75" customHeight="1" s="131">
      <c r="A4" s="145" t="n"/>
      <c r="D4" s="145" t="n"/>
      <c r="E4" s="145" t="n"/>
      <c r="F4" s="145" t="n"/>
      <c r="G4" s="145" t="n"/>
      <c r="H4" s="145" t="n"/>
      <c r="I4" s="145" t="n"/>
      <c r="J4" s="145" t="n"/>
      <c r="K4" s="145" t="n"/>
      <c r="L4" s="145" t="n"/>
      <c r="M4" s="145" t="n"/>
    </row>
    <row r="5" ht="12.75" customHeight="1" s="131">
      <c r="A5" s="145" t="n"/>
      <c r="D5" s="145" t="n"/>
      <c r="E5" s="145" t="n"/>
      <c r="F5" s="145" t="n"/>
      <c r="G5" s="145" t="n"/>
      <c r="H5" s="145" t="n"/>
      <c r="I5" s="145" t="n"/>
      <c r="J5" s="145" t="n"/>
      <c r="K5" s="145" t="n"/>
      <c r="L5" s="145" t="n"/>
      <c r="M5" s="145" t="n"/>
    </row>
    <row r="6" ht="12.75" customFormat="1" customHeight="1" s="137">
      <c r="A6" s="137" t="inlineStr">
        <is>
          <t>Required Start-Up Funds</t>
        </is>
      </c>
      <c r="E6" s="140" t="inlineStr">
        <is>
          <t>Amount</t>
        </is>
      </c>
      <c r="F6" s="140" t="n"/>
      <c r="G6" s="140" t="inlineStr">
        <is>
          <t>Totals</t>
        </is>
      </c>
      <c r="H6" s="140" t="inlineStr">
        <is>
          <t>Depreciation</t>
        </is>
      </c>
      <c r="I6" s="140" t="n"/>
      <c r="J6" s="137" t="inlineStr">
        <is>
          <t>Notes</t>
        </is>
      </c>
    </row>
    <row r="7" ht="12.75" customHeight="1" s="131">
      <c r="A7" s="145" t="n"/>
      <c r="B7" s="137" t="inlineStr">
        <is>
          <t>Fixed Assets</t>
        </is>
      </c>
      <c r="D7" s="145" t="n"/>
      <c r="E7" s="145" t="n"/>
      <c r="F7" s="145" t="n"/>
      <c r="G7" s="145" t="n"/>
      <c r="H7" s="145" t="n"/>
      <c r="I7" s="145" t="n"/>
      <c r="J7" s="146" t="n"/>
      <c r="K7" s="146" t="n"/>
      <c r="L7" s="145" t="n"/>
      <c r="M7" s="145" t="n"/>
    </row>
    <row r="8" ht="12.75" customHeight="1" s="131">
      <c r="A8" s="145" t="n"/>
      <c r="C8" s="147" t="inlineStr">
        <is>
          <t>Real Estate</t>
        </is>
      </c>
      <c r="D8" s="145" t="n"/>
      <c r="E8" s="148" t="n">
        <v>0</v>
      </c>
      <c r="F8" s="149" t="n"/>
      <c r="G8" s="150" t="n"/>
      <c r="H8" s="145" t="n"/>
      <c r="I8" s="145" t="n"/>
      <c r="J8" s="146" t="n"/>
      <c r="K8" s="146" t="n"/>
      <c r="L8" s="145" t="n"/>
      <c r="M8" s="145" t="n"/>
    </row>
    <row r="9" ht="12.75" customHeight="1" s="131">
      <c r="A9" s="145" t="n"/>
      <c r="C9" s="147" t="inlineStr">
        <is>
          <t>Buildings</t>
        </is>
      </c>
      <c r="D9" s="145" t="n"/>
      <c r="E9" s="151" t="n">
        <v>0</v>
      </c>
      <c r="F9" s="152" t="n"/>
      <c r="G9" s="150" t="n"/>
      <c r="H9" s="153" t="n">
        <v>20</v>
      </c>
      <c r="I9" s="145" t="inlineStr">
        <is>
          <t xml:space="preserve"> years</t>
        </is>
      </c>
      <c r="J9" s="154" t="n"/>
      <c r="K9" s="146" t="n"/>
      <c r="L9" s="145" t="n"/>
      <c r="M9" s="145" t="n"/>
    </row>
    <row r="10" ht="12.75" customHeight="1" s="131">
      <c r="A10" s="145" t="n"/>
      <c r="C10" s="147" t="inlineStr">
        <is>
          <t>Leasehold Improvements</t>
        </is>
      </c>
      <c r="D10" s="145" t="n"/>
      <c r="E10" s="151" t="n">
        <v>0</v>
      </c>
      <c r="F10" s="152" t="n"/>
      <c r="G10" s="150" t="n"/>
      <c r="H10" s="153" t="n">
        <v>7</v>
      </c>
      <c r="I10" s="145" t="inlineStr">
        <is>
          <t xml:space="preserve"> years</t>
        </is>
      </c>
      <c r="J10" s="154" t="n"/>
      <c r="K10" s="146" t="n"/>
      <c r="L10" s="145" t="n"/>
      <c r="M10" s="145" t="n"/>
    </row>
    <row r="11" ht="12.75" customHeight="1" s="131">
      <c r="A11" s="145" t="n"/>
      <c r="C11" s="147" t="inlineStr">
        <is>
          <t>Equipment</t>
        </is>
      </c>
      <c r="D11" s="145" t="n"/>
      <c r="E11" s="151" t="n">
        <v>0</v>
      </c>
      <c r="F11" s="152" t="n"/>
      <c r="G11" s="150" t="n"/>
      <c r="H11" s="153" t="n">
        <v>7</v>
      </c>
      <c r="I11" s="145" t="inlineStr">
        <is>
          <t xml:space="preserve"> years</t>
        </is>
      </c>
      <c r="J11" s="154" t="n"/>
      <c r="K11" s="146" t="n"/>
      <c r="L11" s="145" t="n"/>
      <c r="M11" s="145" t="n"/>
    </row>
    <row r="12" ht="12.75" customHeight="1" s="131">
      <c r="A12" s="145" t="n"/>
      <c r="C12" s="147" t="inlineStr">
        <is>
          <t>Furniture and Fixtures</t>
        </is>
      </c>
      <c r="D12" s="145" t="n"/>
      <c r="E12" s="151" t="n">
        <v>0</v>
      </c>
      <c r="F12" s="152" t="n"/>
      <c r="G12" s="150" t="n"/>
      <c r="H12" s="153" t="n">
        <v>5</v>
      </c>
      <c r="I12" s="145" t="inlineStr">
        <is>
          <t xml:space="preserve"> years</t>
        </is>
      </c>
      <c r="J12" s="154" t="n"/>
      <c r="K12" s="146" t="n"/>
      <c r="L12" s="145" t="n"/>
      <c r="M12" s="145" t="n"/>
    </row>
    <row r="13" ht="12.75" customHeight="1" s="131">
      <c r="A13" s="145" t="n"/>
      <c r="C13" s="147" t="inlineStr">
        <is>
          <t>Vehicles</t>
        </is>
      </c>
      <c r="D13" s="145" t="n"/>
      <c r="E13" s="151" t="n">
        <v>0</v>
      </c>
      <c r="F13" s="152" t="n"/>
      <c r="G13" s="150" t="n"/>
      <c r="H13" s="153" t="n">
        <v>5</v>
      </c>
      <c r="I13" s="145" t="inlineStr">
        <is>
          <t xml:space="preserve"> years</t>
        </is>
      </c>
      <c r="J13" s="154" t="n"/>
      <c r="K13" s="146" t="n"/>
      <c r="L13" s="145" t="n"/>
      <c r="M13" s="145" t="n"/>
    </row>
    <row r="14" ht="12.75" customHeight="1" s="131">
      <c r="A14" s="145" t="n"/>
      <c r="C14" s="147" t="inlineStr">
        <is>
          <t>Other Fixed Assets</t>
        </is>
      </c>
      <c r="D14" s="145" t="n"/>
      <c r="E14" s="151" t="n">
        <v>0</v>
      </c>
      <c r="F14" s="152" t="n"/>
      <c r="G14" s="155" t="n"/>
      <c r="H14" s="153" t="n">
        <v>5</v>
      </c>
      <c r="I14" s="145" t="inlineStr">
        <is>
          <t xml:space="preserve"> years</t>
        </is>
      </c>
      <c r="J14" s="154" t="n"/>
      <c r="K14" s="146" t="n"/>
      <c r="L14" s="145" t="n"/>
      <c r="M14" s="145" t="n"/>
    </row>
    <row r="15" ht="12.75" customHeight="1" s="131">
      <c r="A15" s="145" t="n"/>
      <c r="B15" s="137" t="inlineStr">
        <is>
          <t>Total Fixed Assets</t>
        </is>
      </c>
      <c r="D15" s="145" t="n"/>
      <c r="E15" s="156" t="n"/>
      <c r="F15" s="150" t="n"/>
      <c r="G15" s="156">
        <f>SUM(E8:E14)</f>
        <v/>
      </c>
      <c r="H15" s="145" t="n"/>
      <c r="I15" s="145" t="n"/>
      <c r="J15" s="154" t="n"/>
      <c r="K15" s="146" t="n"/>
      <c r="L15" s="145" t="n"/>
      <c r="M15" s="145" t="n"/>
    </row>
    <row r="16" ht="12.75" customHeight="1" s="131">
      <c r="A16" s="145" t="n"/>
      <c r="D16" s="145" t="n"/>
      <c r="E16" s="156" t="n"/>
      <c r="F16" s="150" t="n"/>
      <c r="G16" s="150" t="n"/>
      <c r="H16" s="145" t="n"/>
      <c r="I16" s="145" t="n"/>
      <c r="J16" s="157" t="n"/>
      <c r="K16" s="146" t="n"/>
      <c r="L16" s="145" t="n"/>
      <c r="M16" s="145" t="n"/>
    </row>
    <row r="17" ht="12.75" customHeight="1" s="131">
      <c r="A17" s="145" t="n"/>
      <c r="B17" s="137" t="inlineStr">
        <is>
          <t>Operating Capital</t>
        </is>
      </c>
      <c r="D17" s="145" t="n"/>
      <c r="E17" s="156" t="n"/>
      <c r="F17" s="150" t="n"/>
      <c r="G17" s="150" t="n"/>
      <c r="H17" s="145" t="n"/>
      <c r="I17" s="145" t="n"/>
      <c r="J17" s="146" t="n"/>
      <c r="K17" s="146" t="n"/>
      <c r="L17" s="145" t="n"/>
      <c r="M17" s="145" t="n"/>
    </row>
    <row r="18" ht="12.75" customHeight="1" s="131">
      <c r="A18" s="145" t="n"/>
      <c r="C18" s="137" t="inlineStr">
        <is>
          <t>Pre-Opening Salaries and Wages</t>
        </is>
      </c>
      <c r="D18" s="145" t="n"/>
      <c r="E18" s="151" t="n">
        <v>0</v>
      </c>
      <c r="F18" s="149" t="n"/>
      <c r="G18" s="150" t="n"/>
      <c r="H18" s="145" t="n"/>
      <c r="I18" s="145" t="n"/>
      <c r="J18" s="146" t="n"/>
      <c r="K18" s="146" t="n"/>
      <c r="L18" s="145" t="n"/>
      <c r="M18" s="145" t="n"/>
    </row>
    <row r="19" ht="12.75" customHeight="1" s="131">
      <c r="A19" s="145" t="n"/>
      <c r="C19" s="137" t="inlineStr">
        <is>
          <t>Prepaid Insurance Premiums</t>
        </is>
      </c>
      <c r="D19" s="145" t="n"/>
      <c r="E19" s="151" t="n">
        <v>0</v>
      </c>
      <c r="F19" s="152" t="n"/>
      <c r="G19" s="150" t="n"/>
      <c r="H19" s="145" t="n"/>
      <c r="I19" s="145" t="n"/>
      <c r="J19" s="146" t="n"/>
      <c r="K19" s="146" t="n"/>
      <c r="L19" s="145" t="n"/>
      <c r="M19" s="145" t="n"/>
    </row>
    <row r="20" ht="12.75" customHeight="1" s="131">
      <c r="A20" s="145" t="n"/>
      <c r="C20" s="137" t="inlineStr">
        <is>
          <t>Beginning Inventory</t>
        </is>
      </c>
      <c r="D20" s="145" t="n"/>
      <c r="E20" s="151" t="n">
        <v>0</v>
      </c>
      <c r="F20" s="152" t="n"/>
      <c r="G20" s="150" t="n"/>
      <c r="H20" s="145" t="n"/>
      <c r="I20" s="145" t="n"/>
      <c r="J20" s="146" t="n"/>
      <c r="K20" s="146" t="n"/>
      <c r="L20" s="145" t="n"/>
      <c r="M20" s="145" t="n"/>
    </row>
    <row r="21" ht="12.75" customHeight="1" s="131">
      <c r="A21" s="145" t="n"/>
      <c r="C21" s="137" t="inlineStr">
        <is>
          <t>Legal and Accounting Fees</t>
        </is>
      </c>
      <c r="D21" s="145" t="n"/>
      <c r="E21" s="151" t="n">
        <v>0</v>
      </c>
      <c r="F21" s="152" t="n"/>
      <c r="G21" s="150" t="n"/>
      <c r="H21" s="145" t="n"/>
      <c r="I21" s="145" t="n"/>
      <c r="J21" s="146" t="n"/>
      <c r="K21" s="146" t="n"/>
      <c r="L21" s="145" t="n"/>
      <c r="M21" s="145" t="n"/>
    </row>
    <row r="22" ht="12.75" customHeight="1" s="131">
      <c r="A22" s="145" t="n"/>
      <c r="C22" s="137" t="inlineStr">
        <is>
          <t>Rent Deposits</t>
        </is>
      </c>
      <c r="D22" s="145" t="n"/>
      <c r="E22" s="151" t="n">
        <v>0</v>
      </c>
      <c r="F22" s="152" t="n"/>
      <c r="G22" s="150" t="n"/>
      <c r="H22" s="145" t="n"/>
      <c r="I22" s="145" t="n"/>
      <c r="J22" s="146" t="n"/>
      <c r="K22" s="146" t="n"/>
      <c r="L22" s="145" t="n"/>
      <c r="M22" s="145" t="n"/>
    </row>
    <row r="23" ht="12.75" customHeight="1" s="131">
      <c r="A23" s="145" t="n"/>
      <c r="C23" s="137" t="inlineStr">
        <is>
          <t>Utility Deposits</t>
        </is>
      </c>
      <c r="D23" s="145" t="n"/>
      <c r="E23" s="151" t="n">
        <v>0</v>
      </c>
      <c r="F23" s="152" t="n"/>
      <c r="G23" s="150" t="n"/>
      <c r="H23" s="145" t="n"/>
      <c r="I23" s="145" t="n"/>
      <c r="J23" s="146" t="n"/>
      <c r="K23" s="146" t="n"/>
      <c r="L23" s="145" t="n"/>
      <c r="M23" s="145" t="n"/>
    </row>
    <row r="24" ht="12.75" customHeight="1" s="131">
      <c r="A24" s="145" t="n"/>
      <c r="C24" s="137" t="inlineStr">
        <is>
          <t>Supplies</t>
        </is>
      </c>
      <c r="D24" s="145" t="n"/>
      <c r="E24" s="151" t="n">
        <v>0</v>
      </c>
      <c r="F24" s="152" t="n"/>
      <c r="G24" s="150" t="n"/>
      <c r="H24" s="145" t="n"/>
      <c r="I24" s="145" t="n"/>
      <c r="J24" s="146" t="n"/>
      <c r="K24" s="146" t="n"/>
      <c r="L24" s="145" t="n"/>
      <c r="M24" s="145" t="n"/>
    </row>
    <row r="25" ht="12.75" customHeight="1" s="131">
      <c r="A25" s="145" t="n"/>
      <c r="C25" s="137" t="inlineStr">
        <is>
          <t>Advertising and Promotions</t>
        </is>
      </c>
      <c r="D25" s="145" t="n"/>
      <c r="E25" s="151" t="n">
        <v>0</v>
      </c>
      <c r="F25" s="152" t="n"/>
      <c r="G25" s="150" t="n"/>
      <c r="H25" s="145" t="n"/>
      <c r="I25" s="145" t="n"/>
      <c r="J25" s="146" t="n"/>
      <c r="K25" s="146" t="n"/>
      <c r="L25" s="145" t="n"/>
      <c r="M25" s="145" t="n"/>
    </row>
    <row r="26" ht="12.75" customHeight="1" s="131">
      <c r="A26" s="145" t="n"/>
      <c r="C26" s="137" t="inlineStr">
        <is>
          <t>Licenses</t>
        </is>
      </c>
      <c r="D26" s="145" t="n"/>
      <c r="E26" s="151" t="n">
        <v>0</v>
      </c>
      <c r="F26" s="152" t="n"/>
      <c r="G26" s="150" t="n"/>
      <c r="H26" s="145" t="n"/>
      <c r="I26" s="145" t="n"/>
      <c r="J26" s="146" t="n"/>
      <c r="K26" s="146" t="n"/>
      <c r="L26" s="145" t="n"/>
      <c r="M26" s="145" t="n"/>
    </row>
    <row r="27" ht="12.75" customHeight="1" s="131">
      <c r="A27" s="145" t="n"/>
      <c r="C27" s="137" t="inlineStr">
        <is>
          <t>Other Initial Start-Up Costs</t>
        </is>
      </c>
      <c r="D27" s="145" t="n"/>
      <c r="E27" s="151" t="n">
        <v>0</v>
      </c>
      <c r="F27" s="152" t="n"/>
      <c r="G27" s="150" t="n"/>
      <c r="H27" s="145" t="n"/>
      <c r="I27" s="145" t="n"/>
      <c r="J27" s="146" t="n"/>
      <c r="K27" s="146" t="n"/>
      <c r="L27" s="145" t="n"/>
      <c r="M27" s="145" t="n"/>
    </row>
    <row r="28" ht="12.75" customHeight="1" s="131">
      <c r="A28" s="145" t="n"/>
      <c r="C28" s="137" t="inlineStr">
        <is>
          <t>Working Capital (Cash On Hand)</t>
        </is>
      </c>
      <c r="D28" s="145" t="n"/>
      <c r="E28" s="151" t="n">
        <v>0</v>
      </c>
      <c r="F28" s="152" t="n"/>
      <c r="G28" s="155" t="n"/>
      <c r="H28" s="145" t="n"/>
      <c r="I28" s="145" t="n"/>
      <c r="J28" s="146" t="n"/>
      <c r="K28" s="146" t="n"/>
      <c r="L28" s="145" t="n"/>
      <c r="M28" s="145" t="n"/>
    </row>
    <row r="29" ht="12.75" customHeight="1" s="131">
      <c r="A29" s="145" t="n"/>
      <c r="B29" s="137" t="inlineStr">
        <is>
          <t>Total Operating Capital</t>
        </is>
      </c>
      <c r="D29" s="145" t="n"/>
      <c r="E29" s="150" t="n"/>
      <c r="F29" s="150" t="n"/>
      <c r="G29" s="156">
        <f>SUM(E18:E28)</f>
        <v/>
      </c>
      <c r="H29" s="145" t="n"/>
      <c r="I29" s="145" t="n"/>
      <c r="J29" s="146" t="n"/>
      <c r="K29" s="146" t="n"/>
      <c r="L29" s="145" t="n"/>
      <c r="M29" s="145" t="n"/>
    </row>
    <row r="30" ht="12.75" customHeight="1" s="131">
      <c r="A30" s="145" t="n"/>
      <c r="D30" s="145" t="n"/>
      <c r="E30" s="150" t="n"/>
      <c r="F30" s="150" t="n"/>
      <c r="G30" s="155" t="n"/>
      <c r="H30" s="145" t="n"/>
      <c r="I30" s="145" t="n"/>
      <c r="J30" s="146" t="n"/>
      <c r="K30" s="146" t="n"/>
      <c r="L30" s="145" t="n"/>
      <c r="M30" s="145" t="n"/>
    </row>
    <row r="31" ht="15.95" customHeight="1" s="131">
      <c r="A31" s="137" t="inlineStr">
        <is>
          <t>Total Required Funds</t>
        </is>
      </c>
      <c r="D31" s="145" t="n"/>
      <c r="E31" s="150" t="n"/>
      <c r="F31" s="150" t="n"/>
      <c r="G31" s="158">
        <f>G15+G29</f>
        <v/>
      </c>
      <c r="H31" s="145" t="n"/>
      <c r="I31" s="145" t="n"/>
      <c r="J31" s="146" t="n"/>
      <c r="K31" s="146" t="n"/>
      <c r="L31" s="145" t="n"/>
      <c r="M31" s="145" t="n"/>
    </row>
    <row r="32" ht="12.75" customHeight="1" s="131">
      <c r="A32" s="145" t="n"/>
      <c r="D32" s="145" t="n"/>
      <c r="E32" s="145" t="n"/>
      <c r="F32" s="145" t="n"/>
      <c r="G32" s="145" t="n"/>
      <c r="H32" s="145" t="n"/>
      <c r="I32" s="145" t="n"/>
      <c r="J32" s="146" t="n"/>
      <c r="K32" s="146" t="n"/>
      <c r="L32" s="145" t="n"/>
      <c r="M32" s="145" t="n"/>
    </row>
    <row r="33" ht="12.75" customHeight="1" s="131">
      <c r="A33" s="145" t="n"/>
      <c r="D33" s="145" t="n"/>
      <c r="E33" s="145" t="n"/>
      <c r="F33" s="145" t="n"/>
      <c r="G33" s="145" t="n"/>
      <c r="H33" s="145" t="n"/>
      <c r="I33" s="145" t="n"/>
      <c r="J33" s="145" t="n"/>
      <c r="K33" s="145" t="n"/>
      <c r="L33" s="145" t="n"/>
      <c r="M33" s="145" t="n"/>
    </row>
    <row r="34" ht="12.75" customHeight="1" s="131">
      <c r="A34" s="145" t="n"/>
      <c r="D34" s="145" t="n"/>
      <c r="E34" s="145" t="n"/>
      <c r="F34" s="145" t="n"/>
      <c r="G34" s="145" t="n"/>
      <c r="H34" s="145" t="n"/>
      <c r="I34" s="145" t="n"/>
      <c r="J34" s="145" t="n"/>
      <c r="K34" s="145" t="n"/>
      <c r="L34" s="145" t="n"/>
      <c r="M34" s="145" t="n"/>
    </row>
    <row r="35" ht="12.75" customHeight="1" s="131">
      <c r="A35" s="145" t="n"/>
      <c r="D35" s="145" t="n"/>
      <c r="E35" s="145" t="n"/>
      <c r="F35" s="145" t="n"/>
      <c r="G35" s="145" t="n"/>
      <c r="H35" s="145" t="n"/>
      <c r="I35" s="145" t="n"/>
      <c r="J35" s="145" t="n"/>
      <c r="K35" s="145" t="n"/>
      <c r="L35" s="145" t="n"/>
      <c r="M35" s="145" t="n"/>
    </row>
    <row r="36" ht="12.75" customHeight="1" s="131">
      <c r="A36" s="137" t="inlineStr">
        <is>
          <t>Sources of Funding</t>
        </is>
      </c>
      <c r="D36" s="137" t="n"/>
      <c r="E36" s="140" t="inlineStr">
        <is>
          <t>Amount</t>
        </is>
      </c>
      <c r="F36" s="140" t="n"/>
      <c r="G36" s="140" t="inlineStr">
        <is>
          <t>Totals</t>
        </is>
      </c>
      <c r="H36" s="140" t="inlineStr">
        <is>
          <t>Loan Rate</t>
        </is>
      </c>
      <c r="I36" s="140" t="inlineStr">
        <is>
          <t>Term in Months</t>
        </is>
      </c>
      <c r="J36" s="140" t="inlineStr">
        <is>
          <t>Monthly Payments</t>
        </is>
      </c>
      <c r="K36" s="145" t="n"/>
      <c r="L36" s="145" t="n"/>
      <c r="M36" s="145" t="n"/>
    </row>
    <row r="37" ht="12.75" customHeight="1" s="131">
      <c r="A37" s="145" t="n"/>
      <c r="B37" s="137" t="inlineStr">
        <is>
          <t>Owner's Cash Injection</t>
        </is>
      </c>
      <c r="D37" s="145" t="n"/>
      <c r="E37" s="159">
        <f>IF(G37=0,0,G37/G42)</f>
        <v/>
      </c>
      <c r="F37" s="145" t="n"/>
      <c r="G37" s="151" t="n">
        <v>0</v>
      </c>
      <c r="H37" s="145" t="n"/>
      <c r="I37" s="140" t="n"/>
      <c r="J37" s="145" t="n"/>
      <c r="K37" s="145" t="n"/>
      <c r="L37" s="145" t="n"/>
      <c r="M37" s="145" t="n"/>
    </row>
    <row r="38" ht="12.75" customHeight="1" s="131">
      <c r="A38" s="145" t="n"/>
      <c r="B38" s="137" t="inlineStr">
        <is>
          <t>Outside Investors</t>
        </is>
      </c>
      <c r="D38" s="145" t="n"/>
      <c r="E38" s="159">
        <f>IF(G38=0,0,G38/G42)</f>
        <v/>
      </c>
      <c r="F38" s="145" t="n"/>
      <c r="G38" s="151" t="n">
        <v>0</v>
      </c>
      <c r="H38" s="145" t="n"/>
      <c r="I38" s="145" t="n"/>
      <c r="J38" s="145" t="n"/>
      <c r="K38" s="145" t="n"/>
      <c r="L38" s="145" t="n"/>
      <c r="M38" s="145" t="n"/>
    </row>
    <row r="39" ht="12.75" customHeight="1" s="131">
      <c r="A39" s="145" t="n"/>
      <c r="B39" s="137" t="inlineStr">
        <is>
          <t>Additional Loans or Debt</t>
        </is>
      </c>
      <c r="D39" s="145" t="n"/>
      <c r="E39" s="159" t="n"/>
      <c r="F39" s="145" t="n"/>
      <c r="G39" s="156" t="n"/>
      <c r="H39" s="145" t="n"/>
      <c r="I39" s="145" t="n"/>
      <c r="J39" s="145" t="n"/>
      <c r="K39" s="145" t="n"/>
      <c r="L39" s="145" t="n"/>
      <c r="M39" s="145" t="n"/>
    </row>
    <row r="40" ht="12.75" customHeight="1" s="131">
      <c r="A40" s="145" t="n"/>
      <c r="C40" s="137" t="inlineStr">
        <is>
          <t>Commercial Loan</t>
        </is>
      </c>
      <c r="D40" s="145" t="n"/>
      <c r="E40" s="159">
        <f>IF(G40=0,0,G40/G42)</f>
        <v/>
      </c>
      <c r="F40" s="145" t="n"/>
      <c r="G40" s="156">
        <f>(G31-E8-E9)-((G37+G38)-(E8+E9-G41))</f>
        <v/>
      </c>
      <c r="H40" s="160" t="n">
        <v>0.09</v>
      </c>
      <c r="I40" s="153">
        <f>7*12</f>
        <v/>
      </c>
      <c r="J40" s="161">
        <f>ABS(PMT(H40/12,I40,G40))</f>
        <v/>
      </c>
      <c r="K40" s="145" t="n"/>
      <c r="L40" s="145" t="n"/>
      <c r="M40" s="145" t="n"/>
    </row>
    <row r="41" ht="12.75" customHeight="1" s="131">
      <c r="A41" s="145" t="n"/>
      <c r="C41" s="137" t="inlineStr">
        <is>
          <t>Commercial Mortgage</t>
        </is>
      </c>
      <c r="D41" s="145" t="n"/>
      <c r="E41" s="159">
        <f>IF(G41=0,0,G41/G42)</f>
        <v/>
      </c>
      <c r="F41" s="145" t="n"/>
      <c r="G41" s="162">
        <f>IF((G31-G37+G38)&lt;(E8+E9)*0.8,G31-G37+G38,(E8+E9)*0.8)</f>
        <v/>
      </c>
      <c r="H41" s="160" t="n">
        <v>0.09</v>
      </c>
      <c r="I41" s="153">
        <f>20*12</f>
        <v/>
      </c>
      <c r="J41" s="163">
        <f>ABS(PMT(H41/12,I41,G41))</f>
        <v/>
      </c>
      <c r="K41" s="145" t="n"/>
      <c r="L41" s="145" t="n"/>
      <c r="M41" s="145" t="n"/>
    </row>
    <row r="42" ht="15.95" customHeight="1" s="131">
      <c r="A42" s="137" t="inlineStr">
        <is>
          <t>Total Sources of Funding</t>
        </is>
      </c>
      <c r="D42" s="145" t="n"/>
      <c r="E42" s="164">
        <f>SUM(E37:E41)</f>
        <v/>
      </c>
      <c r="F42" s="145" t="n"/>
      <c r="G42" s="165">
        <f>SUM(G37:G41)</f>
        <v/>
      </c>
      <c r="H42" s="145" t="n"/>
      <c r="I42" s="145" t="n"/>
      <c r="J42" s="166">
        <f>J40+J41</f>
        <v/>
      </c>
      <c r="K42" s="145" t="n"/>
      <c r="L42" s="145" t="n"/>
      <c r="M42" s="145" t="n"/>
    </row>
    <row r="43" ht="12.75" customFormat="1" customHeight="1" s="167">
      <c r="A43" s="145" t="n"/>
      <c r="B43" s="137" t="n"/>
      <c r="C43" s="137" t="n"/>
      <c r="D43" s="145" t="n"/>
      <c r="E43" s="145" t="n"/>
      <c r="F43" s="145" t="n"/>
      <c r="G43" s="145" t="n"/>
      <c r="H43" s="145" t="n"/>
      <c r="I43" s="145" t="n"/>
      <c r="J43" s="145" t="n"/>
      <c r="K43" s="145" t="n"/>
      <c r="L43" s="145" t="n"/>
      <c r="M43" s="145" t="n"/>
    </row>
    <row r="44" ht="12.75" customFormat="1" customHeight="1" s="168">
      <c r="A44" s="137">
        <f>IF('9. Cash Flow Statement'!Q35&gt;0,"A line of credit is also required in the amount of","")</f>
        <v/>
      </c>
      <c r="B44" s="137" t="n"/>
      <c r="C44" s="137" t="n"/>
      <c r="D44" s="137" t="n"/>
      <c r="E44" s="137" t="n"/>
      <c r="F44" s="137" t="n"/>
      <c r="G44" s="149">
        <f>IF('9. Cash Flow Statement'!Q35&gt;0,'9. Cash Flow Statement'!Q35,"")</f>
        <v/>
      </c>
      <c r="H44" s="137" t="n"/>
      <c r="I44" s="137" t="n"/>
      <c r="J44" s="137" t="n"/>
      <c r="K44" s="137" t="n"/>
      <c r="L44" s="137" t="n"/>
      <c r="M44" s="137" t="n"/>
    </row>
    <row r="45" ht="12.75" customHeight="1" s="131">
      <c r="A45" s="145" t="n"/>
      <c r="D45" s="145" t="n"/>
      <c r="E45" s="145" t="n"/>
      <c r="F45" s="145" t="n"/>
      <c r="G45" s="145" t="n"/>
      <c r="H45" s="145" t="n"/>
      <c r="I45" s="145" t="n"/>
      <c r="J45" s="145" t="n"/>
      <c r="K45" s="145" t="n"/>
      <c r="L45" s="145" t="n"/>
      <c r="M45" s="145" t="n"/>
    </row>
    <row r="46" ht="12.75" customHeight="1" s="131">
      <c r="A46" s="145" t="n"/>
      <c r="D46" s="145" t="n"/>
      <c r="E46" s="145" t="n"/>
      <c r="F46" s="145" t="n"/>
      <c r="G46" s="145" t="n"/>
      <c r="H46" s="145" t="n"/>
      <c r="I46" s="145" t="n"/>
      <c r="J46" s="145" t="n"/>
      <c r="K46" s="145" t="n"/>
      <c r="L46" s="145" t="n"/>
      <c r="M46" s="145" t="n"/>
    </row>
    <row r="47" ht="12.75" customHeight="1" s="131">
      <c r="A47" s="145" t="n"/>
      <c r="D47" s="145" t="n"/>
      <c r="E47" s="145" t="n"/>
      <c r="F47" s="145" t="n"/>
      <c r="G47" s="145" t="n"/>
      <c r="H47" s="145" t="n"/>
      <c r="I47" s="145" t="n"/>
      <c r="J47" s="145" t="n"/>
      <c r="K47" s="145" t="n"/>
      <c r="L47" s="145" t="n"/>
      <c r="M47" s="145" t="n"/>
    </row>
    <row r="48" ht="12.75" customHeight="1" s="131">
      <c r="A48" s="145" t="n"/>
      <c r="D48" s="145" t="n"/>
      <c r="E48" s="145" t="n"/>
      <c r="F48" s="145" t="n"/>
      <c r="G48" s="145" t="n"/>
      <c r="H48" s="145" t="n"/>
      <c r="I48" s="145" t="n"/>
      <c r="J48" s="145" t="n"/>
      <c r="K48" s="145" t="n"/>
      <c r="L48" s="145" t="n"/>
      <c r="M48" s="145" t="n"/>
    </row>
    <row r="49" ht="12.75" customHeight="1" s="131">
      <c r="A49" s="145" t="n"/>
      <c r="D49" s="145" t="n"/>
      <c r="E49" s="145" t="n"/>
      <c r="F49" s="145" t="n"/>
      <c r="G49" s="145" t="n"/>
      <c r="H49" s="145" t="n"/>
      <c r="I49" s="145" t="n"/>
      <c r="J49" s="145" t="n"/>
      <c r="K49" s="145" t="n"/>
      <c r="L49" s="145" t="n"/>
      <c r="M49" s="145" t="n"/>
    </row>
    <row r="50" ht="12.75" customHeight="1" s="131">
      <c r="A50" s="145" t="n"/>
      <c r="D50" s="145" t="n"/>
      <c r="E50" s="145" t="n"/>
      <c r="F50" s="145" t="n"/>
      <c r="G50" s="145" t="n"/>
      <c r="H50" s="145" t="n"/>
      <c r="I50" s="145" t="n"/>
      <c r="J50" s="145" t="n"/>
      <c r="K50" s="145" t="n"/>
      <c r="L50" s="145" t="n"/>
      <c r="M50" s="145" t="n"/>
    </row>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3.xml><?xml version="1.0" encoding="utf-8"?>
<worksheet xmlns="http://schemas.openxmlformats.org/spreadsheetml/2006/main">
  <sheetPr filterMode="0">
    <tabColor rgb="FFFFFF99"/>
    <outlinePr summaryBelow="1" summaryRight="1"/>
    <pageSetUpPr fitToPage="0"/>
  </sheetPr>
  <dimension ref="A1:R50"/>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F11" activeCellId="0" sqref="F11"/>
    </sheetView>
  </sheetViews>
  <sheetFormatPr baseColWidth="8" defaultColWidth="9.15234375" defaultRowHeight="12" zeroHeight="0" outlineLevelRow="1"/>
  <cols>
    <col width="2.99" customWidth="1" style="137" min="1" max="4"/>
    <col width="18.74" customWidth="1" style="130" min="5" max="5"/>
    <col width="6.72" customWidth="1" style="169" min="6" max="6"/>
    <col width="12.73" customWidth="1" style="130" min="7" max="7"/>
    <col width="2.99" customWidth="1" style="130" min="8" max="8"/>
    <col width="12.73" customWidth="1" style="130" min="9" max="9"/>
    <col width="3.71" customWidth="1" style="130" min="10" max="10"/>
    <col width="18.74" customWidth="1" style="130" min="11" max="11"/>
    <col width="5.71" customWidth="1" style="130" min="12" max="12"/>
    <col width="18.74" customWidth="1" style="130" min="13" max="15"/>
  </cols>
  <sheetData>
    <row r="1" ht="15.75" customHeight="1" s="131">
      <c r="A1" s="142">
        <f>'1. Required Start-Up Funds'!A1</f>
        <v/>
      </c>
      <c r="R1" s="143">
        <f>NOW()</f>
        <v/>
      </c>
    </row>
    <row r="2" ht="15.75" customHeight="1" s="131">
      <c r="A2" s="142" t="inlineStr">
        <is>
          <t>Salaries and Wages</t>
        </is>
      </c>
    </row>
    <row r="3" ht="12" customHeight="1" s="131">
      <c r="E3" s="137" t="n"/>
      <c r="F3" s="170" t="n"/>
      <c r="G3" s="145" t="n"/>
      <c r="H3" s="145" t="n"/>
      <c r="I3" s="145" t="n"/>
      <c r="J3" s="145" t="n"/>
      <c r="K3" s="145" t="n"/>
      <c r="L3" s="145" t="n"/>
      <c r="M3" s="145" t="n"/>
      <c r="N3" s="145" t="n"/>
      <c r="O3" s="145" t="n"/>
      <c r="P3" s="145" t="n"/>
      <c r="Q3" s="145" t="n"/>
      <c r="R3" s="145" t="n"/>
    </row>
    <row r="4" ht="12" customHeight="1" s="131">
      <c r="E4" s="145" t="n"/>
      <c r="F4" s="170" t="n"/>
      <c r="G4" s="145" t="n"/>
      <c r="H4" s="145" t="n"/>
      <c r="I4" s="145" t="n"/>
      <c r="J4" s="145" t="n"/>
      <c r="K4" s="145" t="n"/>
      <c r="L4" s="145" t="n"/>
      <c r="M4" s="145" t="n"/>
      <c r="N4" s="145" t="n"/>
      <c r="O4" s="145" t="n"/>
      <c r="P4" s="145" t="n"/>
      <c r="Q4" s="145" t="n"/>
      <c r="R4" s="145" t="n"/>
    </row>
    <row r="5" ht="12.75" customHeight="1" s="131">
      <c r="E5" s="145" t="n"/>
      <c r="F5" s="170" t="n"/>
      <c r="G5" s="145" t="n"/>
      <c r="H5" s="145" t="n"/>
      <c r="I5" s="145" t="n"/>
      <c r="J5" s="145" t="n"/>
      <c r="K5" s="145" t="n"/>
      <c r="L5" s="145" t="n"/>
      <c r="M5" s="145" t="n"/>
      <c r="N5" s="145" t="n"/>
      <c r="O5" s="145" t="n"/>
      <c r="P5" s="145" t="n"/>
      <c r="Q5" s="145" t="n"/>
      <c r="R5" s="145" t="n"/>
    </row>
    <row r="6" ht="12.75" customHeight="1" s="131">
      <c r="A6" s="137" t="inlineStr">
        <is>
          <t>Salaries and Related Expenses</t>
        </is>
      </c>
      <c r="E6" s="145" t="n"/>
      <c r="F6" s="171" t="inlineStr">
        <is>
          <t>#</t>
        </is>
      </c>
      <c r="G6" s="140" t="inlineStr">
        <is>
          <t>Assumptions</t>
        </is>
      </c>
      <c r="H6" s="140" t="n"/>
      <c r="I6" s="140" t="inlineStr">
        <is>
          <t>Wage Base</t>
        </is>
      </c>
      <c r="J6" s="140" t="n"/>
      <c r="K6" s="172" t="inlineStr">
        <is>
          <t>Monthly</t>
        </is>
      </c>
      <c r="L6" s="140" t="n"/>
      <c r="M6" s="172" t="inlineStr">
        <is>
          <t>Year One</t>
        </is>
      </c>
      <c r="N6" s="172" t="inlineStr">
        <is>
          <t>Year Two</t>
        </is>
      </c>
      <c r="O6" s="172" t="inlineStr">
        <is>
          <t>Year Three</t>
        </is>
      </c>
      <c r="P6" s="145" t="n"/>
      <c r="Q6" s="145" t="n"/>
      <c r="R6" s="145" t="n"/>
    </row>
    <row r="7" ht="12.75" customHeight="1" s="131">
      <c r="E7" s="145" t="n"/>
      <c r="F7" s="170" t="n"/>
      <c r="G7" s="145" t="n"/>
      <c r="H7" s="145" t="n"/>
      <c r="I7" s="145" t="n"/>
      <c r="J7" s="145" t="n"/>
      <c r="K7" s="145" t="n"/>
      <c r="L7" s="145" t="n"/>
      <c r="M7" s="145" t="n"/>
      <c r="N7" s="145" t="n"/>
      <c r="O7" s="145" t="n"/>
      <c r="P7" s="145" t="n"/>
      <c r="Q7" s="145" t="n"/>
      <c r="R7" s="145" t="n"/>
    </row>
    <row r="8" ht="12.75" customHeight="1" s="131">
      <c r="A8" s="137" t="inlineStr">
        <is>
          <t>Percent Change</t>
        </is>
      </c>
      <c r="E8" s="145" t="n"/>
      <c r="F8" s="170" t="n"/>
      <c r="G8" s="145" t="n"/>
      <c r="H8" s="145" t="n"/>
      <c r="I8" s="145" t="n"/>
      <c r="J8" s="145" t="n"/>
      <c r="K8" s="145" t="n"/>
      <c r="L8" s="145" t="n"/>
      <c r="M8" s="145" t="n"/>
      <c r="N8" s="173" t="n">
        <v>0.03</v>
      </c>
      <c r="O8" s="173" t="n">
        <v>0.03</v>
      </c>
      <c r="P8" s="145" t="n"/>
      <c r="Q8" s="145" t="n"/>
      <c r="R8" s="145" t="n"/>
    </row>
    <row r="9" ht="12.75" customHeight="1" s="131">
      <c r="E9" s="145" t="n"/>
      <c r="F9" s="170" t="n"/>
      <c r="G9" s="145" t="n"/>
      <c r="H9" s="145" t="n"/>
      <c r="I9" s="145" t="n"/>
      <c r="J9" s="145" t="n"/>
      <c r="K9" s="145" t="n"/>
      <c r="L9" s="145" t="n"/>
      <c r="M9" s="145" t="n"/>
      <c r="N9" s="145" t="n"/>
      <c r="O9" s="145" t="n"/>
      <c r="P9" s="145" t="n"/>
      <c r="Q9" s="145" t="n"/>
      <c r="R9" s="145" t="n"/>
    </row>
    <row r="10" ht="12.75" customHeight="1" s="131">
      <c r="A10" s="137" t="inlineStr">
        <is>
          <t>Salaries and Wages</t>
        </is>
      </c>
      <c r="E10" s="145" t="n"/>
      <c r="F10" s="170" t="n"/>
      <c r="G10" s="145" t="n"/>
      <c r="H10" s="145" t="n"/>
      <c r="I10" s="145" t="n"/>
      <c r="J10" s="145" t="n"/>
      <c r="K10" s="145" t="n"/>
      <c r="L10" s="145" t="n"/>
      <c r="M10" s="145" t="n"/>
      <c r="N10" s="145" t="n"/>
      <c r="O10" s="145" t="n"/>
      <c r="P10" s="145" t="n"/>
      <c r="Q10" s="145" t="n"/>
      <c r="R10" s="145" t="n"/>
    </row>
    <row r="11" ht="12.75" customHeight="1" s="131">
      <c r="B11" s="137" t="inlineStr">
        <is>
          <t>Owner's Compensation</t>
        </is>
      </c>
      <c r="E11" s="145" t="n"/>
      <c r="F11" s="174" t="n">
        <v>0</v>
      </c>
      <c r="G11" s="145" t="n"/>
      <c r="H11" s="145" t="n"/>
      <c r="I11" s="145" t="n"/>
      <c r="J11" s="145" t="n"/>
      <c r="K11" s="148" t="n">
        <v>0</v>
      </c>
      <c r="L11" s="149" t="n"/>
      <c r="M11" s="156">
        <f>K11*12</f>
        <v/>
      </c>
      <c r="N11" s="156">
        <f>M11*(1+$N$8)</f>
        <v/>
      </c>
      <c r="O11" s="156">
        <f>N11*(1+$O$8)</f>
        <v/>
      </c>
      <c r="P11" s="145" t="n"/>
      <c r="Q11" s="145" t="n"/>
      <c r="R11" s="145" t="n"/>
    </row>
    <row r="12" ht="12.75" customHeight="1" s="131">
      <c r="B12" s="137" t="inlineStr">
        <is>
          <t>Salaries</t>
        </is>
      </c>
      <c r="E12" s="145" t="n"/>
      <c r="F12" s="174" t="n">
        <v>0</v>
      </c>
      <c r="G12" s="145" t="n"/>
      <c r="H12" s="145" t="n"/>
      <c r="I12" s="145" t="n"/>
      <c r="J12" s="145" t="n"/>
      <c r="K12" s="151" t="n">
        <v>0</v>
      </c>
      <c r="L12" s="156" t="n"/>
      <c r="M12" s="156">
        <f>K12*12</f>
        <v/>
      </c>
      <c r="N12" s="156">
        <f>M12*(1+$N$8)</f>
        <v/>
      </c>
      <c r="O12" s="156">
        <f>N12*(1+$O$8)</f>
        <v/>
      </c>
      <c r="P12" s="145" t="n"/>
      <c r="Q12" s="145" t="n"/>
      <c r="R12" s="145" t="n"/>
    </row>
    <row r="13" outlineLevel="1" ht="12.75" customHeight="1" s="131">
      <c r="B13" s="137" t="inlineStr">
        <is>
          <t>Wages</t>
        </is>
      </c>
      <c r="E13" s="145" t="n"/>
      <c r="F13" s="170" t="n"/>
      <c r="G13" s="145" t="n"/>
      <c r="H13" s="145" t="n"/>
      <c r="I13" s="145" t="n"/>
      <c r="J13" s="145" t="n"/>
      <c r="K13" s="156" t="n"/>
      <c r="L13" s="156" t="n"/>
      <c r="M13" s="145" t="n"/>
      <c r="N13" s="145" t="n"/>
      <c r="O13" s="145" t="n"/>
      <c r="P13" s="145" t="n"/>
      <c r="Q13" s="145" t="n"/>
      <c r="R13" s="145" t="n"/>
    </row>
    <row r="14" outlineLevel="1" ht="12.75" customHeight="1" s="131">
      <c r="C14" s="137" t="inlineStr">
        <is>
          <t>Full-Time Employees</t>
        </is>
      </c>
      <c r="E14" s="145" t="n"/>
      <c r="F14" s="174" t="n">
        <v>0</v>
      </c>
      <c r="G14" s="145" t="n"/>
      <c r="H14" s="145" t="n"/>
      <c r="I14" s="145" t="n"/>
      <c r="J14" s="145" t="n"/>
      <c r="K14" s="156">
        <f>M14/12</f>
        <v/>
      </c>
      <c r="L14" s="156" t="n"/>
      <c r="M14" s="156">
        <f>G15*G16*52*F14</f>
        <v/>
      </c>
      <c r="N14" s="156">
        <f>M14*(1+$N$8)</f>
        <v/>
      </c>
      <c r="O14" s="156">
        <f>N14*(1+$O$8)</f>
        <v/>
      </c>
      <c r="P14" s="145" t="n"/>
      <c r="Q14" s="145" t="n"/>
      <c r="R14" s="145" t="n"/>
    </row>
    <row r="15" outlineLevel="1" ht="12.75" customHeight="1" s="131">
      <c r="D15" s="137" t="inlineStr">
        <is>
          <t>Estimated Hours Per Week</t>
        </is>
      </c>
      <c r="E15" s="145" t="n"/>
      <c r="F15" s="170" t="n"/>
      <c r="G15" s="175" t="n">
        <v>40</v>
      </c>
      <c r="H15" s="176" t="n"/>
      <c r="I15" s="176" t="n"/>
      <c r="J15" s="176" t="n"/>
      <c r="K15" s="156" t="n"/>
      <c r="L15" s="156" t="n"/>
      <c r="M15" s="145" t="n"/>
      <c r="N15" s="145" t="n"/>
      <c r="O15" s="145" t="n"/>
      <c r="P15" s="145" t="n"/>
      <c r="Q15" s="145" t="n"/>
      <c r="R15" s="145" t="n"/>
    </row>
    <row r="16" outlineLevel="1" ht="12.75" customHeight="1" s="131">
      <c r="D16" s="137" t="inlineStr">
        <is>
          <t>Estimated Rate Per Hour</t>
        </is>
      </c>
      <c r="E16" s="145" t="n"/>
      <c r="F16" s="170" t="n"/>
      <c r="G16" s="177" t="n">
        <v>9</v>
      </c>
      <c r="H16" s="178" t="n"/>
      <c r="I16" s="178" t="n"/>
      <c r="J16" s="178" t="n"/>
      <c r="K16" s="145" t="n"/>
      <c r="L16" s="145" t="n"/>
      <c r="M16" s="145" t="n"/>
      <c r="N16" s="145" t="n"/>
      <c r="O16" s="145" t="n"/>
      <c r="P16" s="145" t="n"/>
      <c r="Q16" s="145" t="n"/>
      <c r="R16" s="145" t="n"/>
    </row>
    <row r="17" outlineLevel="1" ht="12.75" customHeight="1" s="131">
      <c r="C17" s="137" t="inlineStr">
        <is>
          <t>Part-Time Employees</t>
        </is>
      </c>
      <c r="E17" s="145" t="n"/>
      <c r="F17" s="174" t="n">
        <v>0</v>
      </c>
      <c r="G17" s="145" t="n"/>
      <c r="H17" s="145" t="n"/>
      <c r="I17" s="145" t="n"/>
      <c r="J17" s="145" t="n"/>
      <c r="K17" s="156">
        <f>M17/12</f>
        <v/>
      </c>
      <c r="L17" s="156" t="n"/>
      <c r="M17" s="156">
        <f>G18*G19*52*F17</f>
        <v/>
      </c>
      <c r="N17" s="156">
        <f>M17*(1+$N$8)</f>
        <v/>
      </c>
      <c r="O17" s="156">
        <f>N17*(1+$O$8)</f>
        <v/>
      </c>
      <c r="P17" s="145" t="n"/>
      <c r="Q17" s="145" t="n"/>
      <c r="R17" s="145" t="n"/>
    </row>
    <row r="18" outlineLevel="1" ht="12.75" customHeight="1" s="131">
      <c r="D18" s="137" t="inlineStr">
        <is>
          <t>Estimated Hours Per Week</t>
        </is>
      </c>
      <c r="E18" s="145" t="n"/>
      <c r="F18" s="170" t="n"/>
      <c r="G18" s="175" t="n">
        <v>20</v>
      </c>
      <c r="H18" s="176" t="n"/>
      <c r="I18" s="176" t="n"/>
      <c r="J18" s="176" t="n"/>
      <c r="K18" s="156" t="n"/>
      <c r="L18" s="156" t="n"/>
      <c r="M18" s="145" t="n"/>
      <c r="N18" s="145" t="n"/>
      <c r="O18" s="145" t="n"/>
      <c r="P18" s="145" t="n"/>
      <c r="Q18" s="145" t="n"/>
      <c r="R18" s="145" t="n"/>
    </row>
    <row r="19" outlineLevel="1" ht="12.75" customHeight="1" s="131">
      <c r="D19" s="137" t="inlineStr">
        <is>
          <t>Estimated Rate Per Hour</t>
        </is>
      </c>
      <c r="E19" s="145" t="n"/>
      <c r="F19" s="170" t="n"/>
      <c r="G19" s="177" t="n">
        <v>9</v>
      </c>
      <c r="H19" s="178" t="n"/>
      <c r="I19" s="178" t="n"/>
      <c r="J19" s="178" t="n"/>
      <c r="K19" s="145" t="n"/>
      <c r="L19" s="145" t="n"/>
      <c r="M19" s="145" t="n"/>
      <c r="N19" s="145" t="n"/>
      <c r="O19" s="145" t="n"/>
      <c r="P19" s="145" t="n"/>
      <c r="Q19" s="145" t="n"/>
      <c r="R19" s="145" t="n"/>
    </row>
    <row r="20" outlineLevel="1" ht="12.75" customHeight="1" s="131">
      <c r="B20" s="137" t="inlineStr">
        <is>
          <t>Independent Contractors</t>
        </is>
      </c>
      <c r="E20" s="145" t="n"/>
      <c r="F20" s="170" t="n"/>
      <c r="G20" s="145" t="n"/>
      <c r="H20" s="145" t="n"/>
      <c r="I20" s="145" t="n"/>
      <c r="J20" s="145" t="n"/>
      <c r="K20" s="162" t="n">
        <v>0</v>
      </c>
      <c r="L20" s="156" t="n"/>
      <c r="M20" s="162">
        <f>K20*12</f>
        <v/>
      </c>
      <c r="N20" s="162">
        <f>M20*(1+$N$8)</f>
        <v/>
      </c>
      <c r="O20" s="162">
        <f>N20*(1+$O$8)</f>
        <v/>
      </c>
      <c r="P20" s="145" t="n"/>
      <c r="Q20" s="145" t="n"/>
      <c r="R20" s="145" t="n"/>
    </row>
    <row r="21" ht="12.75" customHeight="1" s="131">
      <c r="A21" s="137" t="inlineStr">
        <is>
          <t>Total Salaries and Wages</t>
        </is>
      </c>
      <c r="E21" s="145" t="n"/>
      <c r="F21" s="170">
        <f>SUM(F11:F20)</f>
        <v/>
      </c>
      <c r="G21" s="145" t="n"/>
      <c r="H21" s="145" t="n"/>
      <c r="I21" s="145" t="n"/>
      <c r="J21" s="145" t="n"/>
      <c r="K21" s="156">
        <f>SUM(K11:K20)</f>
        <v/>
      </c>
      <c r="L21" s="150" t="n"/>
      <c r="M21" s="156">
        <f>SUM(M11:M20)</f>
        <v/>
      </c>
      <c r="N21" s="156">
        <f>SUM(N11:N20)</f>
        <v/>
      </c>
      <c r="O21" s="156">
        <f>SUM(O11:O20)</f>
        <v/>
      </c>
      <c r="P21" s="145" t="n"/>
      <c r="Q21" s="145" t="n"/>
      <c r="R21" s="145" t="n"/>
    </row>
    <row r="22" ht="12.75" customHeight="1" s="131">
      <c r="E22" s="145" t="n"/>
      <c r="F22" s="170" t="n"/>
      <c r="G22" s="145" t="n"/>
      <c r="H22" s="145" t="n"/>
      <c r="I22" s="145" t="n"/>
      <c r="J22" s="145" t="n"/>
      <c r="K22" s="145" t="n"/>
      <c r="L22" s="145" t="n"/>
      <c r="M22" s="145" t="n"/>
      <c r="N22" s="145" t="n"/>
      <c r="O22" s="145" t="n"/>
      <c r="P22" s="145" t="n"/>
      <c r="Q22" s="145" t="n"/>
      <c r="R22" s="145" t="n"/>
    </row>
    <row r="23" ht="12.75" customHeight="1" s="131">
      <c r="A23" s="137" t="inlineStr">
        <is>
          <t>Payroll Taxes and Benefits</t>
        </is>
      </c>
      <c r="E23" s="145" t="n"/>
      <c r="F23" s="170" t="n"/>
      <c r="G23" s="145" t="n"/>
      <c r="H23" s="145" t="n"/>
      <c r="I23" s="145" t="n"/>
      <c r="J23" s="145" t="n"/>
      <c r="K23" s="145" t="n"/>
      <c r="L23" s="145" t="n"/>
      <c r="M23" s="145" t="n"/>
      <c r="N23" s="145" t="n"/>
      <c r="O23" s="145" t="n"/>
      <c r="P23" s="145" t="n"/>
      <c r="Q23" s="145" t="n"/>
      <c r="R23" s="145" t="n"/>
    </row>
    <row r="24" ht="12.75" customHeight="1" s="131">
      <c r="B24" s="137" t="inlineStr">
        <is>
          <t>Social Security</t>
        </is>
      </c>
      <c r="E24" s="145" t="n"/>
      <c r="F24" s="170" t="n"/>
      <c r="G24" s="160" t="n">
        <v>0.062</v>
      </c>
      <c r="H24" s="159" t="n"/>
      <c r="I24" s="179" t="n">
        <v>102000</v>
      </c>
      <c r="J24" s="145" t="n"/>
      <c r="K24" s="156">
        <f>K21*$G$24</f>
        <v/>
      </c>
      <c r="L24" s="156" t="n"/>
      <c r="M24" s="156">
        <f>M21*$G$24</f>
        <v/>
      </c>
      <c r="N24" s="156">
        <f>N21*$G$24</f>
        <v/>
      </c>
      <c r="O24" s="156">
        <f>O21*$G$24</f>
        <v/>
      </c>
      <c r="P24" s="145" t="n"/>
      <c r="Q24" s="145" t="n"/>
      <c r="R24" s="145" t="n"/>
    </row>
    <row r="25" ht="12.75" customHeight="1" s="131">
      <c r="B25" s="137" t="inlineStr">
        <is>
          <t>Medicare</t>
        </is>
      </c>
      <c r="E25" s="145" t="n"/>
      <c r="F25" s="170" t="n"/>
      <c r="G25" s="160" t="n">
        <v>0.0145</v>
      </c>
      <c r="H25" s="159" t="n"/>
      <c r="I25" s="160" t="n"/>
      <c r="J25" s="145" t="n"/>
      <c r="K25" s="156">
        <f>K21*$G$25</f>
        <v/>
      </c>
      <c r="L25" s="156" t="n"/>
      <c r="M25" s="156">
        <f>M21*$G$25</f>
        <v/>
      </c>
      <c r="N25" s="156">
        <f>N21*$G$25</f>
        <v/>
      </c>
      <c r="O25" s="156">
        <f>O21*$G$25</f>
        <v/>
      </c>
      <c r="P25" s="145" t="n"/>
      <c r="Q25" s="145" t="n"/>
      <c r="R25" s="145" t="n"/>
    </row>
    <row r="26" ht="12.75" customHeight="1" s="131">
      <c r="B26" s="137" t="inlineStr">
        <is>
          <t>Federal Unemployment Tax (FUTA)</t>
        </is>
      </c>
      <c r="E26" s="145" t="n"/>
      <c r="F26" s="170" t="n"/>
      <c r="G26" s="160" t="n">
        <v>0.008</v>
      </c>
      <c r="H26" s="159" t="n"/>
      <c r="I26" s="179" t="n">
        <v>7000</v>
      </c>
      <c r="J26" s="145" t="n"/>
      <c r="K26" s="156">
        <f>F21*I26*G26/12</f>
        <v/>
      </c>
      <c r="L26" s="156" t="n"/>
      <c r="M26" s="156">
        <f>K26*12</f>
        <v/>
      </c>
      <c r="N26" s="156">
        <f>M26</f>
        <v/>
      </c>
      <c r="O26" s="156">
        <f>N26</f>
        <v/>
      </c>
      <c r="P26" s="145" t="n"/>
      <c r="Q26" s="145" t="n"/>
      <c r="R26" s="145" t="n"/>
    </row>
    <row r="27" ht="12.75" customHeight="1" s="131">
      <c r="B27" s="137" t="inlineStr">
        <is>
          <t>State Unemployment Tax (SUTA)</t>
        </is>
      </c>
      <c r="E27" s="145" t="n"/>
      <c r="F27" s="170" t="n"/>
      <c r="G27" s="160" t="n">
        <v>0.027</v>
      </c>
      <c r="H27" s="159" t="n"/>
      <c r="I27" s="179" t="n">
        <v>7000</v>
      </c>
      <c r="J27" s="145" t="n"/>
      <c r="K27" s="156">
        <f>F21*I27*G27/12</f>
        <v/>
      </c>
      <c r="L27" s="156" t="n"/>
      <c r="M27" s="156">
        <f>K27*12</f>
        <v/>
      </c>
      <c r="N27" s="156">
        <f>M27</f>
        <v/>
      </c>
      <c r="O27" s="156">
        <f>N27</f>
        <v/>
      </c>
      <c r="P27" s="145" t="n"/>
      <c r="Q27" s="145" t="n"/>
      <c r="R27" s="145" t="n"/>
    </row>
    <row r="28" ht="12.75" customHeight="1" s="131">
      <c r="B28" s="137" t="inlineStr">
        <is>
          <t>Employee Pension Programs</t>
        </is>
      </c>
      <c r="E28" s="145" t="n"/>
      <c r="F28" s="170" t="n"/>
      <c r="G28" s="173" t="n">
        <v>0</v>
      </c>
      <c r="H28" s="159" t="n"/>
      <c r="I28" s="149" t="n"/>
      <c r="J28" s="145" t="n"/>
      <c r="K28" s="156">
        <f>G28*K21</f>
        <v/>
      </c>
      <c r="L28" s="156" t="n"/>
      <c r="M28" s="156">
        <f>K28*12</f>
        <v/>
      </c>
      <c r="N28" s="156">
        <f>M28</f>
        <v/>
      </c>
      <c r="O28" s="156">
        <f>N28</f>
        <v/>
      </c>
      <c r="P28" s="145" t="n"/>
      <c r="Q28" s="145" t="n"/>
      <c r="R28" s="145" t="n"/>
    </row>
    <row r="29" ht="12.75" customHeight="1" s="131">
      <c r="B29" s="137" t="inlineStr">
        <is>
          <t>Worker's Compensation</t>
        </is>
      </c>
      <c r="E29" s="145" t="n"/>
      <c r="F29" s="170" t="n"/>
      <c r="G29" s="180" t="n">
        <v>0</v>
      </c>
      <c r="H29" s="145" t="n"/>
      <c r="I29" s="145" t="n"/>
      <c r="J29" s="145" t="n"/>
      <c r="K29" s="151">
        <f>G29*$K$21</f>
        <v/>
      </c>
      <c r="L29" s="156" t="n"/>
      <c r="M29" s="156">
        <f>K29*12</f>
        <v/>
      </c>
      <c r="N29" s="156">
        <f>M29*(1+N8)</f>
        <v/>
      </c>
      <c r="O29" s="156">
        <f>N29*(1+O8)</f>
        <v/>
      </c>
      <c r="P29" s="145" t="n"/>
      <c r="Q29" s="145" t="n"/>
      <c r="R29" s="145" t="n"/>
    </row>
    <row r="30" ht="12.75" customHeight="1" s="131">
      <c r="B30" s="137" t="inlineStr">
        <is>
          <t>Employee Health Insurance</t>
        </is>
      </c>
      <c r="E30" s="145" t="n"/>
      <c r="F30" s="170" t="n"/>
      <c r="G30" s="180" t="n">
        <v>0</v>
      </c>
      <c r="H30" s="145" t="n"/>
      <c r="I30" s="145" t="n"/>
      <c r="J30" s="145" t="n"/>
      <c r="K30" s="151">
        <f>G30*$K$21</f>
        <v/>
      </c>
      <c r="L30" s="156" t="n"/>
      <c r="M30" s="156">
        <f>K30*12</f>
        <v/>
      </c>
      <c r="N30" s="156">
        <f>M30*(1+N8)</f>
        <v/>
      </c>
      <c r="O30" s="156">
        <f>N30*(1+O8)</f>
        <v/>
      </c>
      <c r="P30" s="145" t="n"/>
      <c r="Q30" s="145" t="n"/>
      <c r="R30" s="145" t="n"/>
    </row>
    <row r="31" ht="12.75" customHeight="1" s="131">
      <c r="B31" s="137" t="inlineStr">
        <is>
          <t>Other Employee Benefit Programs</t>
        </is>
      </c>
      <c r="E31" s="145" t="n"/>
      <c r="F31" s="170" t="n"/>
      <c r="G31" s="180" t="n">
        <v>0</v>
      </c>
      <c r="H31" s="145" t="n"/>
      <c r="I31" s="145" t="n"/>
      <c r="J31" s="145" t="n"/>
      <c r="K31" s="181">
        <f>G31*$K$21</f>
        <v/>
      </c>
      <c r="L31" s="156" t="n"/>
      <c r="M31" s="162">
        <f>K31*12</f>
        <v/>
      </c>
      <c r="N31" s="162">
        <f>M31*(1+N8)</f>
        <v/>
      </c>
      <c r="O31" s="162">
        <f>N31*(1+O8)</f>
        <v/>
      </c>
      <c r="P31" s="145" t="n"/>
      <c r="Q31" s="145" t="n"/>
      <c r="R31" s="145" t="n"/>
    </row>
    <row r="32" ht="12.75" customHeight="1" s="131">
      <c r="A32" s="137" t="inlineStr">
        <is>
          <t>Total Payroll Taxes and Benefits</t>
        </is>
      </c>
      <c r="E32" s="145" t="n"/>
      <c r="F32" s="170" t="n"/>
      <c r="G32" s="145" t="n"/>
      <c r="H32" s="145" t="n"/>
      <c r="I32" s="145" t="n"/>
      <c r="J32" s="145" t="n"/>
      <c r="K32" s="156">
        <f>SUM(K24:K31)</f>
        <v/>
      </c>
      <c r="L32" s="156" t="n"/>
      <c r="M32" s="156">
        <f>SUM(M24:M31)</f>
        <v/>
      </c>
      <c r="N32" s="156">
        <f>SUM(N24:N31)</f>
        <v/>
      </c>
      <c r="O32" s="156">
        <f>SUM(O24:O31)</f>
        <v/>
      </c>
      <c r="P32" s="145" t="n"/>
      <c r="Q32" s="145" t="n"/>
      <c r="R32" s="145" t="n"/>
    </row>
    <row r="33" ht="12.75" customHeight="1" s="131">
      <c r="E33" s="145" t="n"/>
      <c r="F33" s="170" t="n"/>
      <c r="G33" s="145" t="n"/>
      <c r="H33" s="145" t="n"/>
      <c r="I33" s="145" t="n"/>
      <c r="J33" s="145" t="n"/>
      <c r="K33" s="182" t="n"/>
      <c r="L33" s="182" t="n"/>
      <c r="M33" s="145" t="n"/>
      <c r="N33" s="145" t="n"/>
      <c r="O33" s="145" t="n"/>
      <c r="P33" s="145" t="n"/>
      <c r="Q33" s="145" t="n"/>
      <c r="R33" s="145" t="n"/>
    </row>
    <row r="34" ht="12.75" customHeight="1" s="131">
      <c r="E34" s="145" t="n"/>
      <c r="F34" s="170" t="n"/>
      <c r="G34" s="145" t="n"/>
      <c r="H34" s="145" t="n"/>
      <c r="I34" s="145" t="n"/>
      <c r="J34" s="145" t="n"/>
      <c r="K34" s="183" t="n"/>
      <c r="L34" s="145" t="n"/>
      <c r="M34" s="183" t="n"/>
      <c r="N34" s="183" t="n"/>
      <c r="O34" s="183" t="n"/>
      <c r="P34" s="145" t="n"/>
      <c r="Q34" s="145" t="n"/>
      <c r="R34" s="145" t="n"/>
    </row>
    <row r="35" ht="18" customHeight="1" s="131">
      <c r="A35" s="137" t="inlineStr">
        <is>
          <t>Total Salaries and Related Expenses</t>
        </is>
      </c>
      <c r="E35" s="145" t="n"/>
      <c r="F35" s="170" t="n"/>
      <c r="G35" s="145" t="n"/>
      <c r="H35" s="145" t="n"/>
      <c r="I35" s="145" t="n"/>
      <c r="J35" s="145" t="n"/>
      <c r="K35" s="184">
        <f>K21+K32</f>
        <v/>
      </c>
      <c r="L35" s="156" t="n"/>
      <c r="M35" s="184">
        <f>M21+M32</f>
        <v/>
      </c>
      <c r="N35" s="184">
        <f>N21+N32</f>
        <v/>
      </c>
      <c r="O35" s="184">
        <f>O21+O32</f>
        <v/>
      </c>
      <c r="P35" s="145" t="n"/>
      <c r="Q35" s="145" t="n"/>
      <c r="R35" s="145" t="n"/>
    </row>
    <row r="36" ht="12.75" customHeight="1" s="131">
      <c r="E36" s="145" t="n"/>
      <c r="F36" s="170" t="n"/>
      <c r="G36" s="145" t="n"/>
      <c r="H36" s="145" t="n"/>
      <c r="I36" s="145" t="n"/>
      <c r="J36" s="145" t="n"/>
      <c r="K36" s="145" t="n"/>
      <c r="L36" s="145" t="n"/>
      <c r="M36" s="145" t="n"/>
      <c r="N36" s="145" t="n"/>
      <c r="O36" s="145" t="n"/>
      <c r="P36" s="145" t="n"/>
      <c r="Q36" s="145" t="n"/>
      <c r="R36" s="145" t="n"/>
    </row>
    <row r="37" ht="12.75" customHeight="1" s="131">
      <c r="E37" s="145" t="n"/>
      <c r="F37" s="170" t="n"/>
      <c r="G37" s="145" t="n"/>
      <c r="H37" s="145" t="n"/>
      <c r="I37" s="145" t="n"/>
      <c r="J37" s="145" t="n"/>
      <c r="K37" s="145" t="n"/>
      <c r="L37" s="145" t="n"/>
      <c r="M37" s="145" t="n"/>
      <c r="N37" s="145" t="n"/>
      <c r="O37" s="145" t="n"/>
      <c r="P37" s="145" t="n"/>
      <c r="Q37" s="145" t="n"/>
      <c r="R37" s="145" t="n"/>
    </row>
    <row r="38" ht="12.75" customHeight="1" s="131">
      <c r="E38" s="145" t="n"/>
      <c r="F38" s="170" t="n"/>
      <c r="G38" s="145" t="n"/>
      <c r="H38" s="145" t="n"/>
      <c r="I38" s="145" t="n"/>
      <c r="J38" s="145" t="n"/>
      <c r="K38" s="145" t="n"/>
      <c r="L38" s="145" t="n"/>
      <c r="M38" s="145" t="n"/>
      <c r="N38" s="145" t="n"/>
      <c r="O38" s="145" t="n"/>
      <c r="P38" s="145" t="n"/>
      <c r="Q38" s="145" t="n"/>
      <c r="R38" s="145" t="n"/>
    </row>
    <row r="39" ht="12.75" customHeight="1" s="131">
      <c r="E39" s="145" t="n"/>
      <c r="F39" s="170" t="n"/>
      <c r="G39" s="145" t="n"/>
      <c r="H39" s="145" t="n"/>
      <c r="I39" s="145" t="n"/>
      <c r="J39" s="145" t="n"/>
      <c r="K39" s="145" t="n"/>
      <c r="L39" s="145" t="n"/>
      <c r="M39" s="145" t="n"/>
      <c r="N39" s="145" t="n"/>
      <c r="O39" s="145" t="n"/>
      <c r="P39" s="145" t="n"/>
      <c r="Q39" s="145" t="n"/>
      <c r="R39" s="145" t="n"/>
    </row>
    <row r="40" ht="12.75" customHeight="1" s="131">
      <c r="E40" s="145" t="n"/>
      <c r="F40" s="170" t="n"/>
      <c r="G40" s="145" t="n"/>
      <c r="H40" s="145" t="n"/>
      <c r="I40" s="145" t="n"/>
      <c r="J40" s="145" t="n"/>
      <c r="K40" s="145" t="n"/>
      <c r="L40" s="145" t="n"/>
      <c r="M40" s="182" t="n"/>
      <c r="N40" s="182" t="n"/>
      <c r="O40" s="145" t="n"/>
      <c r="P40" s="145" t="n"/>
      <c r="Q40" s="145" t="n"/>
      <c r="R40" s="145" t="n"/>
    </row>
    <row r="41" ht="12.75" customHeight="1" s="131">
      <c r="E41" s="145" t="n"/>
      <c r="F41" s="170" t="n"/>
      <c r="G41" s="145" t="n"/>
      <c r="H41" s="145" t="n"/>
      <c r="I41" s="145" t="n"/>
      <c r="J41" s="145" t="n"/>
      <c r="K41" s="145" t="n"/>
      <c r="L41" s="145" t="n"/>
      <c r="M41" s="145" t="n"/>
      <c r="N41" s="145" t="n"/>
      <c r="O41" s="145" t="n"/>
      <c r="P41" s="145" t="n"/>
      <c r="Q41" s="145" t="n"/>
      <c r="R41" s="145" t="n"/>
    </row>
    <row r="42" ht="12.75" customHeight="1" s="131">
      <c r="E42" s="145" t="n"/>
      <c r="F42" s="170" t="n"/>
      <c r="G42" s="145" t="n"/>
      <c r="H42" s="145" t="n"/>
      <c r="I42" s="145" t="n"/>
      <c r="J42" s="145" t="n"/>
      <c r="K42" s="145" t="n"/>
      <c r="L42" s="145" t="n"/>
      <c r="M42" s="145" t="n"/>
      <c r="N42" s="145" t="n"/>
      <c r="O42" s="145" t="n"/>
      <c r="P42" s="145" t="n"/>
      <c r="Q42" s="145" t="n"/>
      <c r="R42" s="145" t="n"/>
    </row>
    <row r="43" ht="12.75" customHeight="1" s="131">
      <c r="E43" s="145" t="n"/>
      <c r="F43" s="170" t="n"/>
      <c r="G43" s="145" t="n"/>
      <c r="H43" s="145" t="n"/>
      <c r="I43" s="145" t="n"/>
      <c r="J43" s="145" t="n"/>
      <c r="K43" s="145" t="n"/>
      <c r="L43" s="145" t="n"/>
      <c r="M43" s="145" t="n"/>
      <c r="N43" s="145" t="n"/>
      <c r="O43" s="145" t="n"/>
      <c r="P43" s="145" t="n"/>
      <c r="Q43" s="145" t="n"/>
      <c r="R43" s="145" t="n"/>
    </row>
    <row r="44" ht="12.75" customHeight="1" s="131">
      <c r="E44" s="145" t="n"/>
      <c r="F44" s="170" t="n"/>
      <c r="G44" s="145" t="n"/>
      <c r="H44" s="145" t="n"/>
      <c r="I44" s="145" t="n"/>
      <c r="J44" s="145" t="n"/>
      <c r="K44" s="145" t="n"/>
      <c r="L44" s="145" t="n"/>
      <c r="M44" s="145" t="n"/>
      <c r="N44" s="145" t="n"/>
      <c r="O44" s="145" t="n"/>
      <c r="P44" s="145" t="n"/>
      <c r="Q44" s="145" t="n"/>
      <c r="R44" s="145" t="n"/>
    </row>
    <row r="45" ht="12.75" customHeight="1" s="131">
      <c r="E45" s="145" t="n"/>
      <c r="F45" s="170" t="n"/>
      <c r="G45" s="145" t="n"/>
      <c r="H45" s="145" t="n"/>
      <c r="I45" s="145" t="n"/>
      <c r="J45" s="145" t="n"/>
      <c r="K45" s="145" t="n"/>
      <c r="L45" s="145" t="n"/>
      <c r="M45" s="145" t="n"/>
      <c r="N45" s="145" t="n"/>
      <c r="O45" s="145" t="n"/>
      <c r="P45" s="145" t="n"/>
      <c r="Q45" s="145" t="n"/>
      <c r="R45" s="145" t="n"/>
    </row>
    <row r="46" ht="12.75" customHeight="1" s="131">
      <c r="E46" s="145" t="n"/>
      <c r="F46" s="170" t="n"/>
      <c r="G46" s="145" t="n"/>
      <c r="H46" s="145" t="n"/>
      <c r="I46" s="145" t="n"/>
      <c r="J46" s="145" t="n"/>
      <c r="K46" s="145" t="n"/>
      <c r="L46" s="145" t="n"/>
      <c r="M46" s="145" t="n"/>
      <c r="N46" s="145" t="n"/>
      <c r="O46" s="145" t="n"/>
      <c r="P46" s="145" t="n"/>
      <c r="Q46" s="145" t="n"/>
      <c r="R46" s="145" t="n"/>
    </row>
    <row r="47" ht="12.75" customHeight="1" s="131">
      <c r="E47" s="145" t="n"/>
      <c r="F47" s="170" t="n"/>
      <c r="G47" s="145" t="n"/>
      <c r="H47" s="145" t="n"/>
      <c r="I47" s="145" t="n"/>
      <c r="J47" s="145" t="n"/>
      <c r="K47" s="145" t="n"/>
      <c r="L47" s="145" t="n"/>
      <c r="M47" s="145" t="n"/>
      <c r="N47" s="145" t="n"/>
      <c r="O47" s="145" t="n"/>
      <c r="P47" s="145" t="n"/>
      <c r="Q47" s="145" t="n"/>
      <c r="R47" s="145" t="n"/>
    </row>
    <row r="48" ht="12.75" customHeight="1" s="131">
      <c r="E48" s="145" t="n"/>
      <c r="F48" s="170" t="n"/>
      <c r="G48" s="145" t="n"/>
      <c r="H48" s="145" t="n"/>
      <c r="I48" s="145" t="n"/>
      <c r="J48" s="145" t="n"/>
      <c r="K48" s="145" t="n"/>
      <c r="L48" s="145" t="n"/>
      <c r="M48" s="145" t="n"/>
      <c r="N48" s="145" t="n"/>
      <c r="O48" s="145" t="n"/>
      <c r="P48" s="145" t="n"/>
      <c r="Q48" s="145" t="n"/>
      <c r="R48" s="145" t="n"/>
    </row>
    <row r="49" ht="12.75" customHeight="1" s="131">
      <c r="E49" s="145" t="n"/>
      <c r="F49" s="170" t="n"/>
      <c r="G49" s="145" t="n"/>
      <c r="H49" s="145" t="n"/>
      <c r="I49" s="145" t="n"/>
      <c r="J49" s="145" t="n"/>
      <c r="K49" s="145" t="n"/>
      <c r="L49" s="145" t="n"/>
      <c r="M49" s="145" t="n"/>
      <c r="N49" s="145" t="n"/>
      <c r="O49" s="145" t="n"/>
      <c r="P49" s="145" t="n"/>
      <c r="Q49" s="145" t="n"/>
      <c r="R49" s="145" t="n"/>
    </row>
    <row r="50" ht="12.75" customHeight="1" s="131">
      <c r="E50" s="145" t="n"/>
      <c r="F50" s="170" t="n"/>
      <c r="G50" s="145" t="n"/>
      <c r="H50" s="145" t="n"/>
      <c r="I50" s="145" t="n"/>
      <c r="J50" s="145" t="n"/>
      <c r="K50" s="145" t="n"/>
      <c r="L50" s="145" t="n"/>
      <c r="M50" s="145" t="n"/>
      <c r="N50" s="145" t="n"/>
      <c r="O50" s="145" t="n"/>
      <c r="P50" s="145" t="n"/>
      <c r="Q50" s="145" t="n"/>
      <c r="R50" s="145" t="n"/>
    </row>
    <row r="51" ht="12.75" customHeight="1" s="131"/>
    <row r="52" ht="12.75" customHeight="1" s="131"/>
    <row r="53" ht="12.75" customHeight="1" s="131"/>
    <row r="54" ht="12.75" customHeight="1" s="131"/>
    <row r="55" ht="12.75" customHeight="1" s="131"/>
    <row r="56" ht="12.75" customHeight="1" s="131"/>
    <row r="57" ht="12.75" customHeight="1" s="131"/>
    <row r="58"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4.xml><?xml version="1.0" encoding="utf-8"?>
<worksheet xmlns="http://schemas.openxmlformats.org/spreadsheetml/2006/main">
  <sheetPr filterMode="0">
    <tabColor rgb="FFFFFF99"/>
    <outlinePr summaryBelow="1" summaryRight="1"/>
    <pageSetUpPr fitToPage="0"/>
  </sheetPr>
  <dimension ref="A1:Q50"/>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G11" activeCellId="0" sqref="G11"/>
    </sheetView>
  </sheetViews>
  <sheetFormatPr baseColWidth="8" defaultColWidth="9.15234375" defaultRowHeight="12" zeroHeight="0" outlineLevelRow="0"/>
  <cols>
    <col width="2.99" customWidth="1" style="137" min="1" max="4"/>
    <col width="20.74" customWidth="1" style="130" min="5" max="5"/>
    <col width="5.71" customWidth="1" style="130" min="6" max="6"/>
    <col width="18.74" customWidth="1" style="130" min="7" max="7"/>
    <col width="8.720000000000001" customWidth="1" style="130" min="8" max="8"/>
    <col width="18.74" customWidth="1" style="130" min="9" max="11"/>
    <col width="5.71" customWidth="1" style="130" min="12" max="12"/>
  </cols>
  <sheetData>
    <row r="1" ht="15.75" customHeight="1" s="131">
      <c r="A1" s="142">
        <f>'1. Required Start-Up Funds'!A1</f>
        <v/>
      </c>
      <c r="Q1" s="143">
        <f>NOW()</f>
        <v/>
      </c>
    </row>
    <row r="2" ht="15.75" customHeight="1" s="131">
      <c r="A2" s="142" t="inlineStr">
        <is>
          <t>Fixed Operating Expenses</t>
        </is>
      </c>
    </row>
    <row r="3" ht="12" customHeight="1" s="131">
      <c r="E3" s="137" t="n"/>
      <c r="F3" s="145" t="n"/>
      <c r="G3" s="145" t="n"/>
      <c r="H3" s="145" t="n"/>
      <c r="I3" s="145" t="n"/>
      <c r="J3" s="145" t="n"/>
      <c r="K3" s="145" t="n"/>
      <c r="L3" s="145" t="n"/>
      <c r="M3" s="145" t="n"/>
      <c r="N3" s="145" t="n"/>
      <c r="O3" s="145" t="n"/>
      <c r="P3" s="145" t="n"/>
      <c r="Q3" s="145" t="n"/>
    </row>
    <row r="4" ht="12" customHeight="1" s="131">
      <c r="E4" s="145" t="n"/>
      <c r="F4" s="145" t="n"/>
      <c r="G4" s="145" t="n"/>
      <c r="H4" s="145" t="n"/>
      <c r="I4" s="145" t="n"/>
      <c r="J4" s="145" t="n"/>
      <c r="K4" s="145" t="n"/>
      <c r="L4" s="145" t="n"/>
      <c r="M4" s="145" t="n"/>
      <c r="N4" s="145" t="n"/>
      <c r="O4" s="145" t="n"/>
      <c r="P4" s="145" t="n"/>
      <c r="Q4" s="145" t="n"/>
    </row>
    <row r="5" ht="12.75" customHeight="1" s="131">
      <c r="E5" s="145" t="n"/>
      <c r="F5" s="145" t="n"/>
      <c r="G5" s="145" t="n"/>
      <c r="H5" s="145" t="n"/>
      <c r="I5" s="145" t="n"/>
      <c r="J5" s="145" t="n"/>
      <c r="K5" s="145" t="n"/>
      <c r="L5" s="145" t="n"/>
      <c r="M5" s="145" t="n"/>
      <c r="N5" s="145" t="n"/>
      <c r="O5" s="145" t="n"/>
      <c r="P5" s="145" t="n"/>
      <c r="Q5" s="145" t="n"/>
    </row>
    <row r="6" ht="12.75" customHeight="1" s="131">
      <c r="A6" s="137" t="inlineStr">
        <is>
          <t>Fixed Operating Expenses</t>
        </is>
      </c>
      <c r="E6" s="145" t="n"/>
      <c r="F6" s="140" t="n"/>
      <c r="G6" s="172" t="inlineStr">
        <is>
          <t>Monthly</t>
        </is>
      </c>
      <c r="H6" s="140" t="n"/>
      <c r="I6" s="172" t="inlineStr">
        <is>
          <t>Year One</t>
        </is>
      </c>
      <c r="J6" s="172" t="inlineStr">
        <is>
          <t>Year Two</t>
        </is>
      </c>
      <c r="K6" s="172" t="inlineStr">
        <is>
          <t>Year Three</t>
        </is>
      </c>
      <c r="L6" s="145" t="n"/>
      <c r="M6" s="140" t="inlineStr">
        <is>
          <t>Notes</t>
        </is>
      </c>
      <c r="N6" s="145" t="n"/>
      <c r="O6" s="145" t="n"/>
      <c r="P6" s="145" t="n"/>
      <c r="Q6" s="145" t="n"/>
    </row>
    <row r="7" ht="12.75" customHeight="1" s="131">
      <c r="E7" s="145" t="n"/>
      <c r="F7" s="145" t="n"/>
      <c r="G7" s="145" t="n"/>
      <c r="H7" s="145" t="n"/>
      <c r="I7" s="145" t="n"/>
      <c r="J7" s="145" t="n"/>
      <c r="K7" s="145" t="n"/>
      <c r="L7" s="145" t="n"/>
      <c r="M7" s="145" t="n"/>
      <c r="N7" s="145" t="n"/>
      <c r="O7" s="145" t="n"/>
      <c r="P7" s="145" t="n"/>
      <c r="Q7" s="145" t="n"/>
    </row>
    <row r="8" ht="12.75" customHeight="1" s="131">
      <c r="A8" s="137" t="inlineStr">
        <is>
          <t>Percent Change</t>
        </is>
      </c>
      <c r="E8" s="145" t="n"/>
      <c r="F8" s="145" t="n"/>
      <c r="G8" s="145" t="n"/>
      <c r="H8" s="145" t="n"/>
      <c r="I8" s="145" t="n"/>
      <c r="J8" s="173" t="n">
        <v>0.03</v>
      </c>
      <c r="K8" s="173" t="n">
        <v>0.03</v>
      </c>
      <c r="L8" s="145" t="n"/>
      <c r="M8" s="145" t="n"/>
      <c r="N8" s="145" t="n"/>
      <c r="O8" s="145" t="n"/>
      <c r="P8" s="145" t="n"/>
      <c r="Q8" s="145" t="n"/>
    </row>
    <row r="9" ht="12.75" customHeight="1" s="131">
      <c r="E9" s="145" t="n"/>
      <c r="F9" s="145" t="n"/>
      <c r="G9" s="145" t="n"/>
      <c r="H9" s="145" t="n"/>
      <c r="I9" s="145" t="n"/>
      <c r="J9" s="145" t="n"/>
      <c r="K9" s="145" t="n"/>
      <c r="L9" s="145" t="n"/>
      <c r="M9" s="145" t="n"/>
      <c r="N9" s="145" t="n"/>
      <c r="O9" s="145" t="n"/>
      <c r="P9" s="145" t="n"/>
      <c r="Q9" s="145" t="n"/>
    </row>
    <row r="10" ht="12.75" customHeight="1" s="131">
      <c r="A10" s="137" t="inlineStr">
        <is>
          <t>Expenses</t>
        </is>
      </c>
      <c r="B10" s="137" t="n"/>
      <c r="C10" s="137" t="n"/>
      <c r="D10" s="137" t="n"/>
      <c r="E10" s="145" t="n"/>
      <c r="F10" s="145" t="n"/>
      <c r="G10" s="145" t="n"/>
      <c r="H10" s="145" t="n"/>
      <c r="I10" s="145" t="n"/>
      <c r="J10" s="145" t="n"/>
      <c r="K10" s="145" t="n"/>
      <c r="L10" s="145" t="n"/>
      <c r="M10" s="145" t="n"/>
      <c r="N10" s="145" t="n"/>
      <c r="O10" s="145" t="n"/>
      <c r="P10" s="145" t="n"/>
      <c r="Q10" s="145" t="n"/>
    </row>
    <row r="11" ht="12.75" customHeight="1" s="131">
      <c r="A11" s="137" t="n"/>
      <c r="B11" s="185" t="inlineStr">
        <is>
          <t>Advertising</t>
        </is>
      </c>
      <c r="C11" s="186" t="n"/>
      <c r="D11" s="186" t="n"/>
      <c r="E11" s="187" t="n"/>
      <c r="F11" s="145" t="n"/>
      <c r="G11" s="148" t="n">
        <v>0</v>
      </c>
      <c r="H11" s="149" t="n"/>
      <c r="I11" s="156">
        <f>G11*12</f>
        <v/>
      </c>
      <c r="J11" s="156">
        <f>I11*(1+$J$8)</f>
        <v/>
      </c>
      <c r="K11" s="156">
        <f>J11*(1+$K$8)</f>
        <v/>
      </c>
      <c r="L11" s="145" t="n"/>
      <c r="M11" s="145" t="n"/>
      <c r="N11" s="145" t="n"/>
      <c r="O11" s="145" t="n"/>
      <c r="P11" s="145" t="n"/>
      <c r="Q11" s="145" t="n"/>
    </row>
    <row r="12" ht="12.75" customHeight="1" s="131">
      <c r="A12" s="137" t="n"/>
      <c r="B12" s="185" t="inlineStr">
        <is>
          <t>Car and Truck Expenses</t>
        </is>
      </c>
      <c r="C12" s="186" t="n"/>
      <c r="D12" s="186" t="n"/>
      <c r="E12" s="187" t="n"/>
      <c r="F12" s="145" t="n"/>
      <c r="G12" s="151" t="n">
        <v>0</v>
      </c>
      <c r="H12" s="156" t="n"/>
      <c r="I12" s="156">
        <f>G12*12</f>
        <v/>
      </c>
      <c r="J12" s="156">
        <f>I12*(1+$J$8)</f>
        <v/>
      </c>
      <c r="K12" s="156">
        <f>J12*(1+$K$8)</f>
        <v/>
      </c>
      <c r="L12" s="145" t="n"/>
      <c r="M12" s="145" t="n"/>
      <c r="N12" s="145" t="n"/>
      <c r="O12" s="145" t="n"/>
      <c r="P12" s="145" t="n"/>
      <c r="Q12" s="145" t="n"/>
    </row>
    <row r="13" ht="12.75" customHeight="1" s="131">
      <c r="A13" s="137" t="n"/>
      <c r="B13" s="185" t="inlineStr">
        <is>
          <t>Commissions and Fees</t>
        </is>
      </c>
      <c r="C13" s="186" t="n"/>
      <c r="D13" s="186" t="n"/>
      <c r="E13" s="187" t="n"/>
      <c r="F13" s="145" t="n"/>
      <c r="G13" s="151" t="n">
        <v>0</v>
      </c>
      <c r="H13" s="156" t="n"/>
      <c r="I13" s="156">
        <f>G13*12</f>
        <v/>
      </c>
      <c r="J13" s="156">
        <f>I13*(1+$J$8)</f>
        <v/>
      </c>
      <c r="K13" s="156">
        <f>J13*(1+$K$8)</f>
        <v/>
      </c>
      <c r="L13" s="145" t="n"/>
      <c r="M13" s="145" t="n"/>
      <c r="N13" s="145" t="n"/>
      <c r="O13" s="145" t="n"/>
      <c r="P13" s="145" t="n"/>
      <c r="Q13" s="145" t="n"/>
    </row>
    <row r="14" ht="12.75" customHeight="1" s="131">
      <c r="A14" s="137" t="n"/>
      <c r="B14" s="185" t="inlineStr">
        <is>
          <t>Contract Labor</t>
        </is>
      </c>
      <c r="C14" s="186" t="n"/>
      <c r="D14" s="186" t="n"/>
      <c r="E14" s="187" t="n"/>
      <c r="F14" s="145" t="n"/>
      <c r="G14" s="151" t="n">
        <v>0</v>
      </c>
      <c r="H14" s="156" t="n"/>
      <c r="I14" s="156">
        <f>G14*12</f>
        <v/>
      </c>
      <c r="J14" s="156">
        <f>I14*(1+$J$8)</f>
        <v/>
      </c>
      <c r="K14" s="156">
        <f>J14*(1+$K$8)</f>
        <v/>
      </c>
      <c r="L14" s="145" t="n"/>
      <c r="M14" s="145" t="n"/>
      <c r="N14" s="145" t="n"/>
      <c r="O14" s="145" t="n"/>
      <c r="P14" s="145" t="n"/>
      <c r="Q14" s="145" t="n"/>
    </row>
    <row r="15" ht="12.75" customHeight="1" s="131">
      <c r="A15" s="137" t="n"/>
      <c r="B15" s="185" t="inlineStr">
        <is>
          <t>Credit Card and Bank Charges</t>
        </is>
      </c>
      <c r="C15" s="186" t="n"/>
      <c r="D15" s="186" t="n"/>
      <c r="E15" s="187" t="n"/>
      <c r="F15" s="145" t="n"/>
      <c r="G15" s="151" t="n">
        <v>0</v>
      </c>
      <c r="H15" s="156" t="n"/>
      <c r="I15" s="156">
        <f>G15*12</f>
        <v/>
      </c>
      <c r="J15" s="156">
        <f>I15*(1+$J$8)</f>
        <v/>
      </c>
      <c r="K15" s="156">
        <f>J15*(1+$K$8)</f>
        <v/>
      </c>
      <c r="L15" s="145" t="n"/>
      <c r="M15" s="145" t="n"/>
      <c r="N15" s="145" t="n"/>
      <c r="O15" s="145" t="n"/>
      <c r="P15" s="145" t="n"/>
      <c r="Q15" s="145" t="n"/>
    </row>
    <row r="16" ht="12.75" customHeight="1" s="131">
      <c r="A16" s="137" t="n"/>
      <c r="B16" s="185" t="inlineStr">
        <is>
          <t>Customer Discounts and Refunds</t>
        </is>
      </c>
      <c r="C16" s="186" t="n"/>
      <c r="D16" s="186" t="n"/>
      <c r="E16" s="187" t="n"/>
      <c r="F16" s="176" t="n"/>
      <c r="G16" s="151" t="n">
        <v>0</v>
      </c>
      <c r="H16" s="156" t="n"/>
      <c r="I16" s="156">
        <f>G16*12</f>
        <v/>
      </c>
      <c r="J16" s="156">
        <f>I16*(1+$J$8)</f>
        <v/>
      </c>
      <c r="K16" s="156">
        <f>J16*(1+$K$8)</f>
        <v/>
      </c>
      <c r="L16" s="145" t="n"/>
      <c r="M16" s="145" t="n"/>
      <c r="N16" s="145" t="n"/>
      <c r="O16" s="145" t="n"/>
      <c r="P16" s="145" t="n"/>
      <c r="Q16" s="145" t="n"/>
    </row>
    <row r="17" ht="12.75" customHeight="1" s="131">
      <c r="A17" s="137" t="n"/>
      <c r="B17" s="185" t="inlineStr">
        <is>
          <t>Dues and Subscriptions</t>
        </is>
      </c>
      <c r="C17" s="186" t="n"/>
      <c r="D17" s="186" t="n"/>
      <c r="E17" s="187" t="n"/>
      <c r="F17" s="176" t="n"/>
      <c r="G17" s="151" t="n">
        <v>0</v>
      </c>
      <c r="H17" s="156" t="n"/>
      <c r="I17" s="156">
        <f>G17*12</f>
        <v/>
      </c>
      <c r="J17" s="156">
        <f>I17*(1+$J$8)</f>
        <v/>
      </c>
      <c r="K17" s="156">
        <f>J17*(1+$K$8)</f>
        <v/>
      </c>
      <c r="L17" s="145" t="n"/>
      <c r="M17" s="145" t="n"/>
      <c r="N17" s="145" t="n"/>
      <c r="O17" s="145" t="n"/>
      <c r="P17" s="145" t="n"/>
      <c r="Q17" s="145" t="n"/>
    </row>
    <row r="18" ht="12.75" customHeight="1" s="131">
      <c r="A18" s="137" t="n"/>
      <c r="B18" s="185" t="inlineStr">
        <is>
          <t>Entertainment</t>
        </is>
      </c>
      <c r="C18" s="186" t="n"/>
      <c r="D18" s="186" t="n"/>
      <c r="E18" s="187" t="n"/>
      <c r="F18" s="178" t="n"/>
      <c r="G18" s="151" t="n">
        <v>0</v>
      </c>
      <c r="H18" s="156" t="n"/>
      <c r="I18" s="156">
        <f>G18*12</f>
        <v/>
      </c>
      <c r="J18" s="156">
        <f>I18*(1+$J$8)</f>
        <v/>
      </c>
      <c r="K18" s="156">
        <f>J18*(1+$K$8)</f>
        <v/>
      </c>
      <c r="L18" s="145" t="n"/>
      <c r="M18" s="145" t="n"/>
      <c r="N18" s="145" t="n"/>
      <c r="O18" s="145" t="n"/>
      <c r="P18" s="145" t="n"/>
      <c r="Q18" s="145" t="n"/>
    </row>
    <row r="19" ht="12.75" customHeight="1" s="131">
      <c r="A19" s="137" t="n"/>
      <c r="B19" s="185" t="inlineStr">
        <is>
          <t>Insurance (Liability and Property)</t>
        </is>
      </c>
      <c r="C19" s="186" t="n"/>
      <c r="D19" s="186" t="n"/>
      <c r="E19" s="187" t="n"/>
      <c r="F19" s="145" t="n"/>
      <c r="G19" s="151" t="n">
        <v>0</v>
      </c>
      <c r="H19" s="156" t="n"/>
      <c r="I19" s="156">
        <f>G19*12</f>
        <v/>
      </c>
      <c r="J19" s="156">
        <f>I19*(1+$J$8)</f>
        <v/>
      </c>
      <c r="K19" s="156">
        <f>J19*(1+$K$8)</f>
        <v/>
      </c>
      <c r="L19" s="145" t="n"/>
      <c r="M19" s="145" t="n"/>
      <c r="N19" s="145" t="n"/>
      <c r="O19" s="145" t="n"/>
      <c r="P19" s="145" t="n"/>
      <c r="Q19" s="145" t="n"/>
    </row>
    <row r="20" ht="12.75" customHeight="1" s="131">
      <c r="A20" s="137" t="n"/>
      <c r="B20" s="185" t="inlineStr">
        <is>
          <t>Internet</t>
        </is>
      </c>
      <c r="C20" s="186" t="n"/>
      <c r="D20" s="186" t="n"/>
      <c r="E20" s="187" t="n"/>
      <c r="F20" s="145" t="n"/>
      <c r="G20" s="151" t="n">
        <v>0</v>
      </c>
      <c r="H20" s="156" t="n"/>
      <c r="I20" s="156">
        <f>G20*12</f>
        <v/>
      </c>
      <c r="J20" s="156">
        <f>I20*(1+$J$8)</f>
        <v/>
      </c>
      <c r="K20" s="156">
        <f>J20*(1+$K$8)</f>
        <v/>
      </c>
      <c r="L20" s="145" t="n"/>
      <c r="M20" s="145" t="n"/>
      <c r="N20" s="145" t="n"/>
      <c r="O20" s="145" t="n"/>
      <c r="P20" s="145" t="n"/>
      <c r="Q20" s="145" t="n"/>
    </row>
    <row r="21" ht="12.75" customHeight="1" s="131">
      <c r="A21" s="137" t="n"/>
      <c r="B21" s="185" t="inlineStr">
        <is>
          <t>Legal and Professional Fees</t>
        </is>
      </c>
      <c r="C21" s="186" t="n"/>
      <c r="D21" s="186" t="n"/>
      <c r="E21" s="187" t="n"/>
      <c r="F21" s="176" t="n"/>
      <c r="G21" s="151" t="n">
        <v>0</v>
      </c>
      <c r="H21" s="156" t="n"/>
      <c r="I21" s="156">
        <f>G21*12</f>
        <v/>
      </c>
      <c r="J21" s="156">
        <f>I21*(1+$J$8)</f>
        <v/>
      </c>
      <c r="K21" s="156">
        <f>J21*(1+$K$8)</f>
        <v/>
      </c>
      <c r="L21" s="145" t="n"/>
      <c r="M21" s="145" t="n"/>
      <c r="N21" s="145" t="n"/>
      <c r="O21" s="145" t="n"/>
      <c r="P21" s="145" t="n"/>
      <c r="Q21" s="145" t="n"/>
    </row>
    <row r="22" ht="12.75" customHeight="1" s="131">
      <c r="A22" s="137" t="n"/>
      <c r="B22" s="185" t="inlineStr">
        <is>
          <t>Office Expenses</t>
        </is>
      </c>
      <c r="C22" s="186" t="n"/>
      <c r="D22" s="186" t="n"/>
      <c r="E22" s="187" t="n"/>
      <c r="F22" s="178" t="n"/>
      <c r="G22" s="151" t="n">
        <v>0</v>
      </c>
      <c r="H22" s="156" t="n"/>
      <c r="I22" s="156">
        <f>G22*12</f>
        <v/>
      </c>
      <c r="J22" s="156">
        <f>I22*(1+$J$8)</f>
        <v/>
      </c>
      <c r="K22" s="156">
        <f>J22*(1+$K$8)</f>
        <v/>
      </c>
      <c r="L22" s="145" t="n"/>
      <c r="M22" s="145" t="n"/>
      <c r="N22" s="145" t="n"/>
      <c r="O22" s="145" t="n"/>
      <c r="P22" s="145" t="n"/>
      <c r="Q22" s="145" t="n"/>
    </row>
    <row r="23" ht="12.75" customHeight="1" s="131">
      <c r="A23" s="137" t="n"/>
      <c r="B23" s="185" t="inlineStr">
        <is>
          <t>Postage and Delivery</t>
        </is>
      </c>
      <c r="C23" s="186" t="n"/>
      <c r="D23" s="186" t="n"/>
      <c r="E23" s="187" t="n"/>
      <c r="F23" s="145" t="n"/>
      <c r="G23" s="151" t="n">
        <v>0</v>
      </c>
      <c r="H23" s="156" t="n"/>
      <c r="I23" s="156">
        <f>G23*12</f>
        <v/>
      </c>
      <c r="J23" s="156">
        <f>I23*(1+$J$8)</f>
        <v/>
      </c>
      <c r="K23" s="156">
        <f>J23*(1+$K$8)</f>
        <v/>
      </c>
      <c r="L23" s="145" t="n"/>
      <c r="M23" s="145" t="n"/>
      <c r="N23" s="145" t="n"/>
      <c r="O23" s="145" t="n"/>
      <c r="P23" s="145" t="n"/>
      <c r="Q23" s="145" t="n"/>
    </row>
    <row r="24" ht="12.75" customHeight="1" s="131">
      <c r="A24" s="137" t="n"/>
      <c r="B24" s="185" t="inlineStr">
        <is>
          <t>Rent (on business property)</t>
        </is>
      </c>
      <c r="C24" s="186" t="n"/>
      <c r="D24" s="186" t="n"/>
      <c r="E24" s="187" t="n"/>
      <c r="F24" s="145" t="n"/>
      <c r="G24" s="151" t="n">
        <v>0</v>
      </c>
      <c r="H24" s="156" t="n"/>
      <c r="I24" s="156">
        <f>G24*12</f>
        <v/>
      </c>
      <c r="J24" s="156">
        <f>I24*(1+$J$8)</f>
        <v/>
      </c>
      <c r="K24" s="156">
        <f>J24*(1+$K$8)</f>
        <v/>
      </c>
      <c r="L24" s="145" t="n"/>
      <c r="M24" s="145" t="n"/>
      <c r="N24" s="145" t="n"/>
      <c r="O24" s="145" t="n"/>
      <c r="P24" s="145" t="n"/>
      <c r="Q24" s="145" t="n"/>
    </row>
    <row r="25" ht="12.75" customHeight="1" s="131">
      <c r="A25" s="137" t="n"/>
      <c r="B25" s="185" t="inlineStr">
        <is>
          <t>Rent of Vehicles and Equipment</t>
        </is>
      </c>
      <c r="C25" s="186" t="n"/>
      <c r="D25" s="186" t="n"/>
      <c r="E25" s="187" t="n"/>
      <c r="F25" s="145" t="n"/>
      <c r="G25" s="151" t="n">
        <v>0</v>
      </c>
      <c r="H25" s="156" t="n"/>
      <c r="I25" s="156">
        <f>G25*12</f>
        <v/>
      </c>
      <c r="J25" s="156">
        <f>I25*(1+$J$8)</f>
        <v/>
      </c>
      <c r="K25" s="156">
        <f>J25*(1+$K$8)</f>
        <v/>
      </c>
      <c r="L25" s="145" t="n"/>
      <c r="M25" s="145" t="n"/>
      <c r="N25" s="145" t="n"/>
      <c r="O25" s="145" t="n"/>
      <c r="P25" s="145" t="n"/>
      <c r="Q25" s="145" t="n"/>
    </row>
    <row r="26" ht="12.75" customHeight="1" s="131">
      <c r="A26" s="137" t="n"/>
      <c r="B26" s="185" t="inlineStr">
        <is>
          <t>Repairs and Maintenance</t>
        </is>
      </c>
      <c r="C26" s="186" t="n"/>
      <c r="D26" s="186" t="n"/>
      <c r="E26" s="187" t="n"/>
      <c r="F26" s="145" t="n"/>
      <c r="G26" s="151" t="n">
        <v>0</v>
      </c>
      <c r="H26" s="156" t="n"/>
      <c r="I26" s="156">
        <f>G26*12</f>
        <v/>
      </c>
      <c r="J26" s="156">
        <f>I26*(1+$J$8)</f>
        <v/>
      </c>
      <c r="K26" s="156">
        <f>J26*(1+$K$8)</f>
        <v/>
      </c>
      <c r="L26" s="145" t="n"/>
      <c r="M26" s="145" t="n"/>
      <c r="N26" s="145" t="n"/>
      <c r="O26" s="145" t="n"/>
      <c r="P26" s="145" t="n"/>
      <c r="Q26" s="145" t="n"/>
    </row>
    <row r="27" ht="12.75" customHeight="1" s="131">
      <c r="A27" s="137" t="n"/>
      <c r="B27" s="185" t="inlineStr">
        <is>
          <t>Supplies</t>
        </is>
      </c>
      <c r="C27" s="186" t="n"/>
      <c r="D27" s="186" t="n"/>
      <c r="E27" s="187" t="n"/>
      <c r="F27" s="145" t="n"/>
      <c r="G27" s="151" t="n">
        <v>0</v>
      </c>
      <c r="H27" s="156" t="n"/>
      <c r="I27" s="156">
        <f>G27*12</f>
        <v/>
      </c>
      <c r="J27" s="156">
        <f>I27*(1+$J$8)</f>
        <v/>
      </c>
      <c r="K27" s="156">
        <f>J27*(1+$K$8)</f>
        <v/>
      </c>
      <c r="L27" s="145" t="n"/>
      <c r="M27" s="145" t="n"/>
      <c r="N27" s="145" t="n"/>
      <c r="O27" s="145" t="n"/>
      <c r="P27" s="145" t="n"/>
      <c r="Q27" s="145" t="n"/>
    </row>
    <row r="28" ht="12.75" customHeight="1" s="131">
      <c r="A28" s="137" t="n"/>
      <c r="B28" s="185" t="inlineStr">
        <is>
          <t>Telephone and Communications</t>
        </is>
      </c>
      <c r="C28" s="186" t="n"/>
      <c r="D28" s="186" t="n"/>
      <c r="E28" s="187" t="n"/>
      <c r="F28" s="145" t="n"/>
      <c r="G28" s="151" t="n">
        <v>0</v>
      </c>
      <c r="H28" s="156" t="n"/>
      <c r="I28" s="156">
        <f>G28*12</f>
        <v/>
      </c>
      <c r="J28" s="156">
        <f>I28*(1+$J$8)</f>
        <v/>
      </c>
      <c r="K28" s="156">
        <f>J28*(1+$K$8)</f>
        <v/>
      </c>
      <c r="L28" s="145" t="n"/>
      <c r="M28" s="145" t="n"/>
      <c r="N28" s="145" t="n"/>
      <c r="O28" s="145" t="n"/>
      <c r="P28" s="145" t="n"/>
      <c r="Q28" s="145" t="n"/>
    </row>
    <row r="29" ht="12.75" customHeight="1" s="131">
      <c r="A29" s="137" t="n"/>
      <c r="B29" s="185" t="inlineStr">
        <is>
          <t>Travel</t>
        </is>
      </c>
      <c r="C29" s="186" t="n"/>
      <c r="D29" s="186" t="n"/>
      <c r="E29" s="187" t="n"/>
      <c r="F29" s="145" t="n"/>
      <c r="G29" s="151" t="n">
        <v>0</v>
      </c>
      <c r="H29" s="156" t="n"/>
      <c r="I29" s="156">
        <f>G29*12</f>
        <v/>
      </c>
      <c r="J29" s="156">
        <f>I29*(1+$J$8)</f>
        <v/>
      </c>
      <c r="K29" s="156">
        <f>J29*(1+$K$8)</f>
        <v/>
      </c>
      <c r="L29" s="145" t="n"/>
      <c r="M29" s="145" t="n"/>
      <c r="N29" s="145" t="n"/>
      <c r="O29" s="145" t="n"/>
      <c r="P29" s="145" t="n"/>
      <c r="Q29" s="145" t="n"/>
    </row>
    <row r="30" ht="12.75" customHeight="1" s="131">
      <c r="A30" s="137" t="n"/>
      <c r="B30" s="185" t="inlineStr">
        <is>
          <t>Utilities</t>
        </is>
      </c>
      <c r="C30" s="186" t="n"/>
      <c r="D30" s="186" t="n"/>
      <c r="E30" s="187" t="n"/>
      <c r="F30" s="145" t="n"/>
      <c r="G30" s="181" t="n">
        <v>0</v>
      </c>
      <c r="H30" s="156" t="n"/>
      <c r="I30" s="162">
        <f>G30*12</f>
        <v/>
      </c>
      <c r="J30" s="162">
        <f>I30*(1+$J$8)</f>
        <v/>
      </c>
      <c r="K30" s="162">
        <f>J30*(1+$K$8)</f>
        <v/>
      </c>
      <c r="L30" s="145" t="n"/>
      <c r="M30" s="145" t="n"/>
      <c r="N30" s="145" t="n"/>
      <c r="O30" s="145" t="n"/>
      <c r="P30" s="145" t="n"/>
      <c r="Q30" s="145" t="n"/>
    </row>
    <row r="31" ht="12.75" customHeight="1" s="131">
      <c r="A31" s="137" t="inlineStr">
        <is>
          <t>Total Expenses</t>
        </is>
      </c>
      <c r="B31" s="137" t="n"/>
      <c r="C31" s="137" t="n"/>
      <c r="D31" s="137" t="n"/>
      <c r="E31" s="145" t="n"/>
      <c r="F31" s="145" t="n"/>
      <c r="G31" s="156">
        <f>SUM(G11:G30)</f>
        <v/>
      </c>
      <c r="H31" s="156" t="n"/>
      <c r="I31" s="156">
        <f>SUM(I11:I30)</f>
        <v/>
      </c>
      <c r="J31" s="156">
        <f>SUM(J11:J30)</f>
        <v/>
      </c>
      <c r="K31" s="156">
        <f>SUM(K11:K30)</f>
        <v/>
      </c>
      <c r="L31" s="145" t="n"/>
      <c r="M31" s="145" t="n"/>
      <c r="N31" s="145" t="n"/>
      <c r="O31" s="145" t="n"/>
      <c r="P31" s="145" t="n"/>
      <c r="Q31" s="145" t="n"/>
    </row>
    <row r="32" ht="12.75" customHeight="1" s="131">
      <c r="A32" s="137" t="n"/>
      <c r="B32" s="137" t="n"/>
      <c r="C32" s="137" t="n"/>
      <c r="D32" s="137" t="n"/>
      <c r="E32" s="145" t="n"/>
      <c r="F32" s="145" t="n"/>
      <c r="G32" s="156" t="n"/>
      <c r="H32" s="156" t="n"/>
      <c r="I32" s="156" t="n"/>
      <c r="J32" s="156" t="n"/>
      <c r="K32" s="156" t="n"/>
      <c r="L32" s="145" t="n"/>
      <c r="M32" s="145" t="n"/>
      <c r="N32" s="145" t="n"/>
      <c r="O32" s="145" t="n"/>
      <c r="P32" s="145" t="n"/>
      <c r="Q32" s="145" t="n"/>
    </row>
    <row r="33" ht="12.75" customHeight="1" s="131">
      <c r="A33" s="137" t="inlineStr">
        <is>
          <t>Other Expenses</t>
        </is>
      </c>
      <c r="B33" s="137" t="n"/>
      <c r="C33" s="137" t="n"/>
      <c r="D33" s="137" t="n"/>
      <c r="E33" s="145" t="n"/>
      <c r="F33" s="145" t="n"/>
      <c r="G33" s="156" t="n"/>
      <c r="H33" s="156" t="n"/>
      <c r="I33" s="156" t="n"/>
      <c r="J33" s="156" t="n"/>
      <c r="K33" s="156" t="n"/>
      <c r="L33" s="145" t="n"/>
      <c r="M33" s="145" t="n"/>
      <c r="N33" s="145" t="n"/>
      <c r="O33" s="145" t="n"/>
      <c r="P33" s="145" t="n"/>
      <c r="Q33" s="145" t="n"/>
    </row>
    <row r="34" ht="12.75" customHeight="1" s="131">
      <c r="A34" s="137" t="n"/>
      <c r="B34" s="137" t="inlineStr">
        <is>
          <t>Depreciation</t>
        </is>
      </c>
      <c r="C34" s="137" t="n"/>
      <c r="D34" s="137" t="n"/>
      <c r="E34" s="145" t="n"/>
      <c r="F34" s="145" t="n"/>
      <c r="G34" s="156">
        <f>('1. Required Start-Up Funds'!E9/'1. Required Start-Up Funds'!H9)/12+('1. Required Start-Up Funds'!E10/'1. Required Start-Up Funds'!H10)/12+('1. Required Start-Up Funds'!E11/'1. Required Start-Up Funds'!H11)/12+('1. Required Start-Up Funds'!E12/'1. Required Start-Up Funds'!H12)/12+('1. Required Start-Up Funds'!E13/'1. Required Start-Up Funds'!H13)/12+('1. Required Start-Up Funds'!E14/'1. Required Start-Up Funds'!H14)/12</f>
        <v/>
      </c>
      <c r="H34" s="156" t="n"/>
      <c r="I34" s="156">
        <f>G34*12</f>
        <v/>
      </c>
      <c r="J34" s="156">
        <f>I34</f>
        <v/>
      </c>
      <c r="K34" s="156">
        <f>J34</f>
        <v/>
      </c>
      <c r="L34" s="145" t="n"/>
      <c r="M34" s="145" t="n"/>
      <c r="N34" s="145" t="n"/>
      <c r="O34" s="145" t="n"/>
      <c r="P34" s="145" t="n"/>
      <c r="Q34" s="145" t="n"/>
    </row>
    <row r="35" ht="12.75" customHeight="1" s="131">
      <c r="A35" s="137" t="n"/>
      <c r="B35" s="137" t="inlineStr">
        <is>
          <t>Interest</t>
        </is>
      </c>
      <c r="C35" s="137" t="n"/>
      <c r="D35" s="137" t="n"/>
      <c r="E35" s="145" t="n"/>
      <c r="F35" s="145" t="n"/>
      <c r="G35" s="156" t="n"/>
      <c r="H35" s="156" t="n"/>
      <c r="I35" s="156" t="n"/>
      <c r="J35" s="156" t="n"/>
      <c r="K35" s="156" t="n"/>
      <c r="L35" s="145" t="n"/>
      <c r="M35" s="145" t="n"/>
      <c r="N35" s="145" t="n"/>
      <c r="O35" s="145" t="n"/>
      <c r="P35" s="145" t="n"/>
      <c r="Q35" s="145" t="n"/>
    </row>
    <row r="36" ht="12.75" customHeight="1" s="131">
      <c r="A36" s="137" t="n"/>
      <c r="B36" s="137" t="n"/>
      <c r="C36" s="137" t="inlineStr">
        <is>
          <t>Commercial Loan</t>
        </is>
      </c>
      <c r="D36" s="137" t="n"/>
      <c r="E36" s="145" t="n"/>
      <c r="F36" s="145" t="n"/>
      <c r="G36" s="156">
        <f>'20. Amoritization Schedule'!S15/12</f>
        <v/>
      </c>
      <c r="H36" s="156" t="n"/>
      <c r="I36" s="156">
        <f>'20. Amoritization Schedule'!S15</f>
        <v/>
      </c>
      <c r="J36" s="156">
        <f>'20. Amoritization Schedule'!S19</f>
        <v/>
      </c>
      <c r="K36" s="156">
        <f>'20. Amoritization Schedule'!S23</f>
        <v/>
      </c>
      <c r="L36" s="145" t="n"/>
      <c r="M36" s="145" t="n"/>
      <c r="N36" s="145" t="n"/>
      <c r="O36" s="145" t="n"/>
      <c r="P36" s="145" t="n"/>
      <c r="Q36" s="145" t="n"/>
    </row>
    <row r="37" ht="12.75" customHeight="1" s="131">
      <c r="A37" s="137" t="n"/>
      <c r="B37" s="137" t="n"/>
      <c r="C37" s="137" t="inlineStr">
        <is>
          <t>Commercial Mortgage</t>
        </is>
      </c>
      <c r="D37" s="137" t="n"/>
      <c r="E37" s="145" t="n"/>
      <c r="F37" s="145" t="n"/>
      <c r="G37" s="156">
        <f>'20. Amoritization Schedule'!S35/12</f>
        <v/>
      </c>
      <c r="H37" s="156" t="n"/>
      <c r="I37" s="156">
        <f>'20. Amoritization Schedule'!S35</f>
        <v/>
      </c>
      <c r="J37" s="156">
        <f>'20. Amoritization Schedule'!S39</f>
        <v/>
      </c>
      <c r="K37" s="156">
        <f>'20. Amoritization Schedule'!S43</f>
        <v/>
      </c>
      <c r="L37" s="145" t="n"/>
      <c r="M37" s="145" t="n"/>
      <c r="N37" s="145" t="n"/>
      <c r="O37" s="145" t="n"/>
      <c r="P37" s="145" t="n"/>
      <c r="Q37" s="145" t="n"/>
    </row>
    <row r="38" ht="12.75" customHeight="1" s="131">
      <c r="A38" s="137" t="n"/>
      <c r="B38" s="137" t="n"/>
      <c r="C38" s="137" t="inlineStr">
        <is>
          <t>Line of Credit</t>
        </is>
      </c>
      <c r="D38" s="137" t="n"/>
      <c r="E38" s="145" t="n"/>
      <c r="F38" s="145" t="n"/>
      <c r="G38" s="162">
        <f>'8. Income Statement'!Q62/12</f>
        <v/>
      </c>
      <c r="H38" s="156" t="n"/>
      <c r="I38" s="162">
        <f>'8. Income Statement'!Q62</f>
        <v/>
      </c>
      <c r="J38" s="162" t="n">
        <v>0</v>
      </c>
      <c r="K38" s="162" t="n">
        <v>0</v>
      </c>
      <c r="L38" s="145" t="n"/>
      <c r="M38" s="145" t="n"/>
      <c r="N38" s="145" t="n"/>
      <c r="O38" s="145" t="n"/>
      <c r="P38" s="145" t="n"/>
      <c r="Q38" s="145" t="n"/>
    </row>
    <row r="39" ht="12.75" customHeight="1" s="131">
      <c r="A39" s="137" t="inlineStr">
        <is>
          <t>Total Other Expenses</t>
        </is>
      </c>
      <c r="B39" s="137" t="n"/>
      <c r="C39" s="137" t="n"/>
      <c r="D39" s="137" t="n"/>
      <c r="E39" s="145" t="n"/>
      <c r="F39" s="145" t="n"/>
      <c r="G39" s="182">
        <f>SUM(G34:G38)</f>
        <v/>
      </c>
      <c r="H39" s="182" t="n"/>
      <c r="I39" s="182">
        <f>SUM(I34:I38)</f>
        <v/>
      </c>
      <c r="J39" s="182">
        <f>SUM(J34:J38)</f>
        <v/>
      </c>
      <c r="K39" s="182">
        <f>SUM(K34:K38)</f>
        <v/>
      </c>
      <c r="L39" s="145" t="n"/>
      <c r="M39" s="145" t="n"/>
      <c r="N39" s="145" t="n"/>
      <c r="O39" s="145" t="n"/>
      <c r="P39" s="145" t="n"/>
      <c r="Q39" s="145" t="n"/>
    </row>
    <row r="40" ht="18" customHeight="1" s="131">
      <c r="A40" s="137" t="n"/>
      <c r="B40" s="137" t="n"/>
      <c r="C40" s="137" t="n"/>
      <c r="D40" s="137" t="n"/>
      <c r="E40" s="145" t="n"/>
      <c r="F40" s="145" t="n"/>
      <c r="G40" s="155" t="n"/>
      <c r="H40" s="150" t="n"/>
      <c r="I40" s="155" t="n"/>
      <c r="J40" s="155" t="n"/>
      <c r="K40" s="155" t="n"/>
      <c r="L40" s="145" t="n"/>
      <c r="M40" s="145" t="n"/>
      <c r="N40" s="145" t="n"/>
      <c r="O40" s="145" t="n"/>
      <c r="P40" s="145" t="n"/>
      <c r="Q40" s="145" t="n"/>
    </row>
    <row r="41" ht="18" customHeight="1" s="131">
      <c r="A41" s="137" t="inlineStr">
        <is>
          <t>Total Fixed Operating Expenses</t>
        </is>
      </c>
      <c r="B41" s="137" t="n"/>
      <c r="C41" s="137" t="n"/>
      <c r="D41" s="137" t="n"/>
      <c r="E41" s="145" t="n"/>
      <c r="F41" s="145" t="n"/>
      <c r="G41" s="184">
        <f>G31+G39</f>
        <v/>
      </c>
      <c r="H41" s="156" t="n"/>
      <c r="I41" s="184">
        <f>I31+I39</f>
        <v/>
      </c>
      <c r="J41" s="184">
        <f>J31+J39</f>
        <v/>
      </c>
      <c r="K41" s="184">
        <f>K31+K39</f>
        <v/>
      </c>
      <c r="L41" s="145" t="n"/>
      <c r="M41" s="145" t="n"/>
      <c r="N41" s="145" t="n"/>
      <c r="O41" s="145" t="n"/>
      <c r="P41" s="145" t="n"/>
      <c r="Q41" s="145" t="n"/>
    </row>
    <row r="42" ht="12.75" customHeight="1" s="131">
      <c r="A42" s="137" t="n"/>
      <c r="B42" s="137" t="n"/>
      <c r="C42" s="137" t="n"/>
      <c r="D42" s="137" t="n"/>
      <c r="E42" s="145" t="n"/>
      <c r="F42" s="145" t="n"/>
      <c r="G42" s="145" t="n"/>
      <c r="H42" s="145" t="n"/>
      <c r="I42" s="145" t="n"/>
      <c r="J42" s="145" t="n"/>
      <c r="K42" s="145" t="n"/>
      <c r="L42" s="145" t="n"/>
      <c r="M42" s="145" t="n"/>
      <c r="N42" s="145" t="n"/>
      <c r="O42" s="145" t="n"/>
      <c r="P42" s="145" t="n"/>
      <c r="Q42" s="145" t="n"/>
    </row>
    <row r="43" ht="12.75" customHeight="1" s="131">
      <c r="E43" s="145" t="n"/>
      <c r="F43" s="145" t="n"/>
      <c r="G43" s="145" t="n"/>
      <c r="H43" s="145" t="n"/>
      <c r="I43" s="145" t="n"/>
      <c r="J43" s="145" t="n"/>
      <c r="K43" s="145" t="n"/>
      <c r="L43" s="145" t="n"/>
      <c r="M43" s="145" t="n"/>
      <c r="N43" s="145" t="n"/>
      <c r="O43" s="145" t="n"/>
      <c r="P43" s="145" t="n"/>
      <c r="Q43" s="145" t="n"/>
    </row>
    <row r="44" ht="12.75" customHeight="1" s="131">
      <c r="E44" s="145" t="n"/>
      <c r="F44" s="145" t="n"/>
      <c r="G44" s="145" t="n"/>
      <c r="H44" s="145" t="n"/>
      <c r="I44" s="145" t="n"/>
      <c r="J44" s="145" t="n"/>
      <c r="K44" s="145" t="n"/>
      <c r="L44" s="145" t="n"/>
      <c r="M44" s="145" t="n"/>
      <c r="N44" s="145" t="n"/>
      <c r="O44" s="145" t="n"/>
      <c r="P44" s="145" t="n"/>
      <c r="Q44" s="145" t="n"/>
    </row>
    <row r="45" ht="12.75" customHeight="1" s="131">
      <c r="E45" s="145" t="n"/>
      <c r="F45" s="145" t="n"/>
      <c r="G45" s="145" t="n"/>
      <c r="H45" s="145" t="n"/>
      <c r="I45" s="145" t="n"/>
      <c r="J45" s="145" t="n"/>
      <c r="K45" s="145" t="n"/>
      <c r="L45" s="145" t="n"/>
      <c r="M45" s="145" t="n"/>
      <c r="N45" s="145" t="n"/>
      <c r="O45" s="145" t="n"/>
      <c r="P45" s="145" t="n"/>
      <c r="Q45" s="145" t="n"/>
    </row>
    <row r="46" ht="12.75" customHeight="1" s="131">
      <c r="E46" s="145" t="n"/>
      <c r="F46" s="145" t="n"/>
      <c r="G46" s="145" t="n"/>
      <c r="H46" s="145" t="n"/>
      <c r="I46" s="145" t="n"/>
      <c r="J46" s="145" t="n"/>
      <c r="K46" s="145" t="n"/>
      <c r="L46" s="145" t="n"/>
      <c r="M46" s="145" t="n"/>
      <c r="N46" s="145" t="n"/>
      <c r="O46" s="145" t="n"/>
      <c r="P46" s="145" t="n"/>
      <c r="Q46" s="145" t="n"/>
    </row>
    <row r="47" ht="12.75" customHeight="1" s="131">
      <c r="E47" s="145" t="n"/>
      <c r="F47" s="145" t="n"/>
      <c r="G47" s="145" t="n"/>
      <c r="H47" s="145" t="n"/>
      <c r="I47" s="145" t="n"/>
      <c r="J47" s="145" t="n"/>
      <c r="K47" s="145" t="n"/>
      <c r="L47" s="145" t="n"/>
      <c r="M47" s="145" t="n"/>
      <c r="N47" s="145" t="n"/>
      <c r="O47" s="145" t="n"/>
      <c r="P47" s="145" t="n"/>
      <c r="Q47" s="145" t="n"/>
    </row>
    <row r="48" ht="12.75" customHeight="1" s="131">
      <c r="E48" s="145" t="n"/>
      <c r="F48" s="145" t="n"/>
      <c r="G48" s="145" t="n"/>
      <c r="H48" s="145" t="n"/>
      <c r="I48" s="145" t="n"/>
      <c r="J48" s="145" t="n"/>
      <c r="K48" s="145" t="n"/>
      <c r="L48" s="145" t="n"/>
      <c r="M48" s="145" t="n"/>
      <c r="N48" s="145" t="n"/>
      <c r="O48" s="145" t="n"/>
      <c r="P48" s="145" t="n"/>
      <c r="Q48" s="145" t="n"/>
    </row>
    <row r="49" ht="12.75" customHeight="1" s="131">
      <c r="E49" s="145" t="n"/>
      <c r="F49" s="145" t="n"/>
      <c r="G49" s="145" t="n"/>
      <c r="H49" s="145" t="n"/>
      <c r="I49" s="145" t="n"/>
      <c r="J49" s="145" t="n"/>
      <c r="K49" s="145" t="n"/>
      <c r="L49" s="145" t="n"/>
      <c r="M49" s="145" t="n"/>
      <c r="N49" s="145" t="n"/>
      <c r="O49" s="145" t="n"/>
      <c r="P49" s="145" t="n"/>
      <c r="Q49" s="145" t="n"/>
    </row>
    <row r="50" ht="12.75" customHeight="1" s="131">
      <c r="E50" s="145" t="n"/>
      <c r="F50" s="145" t="n"/>
      <c r="G50" s="145" t="n"/>
      <c r="H50" s="145" t="n"/>
      <c r="I50" s="145" t="n"/>
      <c r="J50" s="145" t="n"/>
      <c r="K50" s="145" t="n"/>
      <c r="L50" s="145" t="n"/>
      <c r="M50" s="145" t="n"/>
      <c r="N50" s="145" t="n"/>
      <c r="O50" s="145" t="n"/>
      <c r="P50" s="145" t="n"/>
      <c r="Q50" s="145" t="n"/>
    </row>
    <row r="51" ht="12.75" customHeight="1" s="131"/>
    <row r="52" ht="12.75" customHeight="1" s="131"/>
    <row r="53" ht="12.75" customHeight="1" s="131"/>
    <row r="54" ht="12.75" customHeight="1" s="131"/>
    <row r="55" ht="12.75" customHeight="1" s="131"/>
    <row r="56" ht="12.75" customHeight="1" s="131"/>
    <row r="57" ht="12.75" customHeight="1" s="131"/>
    <row r="58" ht="12.75" customHeight="1" s="131"/>
    <row r="59" ht="12.75" customHeight="1" s="131"/>
    <row r="60" ht="12.75" customHeight="1" s="131"/>
    <row r="61" ht="12.75" customHeight="1" s="131"/>
    <row r="62" ht="12.75" customHeight="1" s="131"/>
    <row r="63"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5.xml><?xml version="1.0" encoding="utf-8"?>
<worksheet xmlns="http://schemas.openxmlformats.org/spreadsheetml/2006/main">
  <sheetPr filterMode="0">
    <tabColor rgb="FFFFFF99"/>
    <outlinePr summaryBelow="1" summaryRight="1"/>
    <pageSetUpPr fitToPage="0"/>
  </sheetPr>
  <dimension ref="A1:T5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8" activeCellId="0" sqref="A8"/>
    </sheetView>
  </sheetViews>
  <sheetFormatPr baseColWidth="8" defaultColWidth="9.15234375" defaultRowHeight="12" zeroHeight="0" outlineLevelRow="2"/>
  <cols>
    <col width="2.99" customWidth="1" style="130" min="1" max="1"/>
    <col width="2.99" customWidth="1" style="137" min="2" max="3"/>
    <col width="15.73" customWidth="1" style="130" min="4" max="4"/>
    <col width="15.73" customWidth="1" style="188" min="5" max="5"/>
    <col width="10.72" customWidth="1" style="188" min="6" max="6"/>
    <col width="2.99" customWidth="1" style="188" min="7" max="7"/>
    <col width="9.720000000000001" customWidth="1" style="130" min="8" max="20"/>
  </cols>
  <sheetData>
    <row r="1" ht="15.75" customHeight="1" s="131">
      <c r="A1" s="142">
        <f>'1. Required Start-Up Funds'!A1</f>
        <v/>
      </c>
      <c r="T1" s="143">
        <f>NOW()</f>
        <v/>
      </c>
    </row>
    <row r="2" ht="15.75" customHeight="1" s="131">
      <c r="A2" s="142" t="inlineStr">
        <is>
          <t>Projected Sales Forecast</t>
        </is>
      </c>
    </row>
    <row r="3" ht="12.75" customHeight="1" s="131">
      <c r="A3" s="130" t="n"/>
      <c r="D3" s="145" t="n"/>
      <c r="E3" s="189" t="n"/>
      <c r="F3" s="189" t="n"/>
      <c r="G3" s="189" t="n"/>
      <c r="H3" s="145" t="n"/>
      <c r="I3" s="145" t="n"/>
      <c r="J3" s="145" t="n"/>
      <c r="K3" s="145" t="n"/>
      <c r="L3" s="145" t="n"/>
      <c r="M3" s="145" t="n"/>
      <c r="N3" s="145" t="n"/>
      <c r="O3" s="145" t="n"/>
      <c r="P3" s="145" t="n"/>
      <c r="Q3" s="145" t="n"/>
      <c r="R3" s="145" t="n"/>
      <c r="S3" s="145" t="n"/>
      <c r="T3" s="145" t="n"/>
    </row>
    <row r="4" ht="12.75" customHeight="1" s="131">
      <c r="A4" s="145" t="n"/>
      <c r="D4" s="145" t="n"/>
      <c r="E4" s="189" t="n"/>
      <c r="F4" s="189" t="n"/>
      <c r="G4" s="189" t="n"/>
      <c r="H4" s="145" t="n"/>
      <c r="I4" s="145" t="n"/>
      <c r="J4" s="145" t="n"/>
      <c r="K4" s="145" t="n"/>
      <c r="L4" s="145" t="n"/>
      <c r="M4" s="145" t="n"/>
      <c r="N4" s="145" t="n"/>
      <c r="O4" s="145" t="n"/>
      <c r="P4" s="145" t="n"/>
      <c r="Q4" s="145" t="n"/>
      <c r="R4" s="145" t="n"/>
      <c r="S4" s="145" t="n"/>
      <c r="T4" s="145" t="n"/>
    </row>
    <row r="5" ht="12.75" customHeight="1" s="131">
      <c r="A5" s="145" t="n"/>
      <c r="D5" s="145" t="n"/>
      <c r="E5" s="189" t="n"/>
      <c r="F5" s="189" t="n"/>
      <c r="G5" s="189" t="n"/>
      <c r="H5" s="145" t="n"/>
      <c r="I5" s="145" t="n"/>
      <c r="J5" s="145" t="n"/>
      <c r="K5" s="145" t="n"/>
      <c r="L5" s="145" t="n"/>
      <c r="M5" s="145" t="n"/>
      <c r="N5" s="145" t="n"/>
      <c r="O5" s="145" t="n"/>
      <c r="P5" s="145" t="n"/>
      <c r="Q5" s="145" t="n"/>
      <c r="R5" s="145" t="n"/>
      <c r="S5" s="145" t="n"/>
      <c r="T5" s="145" t="n"/>
    </row>
    <row r="6" ht="12.75" customFormat="1" customHeight="1" s="137">
      <c r="A6" s="137" t="inlineStr">
        <is>
          <t>Products and Services</t>
        </is>
      </c>
      <c r="B6" s="137" t="n"/>
      <c r="C6" s="137" t="n"/>
      <c r="D6" s="137" t="n"/>
      <c r="E6" s="140" t="inlineStr">
        <is>
          <t>Assumptions</t>
        </is>
      </c>
      <c r="F6" s="171" t="inlineStr">
        <is>
          <t xml:space="preserve">          %</t>
        </is>
      </c>
      <c r="G6" s="140" t="n"/>
      <c r="H6" s="190" t="inlineStr">
        <is>
          <t>Month 1</t>
        </is>
      </c>
      <c r="I6" s="190" t="inlineStr">
        <is>
          <t>Month 2</t>
        </is>
      </c>
      <c r="J6" s="190" t="inlineStr">
        <is>
          <t>Month 3</t>
        </is>
      </c>
      <c r="K6" s="190" t="inlineStr">
        <is>
          <t>Month 4</t>
        </is>
      </c>
      <c r="L6" s="190" t="inlineStr">
        <is>
          <t>Month 5</t>
        </is>
      </c>
      <c r="M6" s="190" t="inlineStr">
        <is>
          <t>Month 6</t>
        </is>
      </c>
      <c r="N6" s="190" t="inlineStr">
        <is>
          <t>Month 7</t>
        </is>
      </c>
      <c r="O6" s="190" t="inlineStr">
        <is>
          <t>Month 8</t>
        </is>
      </c>
      <c r="P6" s="190" t="inlineStr">
        <is>
          <t>Month 9</t>
        </is>
      </c>
      <c r="Q6" s="190" t="inlineStr">
        <is>
          <t>Month 10</t>
        </is>
      </c>
      <c r="R6" s="190" t="inlineStr">
        <is>
          <t>Month 11</t>
        </is>
      </c>
      <c r="S6" s="190" t="inlineStr">
        <is>
          <t>Month 12</t>
        </is>
      </c>
      <c r="T6" s="172" t="inlineStr">
        <is>
          <t>Totals</t>
        </is>
      </c>
    </row>
    <row r="7" ht="12.75" customHeight="1" s="131">
      <c r="A7" s="145" t="n"/>
      <c r="D7" s="145" t="n"/>
      <c r="E7" s="189" t="n"/>
      <c r="F7" s="189" t="n"/>
      <c r="G7" s="189" t="n"/>
      <c r="H7" s="145" t="n"/>
      <c r="I7" s="145" t="n"/>
      <c r="J7" s="145" t="n"/>
      <c r="K7" s="145" t="n"/>
      <c r="L7" s="145" t="n"/>
      <c r="M7" s="145" t="n"/>
      <c r="N7" s="145" t="n"/>
      <c r="O7" s="145" t="n"/>
      <c r="P7" s="145" t="n"/>
      <c r="Q7" s="145" t="n"/>
      <c r="R7" s="145" t="n"/>
      <c r="S7" s="145" t="n"/>
      <c r="T7" s="145" t="n"/>
    </row>
    <row r="8" ht="12.75" customHeight="1" s="131">
      <c r="A8" s="191" t="inlineStr">
        <is>
          <t>Product/Service A</t>
        </is>
      </c>
      <c r="B8" s="191" t="n"/>
      <c r="C8" s="191" t="n"/>
      <c r="D8" s="191" t="n"/>
      <c r="E8" s="189" t="n"/>
      <c r="F8" s="189" t="n"/>
      <c r="G8" s="189" t="n"/>
      <c r="H8" s="145" t="n"/>
      <c r="I8" s="145" t="n"/>
      <c r="J8" s="145" t="n"/>
      <c r="K8" s="145" t="n"/>
      <c r="L8" s="145" t="n"/>
      <c r="M8" s="145" t="n"/>
      <c r="N8" s="145" t="n"/>
      <c r="O8" s="145" t="n"/>
      <c r="P8" s="145" t="n"/>
      <c r="Q8" s="145" t="n"/>
      <c r="R8" s="145" t="n"/>
      <c r="S8" s="145" t="n"/>
      <c r="T8" s="145" t="n"/>
    </row>
    <row r="9" ht="12.75" customHeight="1" s="131">
      <c r="A9" s="137" t="n"/>
      <c r="B9" s="137" t="inlineStr">
        <is>
          <t>Price Per Unit</t>
        </is>
      </c>
      <c r="D9" s="145" t="n"/>
      <c r="E9" s="192" t="n">
        <v>0</v>
      </c>
      <c r="F9" s="193" t="n">
        <v>1</v>
      </c>
      <c r="G9" s="193" t="n"/>
      <c r="H9" s="145" t="n"/>
      <c r="I9" s="145" t="n"/>
      <c r="J9" s="145" t="n"/>
      <c r="K9" s="145" t="n"/>
      <c r="L9" s="145" t="n"/>
      <c r="M9" s="145" t="n"/>
      <c r="N9" s="145" t="n"/>
      <c r="O9" s="145" t="n"/>
      <c r="P9" s="145" t="n"/>
      <c r="Q9" s="145" t="n"/>
      <c r="R9" s="145" t="n"/>
      <c r="S9" s="145" t="n"/>
      <c r="T9" s="145" t="n"/>
    </row>
    <row r="10" ht="12.75" customHeight="1" s="131">
      <c r="A10" s="137" t="n"/>
      <c r="B10" s="137" t="inlineStr">
        <is>
          <t>Variable Cost Per Unit</t>
        </is>
      </c>
      <c r="D10" s="145" t="n"/>
      <c r="E10" s="194" t="n">
        <v>0</v>
      </c>
      <c r="F10" s="193">
        <f>IF(E9&gt;0,E10/E9,0)</f>
        <v/>
      </c>
      <c r="G10" s="193" t="n"/>
      <c r="H10" s="145" t="n"/>
      <c r="I10" s="145" t="n"/>
      <c r="J10" s="145" t="n"/>
      <c r="K10" s="145" t="n"/>
      <c r="L10" s="145" t="n"/>
      <c r="M10" s="145" t="n"/>
      <c r="N10" s="145" t="n"/>
      <c r="O10" s="145" t="n"/>
      <c r="P10" s="145" t="n"/>
      <c r="Q10" s="145" t="n"/>
      <c r="R10" s="145" t="n"/>
      <c r="S10" s="145" t="n"/>
      <c r="T10" s="145" t="n"/>
    </row>
    <row r="11" ht="12.75" customHeight="1" s="131">
      <c r="A11" s="137" t="n"/>
      <c r="B11" s="137" t="inlineStr">
        <is>
          <t>Gross Margin Per Unit</t>
        </is>
      </c>
      <c r="D11" s="145" t="n"/>
      <c r="E11" s="195">
        <f>E9-E10</f>
        <v/>
      </c>
      <c r="F11" s="193">
        <f>IF(E9&gt;0,E11/E9,0)</f>
        <v/>
      </c>
      <c r="G11" s="193" t="n"/>
      <c r="H11" s="145" t="n"/>
      <c r="I11" s="145" t="n"/>
      <c r="J11" s="145" t="n"/>
      <c r="K11" s="145" t="n"/>
      <c r="L11" s="145" t="n"/>
      <c r="M11" s="145" t="n"/>
      <c r="N11" s="145" t="n"/>
      <c r="O11" s="145" t="n"/>
      <c r="P11" s="145" t="n"/>
      <c r="Q11" s="145" t="n"/>
      <c r="R11" s="145" t="n"/>
      <c r="S11" s="145" t="n"/>
      <c r="T11" s="145" t="n"/>
    </row>
    <row r="12" ht="12.75" customHeight="1" s="131">
      <c r="A12" s="137" t="n"/>
      <c r="B12" s="137" t="inlineStr">
        <is>
          <t>Projected Unit Sales</t>
        </is>
      </c>
      <c r="D12" s="145" t="n"/>
      <c r="E12" s="189" t="n"/>
      <c r="F12" s="189" t="n"/>
      <c r="G12" s="189" t="n"/>
      <c r="H12" s="145" t="n"/>
      <c r="I12" s="145" t="n"/>
      <c r="J12" s="145" t="n"/>
      <c r="K12" s="145" t="n"/>
      <c r="L12" s="145" t="n"/>
      <c r="M12" s="145" t="n"/>
      <c r="N12" s="145" t="n"/>
      <c r="O12" s="145" t="n"/>
      <c r="P12" s="145" t="n"/>
      <c r="Q12" s="145" t="n"/>
      <c r="R12" s="145" t="n"/>
      <c r="S12" s="145" t="n"/>
      <c r="T12" s="145" t="n"/>
    </row>
    <row r="13" ht="12.75" customHeight="1" s="131">
      <c r="A13" s="137" t="n"/>
      <c r="C13" s="137" t="inlineStr">
        <is>
          <t>Seasonality Factor</t>
        </is>
      </c>
      <c r="D13" s="145" t="n"/>
      <c r="E13" s="189" t="n"/>
      <c r="F13" s="189" t="n"/>
      <c r="G13" s="189" t="n"/>
      <c r="H13" s="196">
        <f>IF(H14=0,0,H14/$T$14)</f>
        <v/>
      </c>
      <c r="I13" s="196">
        <f>IF(I14=0,0,I14/$T$14)</f>
        <v/>
      </c>
      <c r="J13" s="196">
        <f>IF(J14=0,0,J14/$T$14)</f>
        <v/>
      </c>
      <c r="K13" s="196">
        <f>IF(K14=0,0,K14/$T$14)</f>
        <v/>
      </c>
      <c r="L13" s="196">
        <f>IF(L14=0,0,L14/$T$14)</f>
        <v/>
      </c>
      <c r="M13" s="196">
        <f>IF(M14=0,0,M14/$T$14)</f>
        <v/>
      </c>
      <c r="N13" s="196">
        <f>IF(N14=0,0,N14/$T$14)</f>
        <v/>
      </c>
      <c r="O13" s="196">
        <f>IF(O14=0,0,O14/$T$14)</f>
        <v/>
      </c>
      <c r="P13" s="196">
        <f>IF(P14=0,0,P14/$T$14)</f>
        <v/>
      </c>
      <c r="Q13" s="196">
        <f>IF(Q14=0,0,Q14/$T$14)</f>
        <v/>
      </c>
      <c r="R13" s="196">
        <f>IF(R14=0,0,R14/$T$14)</f>
        <v/>
      </c>
      <c r="S13" s="196">
        <f>IF(S14=0,0,S14/$T$14)</f>
        <v/>
      </c>
      <c r="T13" s="197">
        <f>SUM(H13:S13)</f>
        <v/>
      </c>
    </row>
    <row r="14" ht="12.75" customHeight="1" s="131">
      <c r="A14" s="137" t="n"/>
      <c r="C14" s="137" t="inlineStr">
        <is>
          <t>Year One</t>
        </is>
      </c>
      <c r="D14" s="145" t="n"/>
      <c r="E14" s="189" t="n"/>
      <c r="F14" s="189" t="n"/>
      <c r="G14" s="189" t="n"/>
      <c r="H14" s="151" t="n">
        <v>0</v>
      </c>
      <c r="I14" s="151" t="n">
        <v>0</v>
      </c>
      <c r="J14" s="151" t="n">
        <v>0</v>
      </c>
      <c r="K14" s="151" t="n">
        <v>0</v>
      </c>
      <c r="L14" s="151" t="n">
        <v>0</v>
      </c>
      <c r="M14" s="151" t="n">
        <v>0</v>
      </c>
      <c r="N14" s="151" t="n">
        <v>0</v>
      </c>
      <c r="O14" s="151" t="n">
        <v>0</v>
      </c>
      <c r="P14" s="151" t="n">
        <v>0</v>
      </c>
      <c r="Q14" s="151" t="n">
        <v>0</v>
      </c>
      <c r="R14" s="151" t="n">
        <v>0</v>
      </c>
      <c r="S14" s="151" t="n">
        <v>0</v>
      </c>
      <c r="T14" s="182">
        <f>SUM(H14:S14)</f>
        <v/>
      </c>
    </row>
    <row r="15" ht="12.75" customHeight="1" s="131">
      <c r="A15" s="137" t="n"/>
      <c r="C15" s="137" t="inlineStr">
        <is>
          <t>Year Two Growth</t>
        </is>
      </c>
      <c r="D15" s="145" t="n"/>
      <c r="E15" s="198" t="n">
        <v>0.1</v>
      </c>
      <c r="F15" s="199" t="n"/>
      <c r="G15" s="193" t="n"/>
      <c r="H15" s="200">
        <f>IF($E$15=0,H14,(1+$E$15)*H14)</f>
        <v/>
      </c>
      <c r="I15" s="200">
        <f>IF($E$15=0,I14,(1+$E$15)*I14)</f>
        <v/>
      </c>
      <c r="J15" s="200">
        <f>IF($E$15=0,J14,(1+$E$15)*J14)</f>
        <v/>
      </c>
      <c r="K15" s="200">
        <f>IF($E$15=0,K14,(1+$E$15)*K14)</f>
        <v/>
      </c>
      <c r="L15" s="200">
        <f>IF($E$15=0,L14,(1+$E$15)*L14)</f>
        <v/>
      </c>
      <c r="M15" s="200">
        <f>IF($E$15=0,M14,(1+$E$15)*M14)</f>
        <v/>
      </c>
      <c r="N15" s="200">
        <f>IF($E$15=0,N14,(1+$E$15)*N14)</f>
        <v/>
      </c>
      <c r="O15" s="200">
        <f>IF($E$15=0,O14,(1+$E$15)*O14)</f>
        <v/>
      </c>
      <c r="P15" s="200">
        <f>IF($E$15=0,P14,(1+$E$15)*P14)</f>
        <v/>
      </c>
      <c r="Q15" s="200">
        <f>IF($E$15=0,Q14,(1+$E$15)*Q14)</f>
        <v/>
      </c>
      <c r="R15" s="200">
        <f>IF($E$15=0,R14,(1+$E$15)*R14)</f>
        <v/>
      </c>
      <c r="S15" s="200">
        <f>IF($E$15=0,S14,(1+$E$15)*S14)</f>
        <v/>
      </c>
      <c r="T15" s="182">
        <f>SUM(H15:S15)</f>
        <v/>
      </c>
    </row>
    <row r="16" ht="12.75" customHeight="1" s="131">
      <c r="A16" s="145" t="n"/>
      <c r="C16" s="137" t="inlineStr">
        <is>
          <t>Year Three Growth</t>
        </is>
      </c>
      <c r="D16" s="145" t="n"/>
      <c r="E16" s="198" t="n">
        <v>0.1</v>
      </c>
      <c r="F16" s="189" t="n"/>
      <c r="G16" s="193" t="n"/>
      <c r="H16" s="200">
        <f>IF($E$16=0,H15,(1+$E$16)*H15)</f>
        <v/>
      </c>
      <c r="I16" s="200">
        <f>IF($E$16=0,I15,(1+$E$16)*I15)</f>
        <v/>
      </c>
      <c r="J16" s="200">
        <f>IF($E$16=0,J15,(1+$E$16)*J15)</f>
        <v/>
      </c>
      <c r="K16" s="200">
        <f>IF($E$16=0,K15,(1+$E$16)*K15)</f>
        <v/>
      </c>
      <c r="L16" s="200">
        <f>IF($E$16=0,L15,(1+$E$16)*L15)</f>
        <v/>
      </c>
      <c r="M16" s="200">
        <f>IF($E$16=0,M15,(1+$E$16)*M15)</f>
        <v/>
      </c>
      <c r="N16" s="200">
        <f>IF($E$16=0,N15,(1+$E$16)*N15)</f>
        <v/>
      </c>
      <c r="O16" s="200">
        <f>IF($E$16=0,O15,(1+$E$16)*O15)</f>
        <v/>
      </c>
      <c r="P16" s="200">
        <f>IF($E$16=0,P15,(1+$E$16)*P15)</f>
        <v/>
      </c>
      <c r="Q16" s="200">
        <f>IF($E$16=0,Q15,(1+$E$16)*Q15)</f>
        <v/>
      </c>
      <c r="R16" s="200">
        <f>IF($E$16=0,R15,(1+$E$16)*R15)</f>
        <v/>
      </c>
      <c r="S16" s="200">
        <f>IF($E$16=0,S15,(1+$E$16)*S15)</f>
        <v/>
      </c>
      <c r="T16" s="182">
        <f>SUM(H16:S16)</f>
        <v/>
      </c>
    </row>
    <row r="17" outlineLevel="1" ht="12.75" customHeight="1" s="131">
      <c r="A17" s="145" t="n"/>
      <c r="B17" s="137" t="inlineStr">
        <is>
          <t>Fixed Expense Allocation</t>
        </is>
      </c>
      <c r="D17" s="145" t="n"/>
      <c r="E17" s="198" t="n">
        <v>0.5</v>
      </c>
      <c r="F17" s="189" t="n"/>
      <c r="G17" s="193" t="n"/>
      <c r="H17" s="156" t="n"/>
      <c r="I17" s="156" t="n"/>
      <c r="J17" s="156" t="n"/>
      <c r="K17" s="156" t="n"/>
      <c r="L17" s="156" t="n"/>
      <c r="M17" s="156" t="n"/>
      <c r="N17" s="156" t="n"/>
      <c r="O17" s="156" t="n"/>
      <c r="P17" s="156" t="n"/>
      <c r="Q17" s="156" t="n"/>
      <c r="R17" s="156" t="n"/>
      <c r="S17" s="156" t="n"/>
      <c r="T17" s="182" t="n"/>
    </row>
    <row r="18" outlineLevel="1" ht="12.75" customHeight="1" s="131">
      <c r="A18" s="145" t="n"/>
      <c r="D18" s="145" t="n"/>
      <c r="E18" s="189" t="n"/>
      <c r="F18" s="189" t="n"/>
      <c r="G18" s="189" t="n"/>
      <c r="H18" s="145" t="n"/>
      <c r="I18" s="145" t="n"/>
      <c r="J18" s="145" t="n"/>
      <c r="K18" s="145" t="n"/>
      <c r="L18" s="145" t="n"/>
      <c r="M18" s="145" t="n"/>
      <c r="N18" s="145" t="n"/>
      <c r="O18" s="145" t="n"/>
      <c r="P18" s="145" t="n"/>
      <c r="Q18" s="145" t="n"/>
      <c r="R18" s="145" t="n"/>
      <c r="S18" s="145" t="n"/>
      <c r="T18" s="145" t="n"/>
    </row>
    <row r="19" outlineLevel="1" ht="12.75" customHeight="1" s="131">
      <c r="A19" s="145" t="n"/>
      <c r="B19" s="137" t="inlineStr">
        <is>
          <t>Projected Revenue</t>
        </is>
      </c>
      <c r="D19" s="145" t="n"/>
      <c r="E19" s="201">
        <f>T14*E9</f>
        <v/>
      </c>
      <c r="F19" s="193" t="n"/>
      <c r="G19" s="189" t="n"/>
      <c r="H19" s="145" t="n"/>
      <c r="I19" s="145" t="n"/>
      <c r="J19" s="145" t="n"/>
      <c r="K19" s="145" t="n"/>
      <c r="L19" s="145" t="n"/>
      <c r="M19" s="145" t="n"/>
      <c r="N19" s="145" t="n"/>
      <c r="O19" s="145" t="n"/>
      <c r="P19" s="145" t="n"/>
      <c r="Q19" s="145" t="n"/>
      <c r="R19" s="145" t="n"/>
      <c r="S19" s="145" t="n"/>
      <c r="T19" s="145" t="n"/>
    </row>
    <row r="20" outlineLevel="1" ht="12.75" customHeight="1" s="131">
      <c r="A20" s="145" t="n"/>
      <c r="B20" s="137" t="inlineStr">
        <is>
          <t>Variable Costs</t>
        </is>
      </c>
      <c r="D20" s="145" t="n"/>
      <c r="E20" s="202">
        <f>E10*T14</f>
        <v/>
      </c>
      <c r="F20" s="193" t="n"/>
      <c r="G20" s="189" t="n"/>
      <c r="H20" s="145" t="n"/>
      <c r="I20" s="145" t="n"/>
      <c r="J20" s="145" t="n"/>
      <c r="K20" s="145" t="n"/>
      <c r="L20" s="145" t="n"/>
      <c r="M20" s="145" t="n"/>
      <c r="N20" s="145" t="n"/>
      <c r="O20" s="145" t="n"/>
      <c r="P20" s="145" t="n"/>
      <c r="Q20" s="145" t="n"/>
      <c r="R20" s="145" t="n"/>
      <c r="S20" s="145" t="n"/>
      <c r="T20" s="145" t="n"/>
    </row>
    <row r="21" outlineLevel="1" ht="12.75" customHeight="1" s="131">
      <c r="A21" s="137" t="n"/>
      <c r="B21" s="137" t="inlineStr">
        <is>
          <t>Gross Margin</t>
        </is>
      </c>
      <c r="D21" s="145" t="n"/>
      <c r="E21" s="203">
        <f>E19-E20</f>
        <v/>
      </c>
      <c r="F21" s="193" t="n"/>
      <c r="G21" s="189" t="n"/>
      <c r="H21" s="145" t="n"/>
      <c r="I21" s="145" t="n"/>
      <c r="J21" s="145" t="n"/>
      <c r="K21" s="145" t="n"/>
      <c r="L21" s="145" t="n"/>
      <c r="M21" s="145" t="n"/>
      <c r="N21" s="145" t="n"/>
      <c r="O21" s="145" t="n"/>
      <c r="P21" s="145" t="n"/>
      <c r="Q21" s="145" t="n"/>
      <c r="R21" s="145" t="n"/>
      <c r="S21" s="145" t="n"/>
      <c r="T21" s="145" t="n"/>
    </row>
    <row r="22" outlineLevel="1" ht="12.75" customHeight="1" s="131">
      <c r="A22" s="137" t="n"/>
      <c r="B22" s="137" t="inlineStr">
        <is>
          <t>Fixed Expenses</t>
        </is>
      </c>
      <c r="D22" s="145" t="n"/>
      <c r="E22" s="203">
        <f>E17*'3. Fixed Operating Expenses'!I41</f>
        <v/>
      </c>
      <c r="F22" s="193" t="n"/>
      <c r="G22" s="193" t="n"/>
      <c r="H22" s="145" t="n"/>
      <c r="I22" s="145" t="n"/>
      <c r="J22" s="145" t="n"/>
      <c r="K22" s="145" t="n"/>
      <c r="L22" s="145" t="n"/>
      <c r="M22" s="145" t="n"/>
      <c r="N22" s="145" t="n"/>
      <c r="O22" s="145" t="n"/>
      <c r="P22" s="145" t="n"/>
      <c r="Q22" s="145" t="n"/>
      <c r="R22" s="145" t="n"/>
      <c r="S22" s="145" t="n"/>
      <c r="T22" s="145" t="n"/>
    </row>
    <row r="23" outlineLevel="1" ht="12.75" customHeight="1" s="131">
      <c r="A23" s="137" t="n"/>
      <c r="B23" s="137" t="inlineStr">
        <is>
          <t>Profit</t>
        </is>
      </c>
      <c r="D23" s="145" t="n"/>
      <c r="E23" s="204">
        <f>E21-E22</f>
        <v/>
      </c>
      <c r="F23" s="193">
        <f>IF(E9&gt;0,E23/E19,0)</f>
        <v/>
      </c>
      <c r="G23" s="193" t="n"/>
      <c r="H23" s="145" t="n"/>
      <c r="I23" s="145" t="n"/>
      <c r="J23" s="145" t="n"/>
      <c r="K23" s="145" t="n"/>
      <c r="L23" s="145" t="n"/>
      <c r="M23" s="145" t="n"/>
      <c r="N23" s="145" t="n"/>
      <c r="O23" s="145" t="n"/>
      <c r="P23" s="145" t="n"/>
      <c r="Q23" s="145" t="n"/>
      <c r="R23" s="145" t="n"/>
      <c r="S23" s="145" t="n"/>
      <c r="T23" s="145" t="n"/>
    </row>
    <row r="24" outlineLevel="1" ht="12.75" customHeight="1" s="131">
      <c r="A24" s="137" t="n"/>
      <c r="D24" s="145" t="n"/>
      <c r="E24" s="189" t="n"/>
      <c r="F24" s="189" t="n"/>
      <c r="G24" s="189" t="n"/>
      <c r="H24" s="145" t="n"/>
      <c r="I24" s="145" t="n"/>
      <c r="J24" s="145" t="n"/>
      <c r="K24" s="145" t="n"/>
      <c r="L24" s="145" t="n"/>
      <c r="M24" s="145" t="n"/>
      <c r="N24" s="145" t="n"/>
      <c r="O24" s="145" t="n"/>
      <c r="P24" s="145" t="n"/>
      <c r="Q24" s="145" t="n"/>
      <c r="R24" s="145" t="n"/>
      <c r="S24" s="145" t="n"/>
      <c r="T24" s="145" t="n"/>
    </row>
    <row r="25" outlineLevel="1" ht="12.75" customHeight="1" s="131">
      <c r="A25" s="137" t="n"/>
      <c r="B25" s="137" t="inlineStr">
        <is>
          <t>Breakeven Sales Revenue</t>
        </is>
      </c>
      <c r="D25" s="145" t="n"/>
      <c r="E25" s="195">
        <f>IF(E9&gt;0,E22/F11,0)</f>
        <v/>
      </c>
      <c r="F25" s="189" t="n"/>
      <c r="G25" s="189" t="n"/>
      <c r="H25" s="156" t="n"/>
      <c r="I25" s="156" t="n"/>
      <c r="J25" s="156" t="n"/>
      <c r="K25" s="156" t="n"/>
      <c r="L25" s="156" t="n"/>
      <c r="M25" s="156" t="n"/>
      <c r="N25" s="156" t="n"/>
      <c r="O25" s="156" t="n"/>
      <c r="P25" s="156" t="n"/>
      <c r="Q25" s="156" t="n"/>
      <c r="R25" s="156" t="n"/>
      <c r="S25" s="156" t="n"/>
      <c r="T25" s="182" t="n"/>
    </row>
    <row r="26" outlineLevel="1" ht="12.75" customHeight="1" s="131">
      <c r="A26" s="137" t="n"/>
      <c r="B26" s="137" t="inlineStr">
        <is>
          <t>Breakeven Sales Units</t>
        </is>
      </c>
      <c r="D26" s="145" t="n"/>
      <c r="E26" s="203">
        <f>IF(E9&gt;0,E25/E9,0)</f>
        <v/>
      </c>
      <c r="F26" s="193" t="n"/>
      <c r="G26" s="193" t="n"/>
      <c r="H26" s="156" t="n"/>
      <c r="I26" s="156" t="n"/>
      <c r="J26" s="156" t="n"/>
      <c r="K26" s="156" t="n"/>
      <c r="L26" s="156" t="n"/>
      <c r="M26" s="156" t="n"/>
      <c r="N26" s="156" t="n"/>
      <c r="O26" s="156" t="n"/>
      <c r="P26" s="156" t="n"/>
      <c r="Q26" s="156" t="n"/>
      <c r="R26" s="156" t="n"/>
      <c r="S26" s="156" t="n"/>
      <c r="T26" s="182" t="n"/>
    </row>
    <row r="27" ht="12.75" customHeight="1" s="131">
      <c r="A27" s="145" t="n"/>
      <c r="D27" s="145" t="n"/>
      <c r="E27" s="189" t="n"/>
      <c r="F27" s="193" t="n"/>
      <c r="G27" s="193" t="n"/>
      <c r="H27" s="156" t="n"/>
      <c r="I27" s="156" t="n"/>
      <c r="J27" s="156" t="n"/>
      <c r="K27" s="156" t="n"/>
      <c r="L27" s="156" t="n"/>
      <c r="M27" s="156" t="n"/>
      <c r="N27" s="156" t="n"/>
      <c r="O27" s="156" t="n"/>
      <c r="P27" s="156" t="n"/>
      <c r="Q27" s="156" t="n"/>
      <c r="R27" s="156" t="n"/>
      <c r="S27" s="156" t="n"/>
      <c r="T27" s="182" t="n"/>
    </row>
    <row r="28" ht="12.75" customHeight="1" s="131">
      <c r="A28" s="145" t="n"/>
      <c r="D28" s="145" t="n"/>
      <c r="E28" s="189" t="n"/>
      <c r="F28" s="193" t="n"/>
      <c r="G28" s="193" t="n"/>
      <c r="H28" s="156" t="n"/>
      <c r="I28" s="156" t="n"/>
      <c r="J28" s="156" t="n"/>
      <c r="K28" s="156" t="n"/>
      <c r="L28" s="156" t="n"/>
      <c r="M28" s="156" t="n"/>
      <c r="N28" s="156" t="n"/>
      <c r="O28" s="156" t="n"/>
      <c r="P28" s="156" t="n"/>
      <c r="Q28" s="156" t="n"/>
      <c r="R28" s="156" t="n"/>
      <c r="S28" s="156" t="n"/>
      <c r="T28" s="182" t="n"/>
    </row>
    <row r="29" ht="12.75" customHeight="1" s="131">
      <c r="A29" s="145" t="n"/>
      <c r="D29" s="145" t="n"/>
      <c r="E29" s="201" t="n"/>
      <c r="F29" s="189" t="n"/>
      <c r="G29" s="189" t="n"/>
      <c r="H29" s="145" t="n"/>
      <c r="I29" s="145" t="n"/>
      <c r="J29" s="145" t="n"/>
      <c r="K29" s="145" t="n"/>
      <c r="L29" s="145" t="n"/>
      <c r="M29" s="145" t="n"/>
      <c r="N29" s="145" t="n"/>
      <c r="O29" s="145" t="n"/>
      <c r="P29" s="145" t="n"/>
      <c r="Q29" s="145" t="n"/>
      <c r="R29" s="145" t="n"/>
      <c r="S29" s="145" t="n"/>
      <c r="T29" s="145" t="n"/>
    </row>
    <row r="30" outlineLevel="1" ht="12.75" customHeight="1" s="131">
      <c r="A30" s="191" t="inlineStr">
        <is>
          <t>Product/Service B</t>
        </is>
      </c>
      <c r="B30" s="191" t="n"/>
      <c r="C30" s="191" t="n"/>
      <c r="D30" s="191" t="n"/>
      <c r="E30" s="189" t="n"/>
      <c r="F30" s="189" t="n"/>
      <c r="G30" s="189" t="n"/>
      <c r="H30" s="145" t="n"/>
      <c r="I30" s="145" t="n"/>
      <c r="J30" s="145" t="n"/>
      <c r="K30" s="145" t="n"/>
      <c r="L30" s="145" t="n"/>
      <c r="M30" s="145" t="n"/>
      <c r="N30" s="145" t="n"/>
      <c r="O30" s="145" t="n"/>
      <c r="P30" s="145" t="n"/>
      <c r="Q30" s="145" t="n"/>
      <c r="R30" s="145" t="n"/>
      <c r="S30" s="145" t="n"/>
      <c r="T30" s="145" t="n"/>
    </row>
    <row r="31" outlineLevel="1" ht="12.75" customHeight="1" s="131">
      <c r="A31" s="137" t="n"/>
      <c r="B31" s="137" t="inlineStr">
        <is>
          <t>Price Per Unit</t>
        </is>
      </c>
      <c r="D31" s="145" t="n"/>
      <c r="E31" s="192" t="n">
        <v>0</v>
      </c>
      <c r="F31" s="193" t="n">
        <v>1</v>
      </c>
      <c r="G31" s="193" t="n"/>
      <c r="H31" s="145" t="n"/>
      <c r="I31" s="145" t="n"/>
      <c r="J31" s="145" t="n"/>
      <c r="K31" s="145" t="n"/>
      <c r="L31" s="145" t="n"/>
      <c r="M31" s="145" t="n"/>
      <c r="N31" s="145" t="n"/>
      <c r="O31" s="145" t="n"/>
      <c r="P31" s="145" t="n"/>
      <c r="Q31" s="145" t="n"/>
      <c r="R31" s="145" t="n"/>
      <c r="S31" s="145" t="n"/>
      <c r="T31" s="145" t="n"/>
    </row>
    <row r="32" outlineLevel="1" ht="12.75" customHeight="1" s="131">
      <c r="A32" s="137" t="n"/>
      <c r="B32" s="137" t="inlineStr">
        <is>
          <t>Variable Cost Per Unit</t>
        </is>
      </c>
      <c r="D32" s="145" t="n"/>
      <c r="E32" s="194" t="n">
        <v>0</v>
      </c>
      <c r="F32" s="193">
        <f>IF(E31&gt;0,E32/E31,0)</f>
        <v/>
      </c>
      <c r="G32" s="193" t="n"/>
      <c r="H32" s="145" t="n"/>
      <c r="I32" s="145" t="n"/>
      <c r="J32" s="145" t="n"/>
      <c r="K32" s="145" t="n"/>
      <c r="L32" s="145" t="n"/>
      <c r="M32" s="145" t="n"/>
      <c r="N32" s="145" t="n"/>
      <c r="O32" s="145" t="n"/>
      <c r="P32" s="145" t="n"/>
      <c r="Q32" s="145" t="n"/>
      <c r="R32" s="145" t="n"/>
      <c r="S32" s="145" t="n"/>
      <c r="T32" s="145" t="n"/>
    </row>
    <row r="33" outlineLevel="1" ht="12.75" customHeight="1" s="131">
      <c r="A33" s="137" t="n"/>
      <c r="B33" s="137" t="inlineStr">
        <is>
          <t>Gross Margin Per Unit</t>
        </is>
      </c>
      <c r="D33" s="145" t="n"/>
      <c r="E33" s="195">
        <f>E31-E32</f>
        <v/>
      </c>
      <c r="F33" s="193">
        <f>IF(E31&gt;0,E33/E31,0)</f>
        <v/>
      </c>
      <c r="G33" s="193" t="n"/>
      <c r="H33" s="145" t="n"/>
      <c r="I33" s="145" t="n"/>
      <c r="J33" s="145" t="n"/>
      <c r="K33" s="145" t="n"/>
      <c r="L33" s="145" t="n"/>
      <c r="M33" s="145" t="n"/>
      <c r="N33" s="145" t="n"/>
      <c r="O33" s="145" t="n"/>
      <c r="P33" s="145" t="n"/>
      <c r="Q33" s="145" t="n"/>
      <c r="R33" s="145" t="n"/>
      <c r="S33" s="145" t="n"/>
      <c r="T33" s="145" t="n"/>
    </row>
    <row r="34" outlineLevel="1" ht="12.75" customHeight="1" s="131">
      <c r="A34" s="137" t="n"/>
      <c r="B34" s="137" t="inlineStr">
        <is>
          <t>Projected Unit Sales</t>
        </is>
      </c>
      <c r="D34" s="145" t="n"/>
      <c r="E34" s="189" t="n"/>
      <c r="F34" s="189" t="n"/>
      <c r="G34" s="189" t="n"/>
      <c r="H34" s="145" t="n"/>
      <c r="I34" s="145" t="n"/>
      <c r="J34" s="145" t="n"/>
      <c r="K34" s="145" t="n"/>
      <c r="L34" s="145" t="n"/>
      <c r="M34" s="145" t="n"/>
      <c r="N34" s="145" t="n"/>
      <c r="O34" s="145" t="n"/>
      <c r="P34" s="145" t="n"/>
      <c r="Q34" s="145" t="n"/>
      <c r="R34" s="145" t="n"/>
      <c r="S34" s="145" t="n"/>
      <c r="T34" s="145" t="n"/>
    </row>
    <row r="35" outlineLevel="1" ht="12.75" customHeight="1" s="131">
      <c r="A35" s="137" t="n"/>
      <c r="C35" s="137" t="inlineStr">
        <is>
          <t>Seasonality Factor</t>
        </is>
      </c>
      <c r="D35" s="145" t="n"/>
      <c r="E35" s="189" t="n"/>
      <c r="F35" s="189" t="n"/>
      <c r="G35" s="189" t="n"/>
      <c r="H35" s="196">
        <f>IF(H36=0,0,H36/$T$36)</f>
        <v/>
      </c>
      <c r="I35" s="196">
        <f>IF(I36=0,0,I36/$T$36)</f>
        <v/>
      </c>
      <c r="J35" s="196">
        <f>IF(J36=0,0,J36/$T$36)</f>
        <v/>
      </c>
      <c r="K35" s="196">
        <f>IF(K36=0,0,K36/$T$36)</f>
        <v/>
      </c>
      <c r="L35" s="196">
        <f>IF(L36=0,0,L36/$T$36)</f>
        <v/>
      </c>
      <c r="M35" s="196">
        <f>IF(M36=0,0,M36/$T$36)</f>
        <v/>
      </c>
      <c r="N35" s="196">
        <f>IF(N36=0,0,N36/$T$36)</f>
        <v/>
      </c>
      <c r="O35" s="196">
        <f>IF(O36=0,0,O36/$T$36)</f>
        <v/>
      </c>
      <c r="P35" s="196">
        <f>IF(P36=0,0,P36/$T$36)</f>
        <v/>
      </c>
      <c r="Q35" s="196">
        <f>IF(Q36=0,0,Q36/$T$36)</f>
        <v/>
      </c>
      <c r="R35" s="196">
        <f>IF(R36=0,0,R36/$T$36)</f>
        <v/>
      </c>
      <c r="S35" s="196">
        <f>IF(S36=0,0,S36/$T$36)</f>
        <v/>
      </c>
      <c r="T35" s="197">
        <f>SUM(H35:S35)</f>
        <v/>
      </c>
    </row>
    <row r="36" outlineLevel="1" ht="12.75" customHeight="1" s="131">
      <c r="A36" s="137" t="n"/>
      <c r="C36" s="137" t="inlineStr">
        <is>
          <t>Year One</t>
        </is>
      </c>
      <c r="D36" s="145" t="n"/>
      <c r="E36" s="189" t="n"/>
      <c r="F36" s="189" t="n"/>
      <c r="G36" s="189" t="n"/>
      <c r="H36" s="151" t="n">
        <v>0</v>
      </c>
      <c r="I36" s="151" t="n">
        <v>0</v>
      </c>
      <c r="J36" s="151" t="n">
        <v>0</v>
      </c>
      <c r="K36" s="151" t="n">
        <v>0</v>
      </c>
      <c r="L36" s="151" t="n">
        <v>0</v>
      </c>
      <c r="M36" s="151" t="n">
        <v>0</v>
      </c>
      <c r="N36" s="151" t="n">
        <v>0</v>
      </c>
      <c r="O36" s="151" t="n">
        <v>0</v>
      </c>
      <c r="P36" s="151" t="n">
        <v>0</v>
      </c>
      <c r="Q36" s="151" t="n">
        <v>0</v>
      </c>
      <c r="R36" s="151" t="n">
        <v>0</v>
      </c>
      <c r="S36" s="151" t="n">
        <v>0</v>
      </c>
      <c r="T36" s="182">
        <f>SUM(H36:S36)</f>
        <v/>
      </c>
    </row>
    <row r="37" outlineLevel="1" ht="12.75" customHeight="1" s="131">
      <c r="A37" s="137" t="n"/>
      <c r="C37" s="137" t="inlineStr">
        <is>
          <t>Year Two Growth</t>
        </is>
      </c>
      <c r="D37" s="145" t="n"/>
      <c r="E37" s="198" t="n">
        <v>0.1</v>
      </c>
      <c r="F37" s="199" t="n"/>
      <c r="G37" s="193" t="n"/>
      <c r="H37" s="200">
        <f>IF($E$15=0,H36,(1+$E$37)*H36)</f>
        <v/>
      </c>
      <c r="I37" s="200">
        <f>IF($E$15=0,I36,(1+$E$37)*I36)</f>
        <v/>
      </c>
      <c r="J37" s="200">
        <f>IF($E$15=0,J36,(1+$E$37)*J36)</f>
        <v/>
      </c>
      <c r="K37" s="200">
        <f>IF($E$15=0,K36,(1+$E$37)*K36)</f>
        <v/>
      </c>
      <c r="L37" s="200">
        <f>IF($E$15=0,L36,(1+$E$37)*L36)</f>
        <v/>
      </c>
      <c r="M37" s="200">
        <f>IF($E$15=0,M36,(1+$E$37)*M36)</f>
        <v/>
      </c>
      <c r="N37" s="200">
        <f>IF($E$15=0,N36,(1+$E$37)*N36)</f>
        <v/>
      </c>
      <c r="O37" s="200">
        <f>IF($E$15=0,O36,(1+$E$37)*O36)</f>
        <v/>
      </c>
      <c r="P37" s="200">
        <f>IF($E$15=0,P36,(1+$E$37)*P36)</f>
        <v/>
      </c>
      <c r="Q37" s="200">
        <f>IF($E$15=0,Q36,(1+$E$37)*Q36)</f>
        <v/>
      </c>
      <c r="R37" s="200">
        <f>IF($E$15=0,R36,(1+$E$37)*R36)</f>
        <v/>
      </c>
      <c r="S37" s="200">
        <f>IF($E$15=0,S36,(1+$E$37)*S36)</f>
        <v/>
      </c>
      <c r="T37" s="182">
        <f>SUM(H37:S37)</f>
        <v/>
      </c>
    </row>
    <row r="38" outlineLevel="1" ht="12.75" customHeight="1" s="131">
      <c r="A38" s="145" t="n"/>
      <c r="C38" s="137" t="inlineStr">
        <is>
          <t>Year Three Growth</t>
        </is>
      </c>
      <c r="D38" s="145" t="n"/>
      <c r="E38" s="198" t="n">
        <v>0.1</v>
      </c>
      <c r="F38" s="189" t="n"/>
      <c r="G38" s="193" t="n"/>
      <c r="H38" s="200">
        <f>IF($E$16=0,H37,(1+$E$38)*H37)</f>
        <v/>
      </c>
      <c r="I38" s="200">
        <f>IF($E$16=0,I37,(1+$E$38)*I37)</f>
        <v/>
      </c>
      <c r="J38" s="200">
        <f>IF($E$16=0,J37,(1+$E$38)*J37)</f>
        <v/>
      </c>
      <c r="K38" s="200">
        <f>IF($E$16=0,K37,(1+$E$38)*K37)</f>
        <v/>
      </c>
      <c r="L38" s="200">
        <f>IF($E$16=0,L37,(1+$E$38)*L37)</f>
        <v/>
      </c>
      <c r="M38" s="200">
        <f>IF($E$16=0,M37,(1+$E$38)*M37)</f>
        <v/>
      </c>
      <c r="N38" s="200">
        <f>IF($E$16=0,N37,(1+$E$38)*N37)</f>
        <v/>
      </c>
      <c r="O38" s="200">
        <f>IF($E$16=0,O37,(1+$E$38)*O37)</f>
        <v/>
      </c>
      <c r="P38" s="200">
        <f>IF($E$16=0,P37,(1+$E$38)*P37)</f>
        <v/>
      </c>
      <c r="Q38" s="200">
        <f>IF($E$16=0,Q37,(1+$E$38)*Q37)</f>
        <v/>
      </c>
      <c r="R38" s="200">
        <f>IF($E$16=0,R37,(1+$E$38)*R37)</f>
        <v/>
      </c>
      <c r="S38" s="200">
        <f>IF($E$16=0,S37,(1+$E$38)*S37)</f>
        <v/>
      </c>
      <c r="T38" s="182">
        <f>SUM(H38:S38)</f>
        <v/>
      </c>
    </row>
    <row r="39" outlineLevel="2" ht="12.75" customHeight="1" s="131">
      <c r="A39" s="145" t="n"/>
      <c r="B39" s="137" t="inlineStr">
        <is>
          <t>Fixed Expense Allocation</t>
        </is>
      </c>
      <c r="D39" s="145" t="n"/>
      <c r="E39" s="198">
        <f>(1-E17)/3</f>
        <v/>
      </c>
      <c r="F39" s="189" t="n"/>
      <c r="G39" s="193" t="n"/>
      <c r="H39" s="156" t="n"/>
      <c r="I39" s="156" t="n"/>
      <c r="J39" s="156" t="n"/>
      <c r="K39" s="156" t="n"/>
      <c r="L39" s="156" t="n"/>
      <c r="M39" s="156" t="n"/>
      <c r="N39" s="156" t="n"/>
      <c r="O39" s="156" t="n"/>
      <c r="P39" s="156" t="n"/>
      <c r="Q39" s="156" t="n"/>
      <c r="R39" s="156" t="n"/>
      <c r="S39" s="156" t="n"/>
      <c r="T39" s="182" t="n"/>
    </row>
    <row r="40" outlineLevel="2" ht="12.75" customHeight="1" s="131">
      <c r="A40" s="145" t="n"/>
      <c r="D40" s="145" t="n"/>
      <c r="E40" s="189" t="n"/>
      <c r="F40" s="189" t="n"/>
      <c r="G40" s="189" t="n"/>
      <c r="H40" s="145" t="n"/>
      <c r="I40" s="145" t="n"/>
      <c r="J40" s="145" t="n"/>
      <c r="K40" s="145" t="n"/>
      <c r="L40" s="145" t="n"/>
      <c r="M40" s="145" t="n"/>
      <c r="N40" s="145" t="n"/>
      <c r="O40" s="145" t="n"/>
      <c r="P40" s="145" t="n"/>
      <c r="Q40" s="145" t="n"/>
      <c r="R40" s="145" t="n"/>
      <c r="S40" s="145" t="n"/>
      <c r="T40" s="145" t="n"/>
    </row>
    <row r="41" outlineLevel="2" ht="12.75" customHeight="1" s="131">
      <c r="A41" s="145" t="n"/>
      <c r="B41" s="137" t="inlineStr">
        <is>
          <t>Projected Revenue</t>
        </is>
      </c>
      <c r="D41" s="145" t="n"/>
      <c r="E41" s="201">
        <f>T36*E31</f>
        <v/>
      </c>
      <c r="F41" s="193" t="n"/>
      <c r="G41" s="189" t="n"/>
      <c r="H41" s="145" t="n"/>
      <c r="I41" s="145" t="n"/>
      <c r="J41" s="145" t="n"/>
      <c r="K41" s="145" t="n"/>
      <c r="L41" s="145" t="n"/>
      <c r="M41" s="145" t="n"/>
      <c r="N41" s="145" t="n"/>
      <c r="O41" s="145" t="n"/>
      <c r="P41" s="145" t="n"/>
      <c r="Q41" s="145" t="n"/>
      <c r="R41" s="145" t="n"/>
      <c r="S41" s="145" t="n"/>
      <c r="T41" s="145" t="n"/>
    </row>
    <row r="42" outlineLevel="2" ht="12.75" customHeight="1" s="131">
      <c r="A42" s="145" t="n"/>
      <c r="B42" s="137" t="inlineStr">
        <is>
          <t>Variable Costs</t>
        </is>
      </c>
      <c r="D42" s="145" t="n"/>
      <c r="E42" s="202">
        <f>E32*T36</f>
        <v/>
      </c>
      <c r="F42" s="193" t="n"/>
      <c r="G42" s="189" t="n"/>
      <c r="H42" s="145" t="n"/>
      <c r="I42" s="145" t="n"/>
      <c r="J42" s="145" t="n"/>
      <c r="K42" s="145" t="n"/>
      <c r="L42" s="145" t="n"/>
      <c r="M42" s="145" t="n"/>
      <c r="N42" s="145" t="n"/>
      <c r="O42" s="145" t="n"/>
      <c r="P42" s="145" t="n"/>
      <c r="Q42" s="145" t="n"/>
      <c r="R42" s="145" t="n"/>
      <c r="S42" s="145" t="n"/>
      <c r="T42" s="145" t="n"/>
    </row>
    <row r="43" outlineLevel="2" ht="12.75" customHeight="1" s="131">
      <c r="A43" s="137" t="n"/>
      <c r="B43" s="137" t="inlineStr">
        <is>
          <t>Gross Margin</t>
        </is>
      </c>
      <c r="D43" s="145" t="n"/>
      <c r="E43" s="203">
        <f>E41-E42</f>
        <v/>
      </c>
      <c r="F43" s="193" t="n"/>
      <c r="G43" s="189" t="n"/>
      <c r="H43" s="145" t="n"/>
      <c r="I43" s="145" t="n"/>
      <c r="J43" s="145" t="n"/>
      <c r="K43" s="145" t="n"/>
      <c r="L43" s="145" t="n"/>
      <c r="M43" s="145" t="n"/>
      <c r="N43" s="145" t="n"/>
      <c r="O43" s="145" t="n"/>
      <c r="P43" s="145" t="n"/>
      <c r="Q43" s="145" t="n"/>
      <c r="R43" s="145" t="n"/>
      <c r="S43" s="145" t="n"/>
      <c r="T43" s="145" t="n"/>
    </row>
    <row r="44" outlineLevel="2" ht="12.75" customHeight="1" s="131">
      <c r="A44" s="137" t="n"/>
      <c r="B44" s="137" t="inlineStr">
        <is>
          <t>Fixed Expenses</t>
        </is>
      </c>
      <c r="D44" s="145" t="n"/>
      <c r="E44" s="203">
        <f>E39*'3. Fixed Operating Expenses'!I41</f>
        <v/>
      </c>
      <c r="F44" s="193" t="n"/>
      <c r="G44" s="193" t="n"/>
      <c r="H44" s="145" t="n"/>
      <c r="I44" s="145" t="n"/>
      <c r="J44" s="145" t="n"/>
      <c r="K44" s="145" t="n"/>
      <c r="L44" s="145" t="n"/>
      <c r="M44" s="145" t="n"/>
      <c r="N44" s="145" t="n"/>
      <c r="O44" s="145" t="n"/>
      <c r="P44" s="145" t="n"/>
      <c r="Q44" s="145" t="n"/>
      <c r="R44" s="145" t="n"/>
      <c r="S44" s="145" t="n"/>
      <c r="T44" s="145" t="n"/>
    </row>
    <row r="45" outlineLevel="2" ht="12.75" customHeight="1" s="131">
      <c r="A45" s="137" t="n"/>
      <c r="B45" s="137" t="inlineStr">
        <is>
          <t>Profit</t>
        </is>
      </c>
      <c r="D45" s="145" t="n"/>
      <c r="E45" s="204">
        <f>E43-E44</f>
        <v/>
      </c>
      <c r="F45" s="193">
        <f>IF(E31&gt;0,E45/E41,0)</f>
        <v/>
      </c>
      <c r="G45" s="193" t="n"/>
      <c r="H45" s="145" t="n"/>
      <c r="I45" s="145" t="n"/>
      <c r="J45" s="145" t="n"/>
      <c r="K45" s="145" t="n"/>
      <c r="L45" s="145" t="n"/>
      <c r="M45" s="145" t="n"/>
      <c r="N45" s="145" t="n"/>
      <c r="O45" s="145" t="n"/>
      <c r="P45" s="145" t="n"/>
      <c r="Q45" s="145" t="n"/>
      <c r="R45" s="145" t="n"/>
      <c r="S45" s="145" t="n"/>
      <c r="T45" s="145" t="n"/>
    </row>
    <row r="46" outlineLevel="2" ht="12.75" customHeight="1" s="131">
      <c r="A46" s="137" t="n"/>
      <c r="D46" s="145" t="n"/>
      <c r="E46" s="189" t="n"/>
      <c r="F46" s="189" t="n"/>
      <c r="G46" s="189" t="n"/>
      <c r="H46" s="145" t="n"/>
      <c r="I46" s="145" t="n"/>
      <c r="J46" s="145" t="n"/>
      <c r="K46" s="145" t="n"/>
      <c r="L46" s="145" t="n"/>
      <c r="M46" s="145" t="n"/>
      <c r="N46" s="145" t="n"/>
      <c r="O46" s="145" t="n"/>
      <c r="P46" s="145" t="n"/>
      <c r="Q46" s="145" t="n"/>
      <c r="R46" s="145" t="n"/>
      <c r="S46" s="145" t="n"/>
      <c r="T46" s="145" t="n"/>
    </row>
    <row r="47" outlineLevel="2" ht="12.75" customHeight="1" s="131">
      <c r="A47" s="137" t="n"/>
      <c r="B47" s="137" t="inlineStr">
        <is>
          <t>Breakeven Sales Revenue</t>
        </is>
      </c>
      <c r="D47" s="145" t="n"/>
      <c r="E47" s="195">
        <f>IF(E31&gt;0,E44/F33,0)</f>
        <v/>
      </c>
      <c r="F47" s="189" t="n"/>
      <c r="G47" s="189" t="n"/>
      <c r="H47" s="156" t="n"/>
      <c r="I47" s="156" t="n"/>
      <c r="J47" s="156" t="n"/>
      <c r="K47" s="156" t="n"/>
      <c r="L47" s="156" t="n"/>
      <c r="M47" s="156" t="n"/>
      <c r="N47" s="156" t="n"/>
      <c r="O47" s="156" t="n"/>
      <c r="P47" s="156" t="n"/>
      <c r="Q47" s="156" t="n"/>
      <c r="R47" s="156" t="n"/>
      <c r="S47" s="156" t="n"/>
      <c r="T47" s="182" t="n"/>
    </row>
    <row r="48" outlineLevel="2" ht="12.75" customHeight="1" s="131">
      <c r="A48" s="137" t="n"/>
      <c r="B48" s="137" t="inlineStr">
        <is>
          <t>Breakeven Sales Units</t>
        </is>
      </c>
      <c r="D48" s="145" t="n"/>
      <c r="E48" s="203">
        <f>IF(E31&gt;0,E47/E31,0)</f>
        <v/>
      </c>
      <c r="F48" s="193" t="n"/>
      <c r="G48" s="193" t="n"/>
      <c r="H48" s="156" t="n"/>
      <c r="I48" s="156" t="n"/>
      <c r="J48" s="156" t="n"/>
      <c r="K48" s="156" t="n"/>
      <c r="L48" s="156" t="n"/>
      <c r="M48" s="156" t="n"/>
      <c r="N48" s="156" t="n"/>
      <c r="O48" s="156" t="n"/>
      <c r="P48" s="156" t="n"/>
      <c r="Q48" s="156" t="n"/>
      <c r="R48" s="156" t="n"/>
      <c r="S48" s="156" t="n"/>
      <c r="T48" s="182" t="n"/>
    </row>
    <row r="49" ht="12.75" customHeight="1" s="131">
      <c r="A49" s="137" t="n"/>
      <c r="B49" s="137" t="n"/>
      <c r="C49" s="137" t="n"/>
      <c r="D49" s="145" t="n"/>
      <c r="E49" s="203" t="n"/>
      <c r="F49" s="193" t="n"/>
      <c r="G49" s="193" t="n"/>
      <c r="H49" s="156" t="n"/>
      <c r="I49" s="156" t="n"/>
      <c r="J49" s="156" t="n"/>
      <c r="K49" s="156" t="n"/>
      <c r="L49" s="156" t="n"/>
      <c r="M49" s="156" t="n"/>
      <c r="N49" s="156" t="n"/>
      <c r="O49" s="156" t="n"/>
      <c r="P49" s="156" t="n"/>
      <c r="Q49" s="156" t="n"/>
      <c r="R49" s="156" t="n"/>
      <c r="S49" s="156" t="n"/>
      <c r="T49" s="182" t="n"/>
    </row>
    <row r="50" ht="12.75" customHeight="1" s="131">
      <c r="A50" s="137" t="n"/>
      <c r="B50" s="137" t="n"/>
      <c r="C50" s="137" t="n"/>
      <c r="D50" s="145" t="n"/>
      <c r="E50" s="203" t="n"/>
      <c r="F50" s="193" t="n"/>
      <c r="G50" s="193" t="n"/>
      <c r="H50" s="156" t="n"/>
      <c r="I50" s="156" t="n"/>
      <c r="J50" s="156" t="n"/>
      <c r="K50" s="156" t="n"/>
      <c r="L50" s="156" t="n"/>
      <c r="M50" s="156" t="n"/>
      <c r="N50" s="156" t="n"/>
      <c r="O50" s="156" t="n"/>
      <c r="P50" s="156" t="n"/>
      <c r="Q50" s="156" t="n"/>
      <c r="R50" s="156" t="n"/>
      <c r="S50" s="156" t="n"/>
      <c r="T50" s="182" t="n"/>
    </row>
    <row r="51" ht="12.75" customHeight="1" s="131">
      <c r="A51" s="167" t="n"/>
      <c r="B51" s="168" t="n"/>
      <c r="C51" s="168" t="n"/>
      <c r="D51" s="167" t="n"/>
      <c r="E51" s="205" t="n"/>
      <c r="F51" s="206" t="n"/>
      <c r="G51" s="206" t="n"/>
      <c r="H51" s="207" t="n"/>
      <c r="I51" s="207" t="n"/>
      <c r="J51" s="207" t="n"/>
      <c r="K51" s="207" t="n"/>
      <c r="L51" s="207" t="n"/>
      <c r="M51" s="207" t="n"/>
      <c r="N51" s="207" t="n"/>
      <c r="O51" s="207" t="n"/>
      <c r="P51" s="207" t="n"/>
      <c r="Q51" s="207" t="n"/>
      <c r="R51" s="207" t="n"/>
      <c r="S51" s="207" t="n"/>
      <c r="T51" s="208" t="n"/>
    </row>
    <row r="52" ht="12.75" customHeight="1" s="131">
      <c r="A52" s="167" t="n"/>
      <c r="B52" s="168" t="n"/>
      <c r="C52" s="168" t="n"/>
      <c r="D52" s="167" t="n"/>
      <c r="E52" s="209" t="n"/>
      <c r="F52" s="205" t="n"/>
      <c r="G52" s="205" t="n"/>
      <c r="H52" s="167" t="n"/>
      <c r="I52" s="167" t="n"/>
      <c r="J52" s="167" t="n"/>
      <c r="K52" s="167" t="n"/>
      <c r="L52" s="167" t="n"/>
      <c r="M52" s="167" t="n"/>
      <c r="N52" s="167" t="n"/>
      <c r="O52" s="167" t="n"/>
      <c r="P52" s="167" t="n"/>
      <c r="Q52" s="167" t="n"/>
      <c r="R52" s="167" t="n"/>
      <c r="S52" s="167" t="n"/>
      <c r="T52" s="167" t="n"/>
    </row>
    <row r="53" ht="12.75" customHeight="1" s="131">
      <c r="A53" s="167" t="n"/>
      <c r="B53" s="168" t="n"/>
      <c r="C53" s="168" t="n"/>
      <c r="D53" s="167" t="n"/>
      <c r="E53" s="210" t="n"/>
      <c r="F53" s="205" t="n"/>
      <c r="G53" s="205" t="n"/>
      <c r="H53" s="167" t="n"/>
      <c r="I53" s="167" t="n"/>
      <c r="J53" s="167" t="n"/>
      <c r="K53" s="167" t="n"/>
      <c r="L53" s="167" t="n"/>
      <c r="M53" s="167" t="n"/>
      <c r="N53" s="167" t="n"/>
      <c r="O53" s="167" t="n"/>
      <c r="P53" s="167" t="n"/>
      <c r="Q53" s="167" t="n"/>
      <c r="R53" s="167" t="n"/>
      <c r="S53" s="167" t="n"/>
      <c r="T53" s="167" t="n"/>
    </row>
    <row r="54" ht="12.75" customHeight="1" s="131">
      <c r="A54" s="167" t="n"/>
      <c r="B54" s="168" t="n"/>
      <c r="C54" s="168" t="n"/>
      <c r="D54" s="167" t="n"/>
      <c r="E54" s="211" t="n"/>
      <c r="F54" s="205" t="n"/>
      <c r="G54" s="205" t="n"/>
      <c r="H54" s="167" t="n"/>
      <c r="I54" s="167" t="n"/>
      <c r="J54" s="167" t="n"/>
      <c r="K54" s="167" t="n"/>
      <c r="L54" s="167" t="n"/>
      <c r="M54" s="167" t="n"/>
      <c r="N54" s="167" t="n"/>
      <c r="O54" s="167" t="n"/>
      <c r="P54" s="167" t="n"/>
      <c r="Q54" s="167" t="n"/>
      <c r="R54" s="167" t="n"/>
      <c r="S54" s="167" t="n"/>
      <c r="T54" s="167" t="n"/>
    </row>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6.xml><?xml version="1.0" encoding="utf-8"?>
<worksheet xmlns="http://schemas.openxmlformats.org/spreadsheetml/2006/main">
  <sheetPr filterMode="0">
    <tabColor rgb="FFCCFFCC"/>
    <outlinePr summaryBelow="1" summaryRight="1"/>
    <pageSetUpPr fitToPage="0"/>
  </sheetPr>
  <dimension ref="A1:T5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8" activeCellId="0" sqref="A8"/>
    </sheetView>
  </sheetViews>
  <sheetFormatPr baseColWidth="8" defaultColWidth="9.15234375" defaultRowHeight="12" zeroHeight="0" outlineLevelRow="2"/>
  <cols>
    <col width="2.99" customWidth="1" style="130" min="1" max="1"/>
    <col width="2.99" customWidth="1" style="137" min="2" max="3"/>
    <col width="15.73" customWidth="1" style="130" min="4" max="4"/>
    <col width="15.73" customWidth="1" style="188" min="5" max="5"/>
    <col width="10.72" customWidth="1" style="188" min="6" max="6"/>
    <col width="2.99" customWidth="1" style="188" min="7" max="7"/>
    <col width="9.720000000000001" customWidth="1" style="130" min="8" max="20"/>
  </cols>
  <sheetData>
    <row r="1" ht="15.75" customHeight="1" s="131">
      <c r="A1" s="142">
        <f>'1. Required Start-Up Funds'!A1</f>
        <v/>
      </c>
      <c r="T1" s="143">
        <f>NOW()</f>
        <v/>
      </c>
    </row>
    <row r="2" ht="15.75" customHeight="1" s="131">
      <c r="A2" s="142" t="inlineStr">
        <is>
          <t>Projected Sales Forecast - Page 2</t>
        </is>
      </c>
    </row>
    <row r="3" ht="12.75" customHeight="1" s="131">
      <c r="A3" s="130" t="n"/>
      <c r="D3" s="145" t="n"/>
      <c r="E3" s="189" t="n"/>
      <c r="F3" s="189" t="n"/>
      <c r="G3" s="189" t="n"/>
      <c r="H3" s="145" t="n"/>
      <c r="I3" s="145" t="n"/>
      <c r="J3" s="145" t="n"/>
      <c r="K3" s="145" t="n"/>
      <c r="L3" s="145" t="n"/>
      <c r="M3" s="145" t="n"/>
      <c r="N3" s="145" t="n"/>
      <c r="O3" s="145" t="n"/>
      <c r="P3" s="145" t="n"/>
      <c r="Q3" s="145" t="n"/>
      <c r="R3" s="145" t="n"/>
      <c r="S3" s="145" t="n"/>
      <c r="T3" s="145" t="n"/>
    </row>
    <row r="4" ht="12.75" customHeight="1" s="131">
      <c r="A4" s="145" t="n"/>
      <c r="D4" s="145" t="n"/>
      <c r="E4" s="189" t="n"/>
      <c r="F4" s="189" t="n"/>
      <c r="G4" s="189" t="n"/>
      <c r="H4" s="145" t="n"/>
      <c r="I4" s="145" t="n"/>
      <c r="J4" s="145" t="n"/>
      <c r="K4" s="145" t="n"/>
      <c r="L4" s="145" t="n"/>
      <c r="M4" s="145" t="n"/>
      <c r="N4" s="145" t="n"/>
      <c r="O4" s="145" t="n"/>
      <c r="P4" s="145" t="n"/>
      <c r="Q4" s="145" t="n"/>
      <c r="R4" s="145" t="n"/>
      <c r="S4" s="145" t="n"/>
      <c r="T4" s="145" t="n"/>
    </row>
    <row r="5" ht="12.75" customHeight="1" s="131">
      <c r="A5" s="145" t="n"/>
      <c r="D5" s="145" t="n"/>
      <c r="E5" s="189" t="n"/>
      <c r="F5" s="189" t="n"/>
      <c r="G5" s="189" t="n"/>
      <c r="H5" s="145" t="n"/>
      <c r="I5" s="145" t="n"/>
      <c r="J5" s="145" t="n"/>
      <c r="K5" s="145" t="n"/>
      <c r="L5" s="145" t="n"/>
      <c r="M5" s="145" t="n"/>
      <c r="N5" s="145" t="n"/>
      <c r="O5" s="145" t="n"/>
      <c r="P5" s="145" t="n"/>
      <c r="Q5" s="145" t="n"/>
      <c r="R5" s="145" t="n"/>
      <c r="S5" s="145" t="n"/>
      <c r="T5" s="145" t="n"/>
    </row>
    <row r="6" ht="12.75" customFormat="1" customHeight="1" s="137">
      <c r="A6" s="137" t="inlineStr">
        <is>
          <t>Products and Services</t>
        </is>
      </c>
      <c r="B6" s="137" t="n"/>
      <c r="C6" s="137" t="n"/>
      <c r="D6" s="137" t="n"/>
      <c r="E6" s="140" t="inlineStr">
        <is>
          <t>Assumptions</t>
        </is>
      </c>
      <c r="F6" s="171" t="inlineStr">
        <is>
          <t xml:space="preserve">          %</t>
        </is>
      </c>
      <c r="G6" s="140" t="n"/>
      <c r="H6" s="172">
        <f>'4. Projected Sales Forecast'!H6</f>
        <v/>
      </c>
      <c r="I6" s="172">
        <f>'4. Projected Sales Forecast'!I6</f>
        <v/>
      </c>
      <c r="J6" s="172">
        <f>'4. Projected Sales Forecast'!J6</f>
        <v/>
      </c>
      <c r="K6" s="172">
        <f>'4. Projected Sales Forecast'!K6</f>
        <v/>
      </c>
      <c r="L6" s="172">
        <f>'4. Projected Sales Forecast'!L6</f>
        <v/>
      </c>
      <c r="M6" s="172">
        <f>'4. Projected Sales Forecast'!M6</f>
        <v/>
      </c>
      <c r="N6" s="172">
        <f>'4. Projected Sales Forecast'!N6</f>
        <v/>
      </c>
      <c r="O6" s="172">
        <f>'4. Projected Sales Forecast'!O6</f>
        <v/>
      </c>
      <c r="P6" s="172">
        <f>'4. Projected Sales Forecast'!P6</f>
        <v/>
      </c>
      <c r="Q6" s="172">
        <f>'4. Projected Sales Forecast'!Q6</f>
        <v/>
      </c>
      <c r="R6" s="172">
        <f>'4. Projected Sales Forecast'!R6</f>
        <v/>
      </c>
      <c r="S6" s="172">
        <f>'4. Projected Sales Forecast'!S6</f>
        <v/>
      </c>
      <c r="T6" s="172" t="inlineStr">
        <is>
          <t>Totals</t>
        </is>
      </c>
    </row>
    <row r="7" ht="12.75" customHeight="1" s="131">
      <c r="A7" s="145" t="n"/>
      <c r="D7" s="145" t="n"/>
      <c r="E7" s="189" t="n"/>
      <c r="F7" s="189" t="n"/>
      <c r="G7" s="189" t="n"/>
      <c r="H7" s="145" t="n"/>
      <c r="I7" s="145" t="n"/>
      <c r="J7" s="145" t="n"/>
      <c r="K7" s="145" t="n"/>
      <c r="L7" s="145" t="n"/>
      <c r="M7" s="145" t="n"/>
      <c r="N7" s="145" t="n"/>
      <c r="O7" s="145" t="n"/>
      <c r="P7" s="145" t="n"/>
      <c r="Q7" s="145" t="n"/>
      <c r="R7" s="145" t="n"/>
      <c r="S7" s="145" t="n"/>
      <c r="T7" s="145" t="n"/>
    </row>
    <row r="8" ht="12.75" customHeight="1" s="131">
      <c r="A8" s="191" t="inlineStr">
        <is>
          <t>Product/Service C</t>
        </is>
      </c>
      <c r="B8" s="191" t="n"/>
      <c r="C8" s="191" t="n"/>
      <c r="D8" s="191" t="n"/>
      <c r="E8" s="189" t="n"/>
      <c r="F8" s="189" t="n"/>
      <c r="G8" s="189" t="n"/>
      <c r="H8" s="145" t="n"/>
      <c r="I8" s="145" t="n"/>
      <c r="J8" s="145" t="n"/>
      <c r="K8" s="145" t="n"/>
      <c r="L8" s="145" t="n"/>
      <c r="M8" s="145" t="n"/>
      <c r="N8" s="145" t="n"/>
      <c r="O8" s="145" t="n"/>
      <c r="P8" s="145" t="n"/>
      <c r="Q8" s="145" t="n"/>
      <c r="R8" s="145" t="n"/>
      <c r="S8" s="145" t="n"/>
      <c r="T8" s="145" t="n"/>
    </row>
    <row r="9" ht="12.75" customHeight="1" s="131">
      <c r="A9" s="137" t="n"/>
      <c r="B9" s="137" t="inlineStr">
        <is>
          <t>Price Per Unit</t>
        </is>
      </c>
      <c r="D9" s="145" t="n"/>
      <c r="E9" s="192" t="n">
        <v>0</v>
      </c>
      <c r="F9" s="193" t="n">
        <v>1</v>
      </c>
      <c r="G9" s="193" t="n"/>
      <c r="H9" s="145" t="n"/>
      <c r="I9" s="145" t="n"/>
      <c r="J9" s="145" t="n"/>
      <c r="K9" s="145" t="n"/>
      <c r="L9" s="145" t="n"/>
      <c r="M9" s="145" t="n"/>
      <c r="N9" s="145" t="n"/>
      <c r="O9" s="145" t="n"/>
      <c r="P9" s="145" t="n"/>
      <c r="Q9" s="145" t="n"/>
      <c r="R9" s="145" t="n"/>
      <c r="S9" s="145" t="n"/>
      <c r="T9" s="145" t="n"/>
    </row>
    <row r="10" ht="12.75" customHeight="1" s="131">
      <c r="A10" s="137" t="n"/>
      <c r="B10" s="137" t="inlineStr">
        <is>
          <t>Variable Cost Per Unit</t>
        </is>
      </c>
      <c r="D10" s="145" t="n"/>
      <c r="E10" s="194" t="n">
        <v>0</v>
      </c>
      <c r="F10" s="193">
        <f>IF(E9&gt;0,E10/E9,0)</f>
        <v/>
      </c>
      <c r="G10" s="193" t="n"/>
      <c r="H10" s="145" t="n"/>
      <c r="I10" s="145" t="n"/>
      <c r="J10" s="145" t="n"/>
      <c r="K10" s="145" t="n"/>
      <c r="L10" s="145" t="n"/>
      <c r="M10" s="145" t="n"/>
      <c r="N10" s="145" t="n"/>
      <c r="O10" s="145" t="n"/>
      <c r="P10" s="145" t="n"/>
      <c r="Q10" s="145" t="n"/>
      <c r="R10" s="145" t="n"/>
      <c r="S10" s="145" t="n"/>
      <c r="T10" s="145" t="n"/>
    </row>
    <row r="11" ht="12.75" customHeight="1" s="131">
      <c r="A11" s="137" t="n"/>
      <c r="B11" s="137" t="inlineStr">
        <is>
          <t>Gross Margin Per Unit</t>
        </is>
      </c>
      <c r="D11" s="145" t="n"/>
      <c r="E11" s="195">
        <f>E9-E10</f>
        <v/>
      </c>
      <c r="F11" s="193">
        <f>IF(E9&gt;0,E11/E9,0)</f>
        <v/>
      </c>
      <c r="G11" s="193" t="n"/>
      <c r="H11" s="145" t="n"/>
      <c r="I11" s="145" t="n"/>
      <c r="J11" s="145" t="n"/>
      <c r="K11" s="145" t="n"/>
      <c r="L11" s="145" t="n"/>
      <c r="M11" s="145" t="n"/>
      <c r="N11" s="145" t="n"/>
      <c r="O11" s="145" t="n"/>
      <c r="P11" s="145" t="n"/>
      <c r="Q11" s="145" t="n"/>
      <c r="R11" s="145" t="n"/>
      <c r="S11" s="145" t="n"/>
      <c r="T11" s="145" t="n"/>
    </row>
    <row r="12" ht="12.75" customHeight="1" s="131">
      <c r="A12" s="137" t="n"/>
      <c r="B12" s="137" t="inlineStr">
        <is>
          <t>Projected Unit Sales</t>
        </is>
      </c>
      <c r="D12" s="145" t="n"/>
      <c r="E12" s="189" t="n"/>
      <c r="F12" s="189" t="n"/>
      <c r="G12" s="189" t="n"/>
      <c r="H12" s="145" t="n"/>
      <c r="I12" s="145" t="n"/>
      <c r="J12" s="145" t="n"/>
      <c r="K12" s="145" t="n"/>
      <c r="L12" s="145" t="n"/>
      <c r="M12" s="145" t="n"/>
      <c r="N12" s="145" t="n"/>
      <c r="O12" s="145" t="n"/>
      <c r="P12" s="145" t="n"/>
      <c r="Q12" s="145" t="n"/>
      <c r="R12" s="145" t="n"/>
      <c r="S12" s="145" t="n"/>
      <c r="T12" s="145" t="n"/>
    </row>
    <row r="13" ht="12.75" customHeight="1" s="131">
      <c r="A13" s="137" t="n"/>
      <c r="C13" s="137" t="inlineStr">
        <is>
          <t>Seasonality Factor</t>
        </is>
      </c>
      <c r="D13" s="145" t="n"/>
      <c r="E13" s="189" t="n"/>
      <c r="F13" s="189" t="n"/>
      <c r="G13" s="189" t="n"/>
      <c r="H13" s="196">
        <f>IF(H14=0,0,H14/$T$14)</f>
        <v/>
      </c>
      <c r="I13" s="196">
        <f>IF(I14=0,0,I14/$T$14)</f>
        <v/>
      </c>
      <c r="J13" s="196">
        <f>IF(J14=0,0,J14/$T$14)</f>
        <v/>
      </c>
      <c r="K13" s="196">
        <f>IF(K14=0,0,K14/$T$14)</f>
        <v/>
      </c>
      <c r="L13" s="196">
        <f>IF(L14=0,0,L14/$T$14)</f>
        <v/>
      </c>
      <c r="M13" s="196">
        <f>IF(M14=0,0,M14/$T$14)</f>
        <v/>
      </c>
      <c r="N13" s="196">
        <f>IF(N14=0,0,N14/$T$14)</f>
        <v/>
      </c>
      <c r="O13" s="196">
        <f>IF(O14=0,0,O14/$T$14)</f>
        <v/>
      </c>
      <c r="P13" s="196">
        <f>IF(P14=0,0,P14/$T$14)</f>
        <v/>
      </c>
      <c r="Q13" s="196">
        <f>IF(Q14=0,0,Q14/$T$14)</f>
        <v/>
      </c>
      <c r="R13" s="196">
        <f>IF(R14=0,0,R14/$T$14)</f>
        <v/>
      </c>
      <c r="S13" s="196">
        <f>IF(S14=0,0,S14/$T$14)</f>
        <v/>
      </c>
      <c r="T13" s="197">
        <f>SUM(H13:S13)</f>
        <v/>
      </c>
    </row>
    <row r="14" ht="12.75" customHeight="1" s="131">
      <c r="A14" s="137" t="n"/>
      <c r="C14" s="137" t="inlineStr">
        <is>
          <t>Year One</t>
        </is>
      </c>
      <c r="D14" s="145" t="n"/>
      <c r="E14" s="189" t="n"/>
      <c r="F14" s="189" t="n"/>
      <c r="G14" s="189" t="n"/>
      <c r="H14" s="151" t="n">
        <v>0</v>
      </c>
      <c r="I14" s="151" t="n">
        <v>0</v>
      </c>
      <c r="J14" s="151" t="n">
        <v>0</v>
      </c>
      <c r="K14" s="151" t="n">
        <v>0</v>
      </c>
      <c r="L14" s="151" t="n">
        <v>0</v>
      </c>
      <c r="M14" s="151" t="n">
        <v>0</v>
      </c>
      <c r="N14" s="151" t="n">
        <v>0</v>
      </c>
      <c r="O14" s="151" t="n">
        <v>0</v>
      </c>
      <c r="P14" s="151" t="n">
        <v>0</v>
      </c>
      <c r="Q14" s="151" t="n">
        <v>0</v>
      </c>
      <c r="R14" s="151" t="n">
        <v>0</v>
      </c>
      <c r="S14" s="151" t="n">
        <v>0</v>
      </c>
      <c r="T14" s="182">
        <f>SUM(H14:S14)</f>
        <v/>
      </c>
    </row>
    <row r="15" ht="12.75" customHeight="1" s="131">
      <c r="A15" s="137" t="n"/>
      <c r="C15" s="137" t="inlineStr">
        <is>
          <t>Year Two Growth</t>
        </is>
      </c>
      <c r="D15" s="145" t="n"/>
      <c r="E15" s="198" t="n">
        <v>0.1</v>
      </c>
      <c r="F15" s="199" t="n"/>
      <c r="G15" s="193" t="n"/>
      <c r="H15" s="200">
        <f>IF($E$15=0,H14,(1+$E$15)*H14)</f>
        <v/>
      </c>
      <c r="I15" s="200">
        <f>IF($E$15=0,I14,(1+$E$15)*I14)</f>
        <v/>
      </c>
      <c r="J15" s="200">
        <f>IF($E$15=0,J14,(1+$E$15)*J14)</f>
        <v/>
      </c>
      <c r="K15" s="200">
        <f>IF($E$15=0,K14,(1+$E$15)*K14)</f>
        <v/>
      </c>
      <c r="L15" s="200">
        <f>IF($E$15=0,L14,(1+$E$15)*L14)</f>
        <v/>
      </c>
      <c r="M15" s="200">
        <f>IF($E$15=0,M14,(1+$E$15)*M14)</f>
        <v/>
      </c>
      <c r="N15" s="200">
        <f>IF($E$15=0,N14,(1+$E$15)*N14)</f>
        <v/>
      </c>
      <c r="O15" s="200">
        <f>IF($E$15=0,O14,(1+$E$15)*O14)</f>
        <v/>
      </c>
      <c r="P15" s="200">
        <f>IF($E$15=0,P14,(1+$E$15)*P14)</f>
        <v/>
      </c>
      <c r="Q15" s="200">
        <f>IF($E$15=0,Q14,(1+$E$15)*Q14)</f>
        <v/>
      </c>
      <c r="R15" s="200">
        <f>IF($E$15=0,R14,(1+$E$15)*R14)</f>
        <v/>
      </c>
      <c r="S15" s="200">
        <f>IF($E$15=0,S14,(1+$E$15)*S14)</f>
        <v/>
      </c>
      <c r="T15" s="182">
        <f>SUM(H15:S15)</f>
        <v/>
      </c>
    </row>
    <row r="16" ht="12.75" customHeight="1" s="131">
      <c r="A16" s="145" t="n"/>
      <c r="C16" s="137" t="inlineStr">
        <is>
          <t>Year Three Growth</t>
        </is>
      </c>
      <c r="D16" s="145" t="n"/>
      <c r="E16" s="198" t="n">
        <v>0.1</v>
      </c>
      <c r="F16" s="189" t="n"/>
      <c r="G16" s="193" t="n"/>
      <c r="H16" s="200">
        <f>IF($E$16=0,H15,(1+$E$16)*H15)</f>
        <v/>
      </c>
      <c r="I16" s="200">
        <f>IF($E$16=0,I15,(1+$E$16)*I15)</f>
        <v/>
      </c>
      <c r="J16" s="200">
        <f>IF($E$16=0,J15,(1+$E$16)*J15)</f>
        <v/>
      </c>
      <c r="K16" s="200">
        <f>IF($E$16=0,K15,(1+$E$16)*K15)</f>
        <v/>
      </c>
      <c r="L16" s="200">
        <f>IF($E$16=0,L15,(1+$E$16)*L15)</f>
        <v/>
      </c>
      <c r="M16" s="200">
        <f>IF($E$16=0,M15,(1+$E$16)*M15)</f>
        <v/>
      </c>
      <c r="N16" s="200">
        <f>IF($E$16=0,N15,(1+$E$16)*N15)</f>
        <v/>
      </c>
      <c r="O16" s="200">
        <f>IF($E$16=0,O15,(1+$E$16)*O15)</f>
        <v/>
      </c>
      <c r="P16" s="200">
        <f>IF($E$16=0,P15,(1+$E$16)*P15)</f>
        <v/>
      </c>
      <c r="Q16" s="200">
        <f>IF($E$16=0,Q15,(1+$E$16)*Q15)</f>
        <v/>
      </c>
      <c r="R16" s="200">
        <f>IF($E$16=0,R15,(1+$E$16)*R15)</f>
        <v/>
      </c>
      <c r="S16" s="200">
        <f>IF($E$16=0,S15,(1+$E$16)*S15)</f>
        <v/>
      </c>
      <c r="T16" s="182">
        <f>SUM(H16:S16)</f>
        <v/>
      </c>
    </row>
    <row r="17" outlineLevel="1" ht="12.75" customHeight="1" s="131">
      <c r="A17" s="145" t="n"/>
      <c r="B17" s="137" t="inlineStr">
        <is>
          <t>Fixed Expense Allocation</t>
        </is>
      </c>
      <c r="D17" s="145" t="n"/>
      <c r="E17" s="198">
        <f>(1-('4. Projected Sales Forecast'!E17+'4. Projected Sales Forecast'!E39))/2</f>
        <v/>
      </c>
      <c r="F17" s="189" t="n"/>
      <c r="G17" s="193" t="n"/>
      <c r="H17" s="156" t="n"/>
      <c r="I17" s="156" t="n"/>
      <c r="J17" s="156" t="n"/>
      <c r="K17" s="156" t="n"/>
      <c r="L17" s="156" t="n"/>
      <c r="M17" s="156" t="n"/>
      <c r="N17" s="156" t="n"/>
      <c r="O17" s="156" t="n"/>
      <c r="P17" s="156" t="n"/>
      <c r="Q17" s="156" t="n"/>
      <c r="R17" s="156" t="n"/>
      <c r="S17" s="156" t="n"/>
      <c r="T17" s="182" t="n"/>
    </row>
    <row r="18" outlineLevel="1" ht="12.75" customHeight="1" s="131">
      <c r="A18" s="145" t="n"/>
      <c r="D18" s="145" t="n"/>
      <c r="E18" s="189" t="n"/>
      <c r="F18" s="189" t="n"/>
      <c r="G18" s="189" t="n"/>
      <c r="H18" s="145" t="n"/>
      <c r="I18" s="145" t="n"/>
      <c r="J18" s="145" t="n"/>
      <c r="K18" s="145" t="n"/>
      <c r="L18" s="145" t="n"/>
      <c r="M18" s="145" t="n"/>
      <c r="N18" s="145" t="n"/>
      <c r="O18" s="145" t="n"/>
      <c r="P18" s="145" t="n"/>
      <c r="Q18" s="145" t="n"/>
      <c r="R18" s="145" t="n"/>
      <c r="S18" s="145" t="n"/>
      <c r="T18" s="145" t="n"/>
    </row>
    <row r="19" outlineLevel="1" ht="12.75" customHeight="1" s="131">
      <c r="A19" s="145" t="n"/>
      <c r="B19" s="137" t="inlineStr">
        <is>
          <t>Projected Revenue</t>
        </is>
      </c>
      <c r="D19" s="145" t="n"/>
      <c r="E19" s="201">
        <f>T14*E9</f>
        <v/>
      </c>
      <c r="F19" s="193" t="n"/>
      <c r="G19" s="189" t="n"/>
      <c r="H19" s="145" t="n"/>
      <c r="I19" s="145" t="n"/>
      <c r="J19" s="145" t="n"/>
      <c r="K19" s="145" t="n"/>
      <c r="L19" s="145" t="n"/>
      <c r="M19" s="145" t="n"/>
      <c r="N19" s="145" t="n"/>
      <c r="O19" s="145" t="n"/>
      <c r="P19" s="145" t="n"/>
      <c r="Q19" s="145" t="n"/>
      <c r="R19" s="145" t="n"/>
      <c r="S19" s="145" t="n"/>
      <c r="T19" s="145" t="n"/>
    </row>
    <row r="20" outlineLevel="1" ht="12.75" customHeight="1" s="131">
      <c r="A20" s="145" t="n"/>
      <c r="B20" s="137" t="inlineStr">
        <is>
          <t>Variable Costs</t>
        </is>
      </c>
      <c r="D20" s="145" t="n"/>
      <c r="E20" s="202">
        <f>E10*T14</f>
        <v/>
      </c>
      <c r="F20" s="193" t="n"/>
      <c r="G20" s="189" t="n"/>
      <c r="H20" s="145" t="n"/>
      <c r="I20" s="145" t="n"/>
      <c r="J20" s="145" t="n"/>
      <c r="K20" s="145" t="n"/>
      <c r="L20" s="145" t="n"/>
      <c r="M20" s="145" t="n"/>
      <c r="N20" s="145" t="n"/>
      <c r="O20" s="145" t="n"/>
      <c r="P20" s="145" t="n"/>
      <c r="Q20" s="145" t="n"/>
      <c r="R20" s="145" t="n"/>
      <c r="S20" s="145" t="n"/>
      <c r="T20" s="145" t="n"/>
    </row>
    <row r="21" outlineLevel="1" ht="12.75" customHeight="1" s="131">
      <c r="A21" s="137" t="n"/>
      <c r="B21" s="137" t="inlineStr">
        <is>
          <t>Gross Margin</t>
        </is>
      </c>
      <c r="D21" s="145" t="n"/>
      <c r="E21" s="203">
        <f>E19-E20</f>
        <v/>
      </c>
      <c r="F21" s="193" t="n"/>
      <c r="G21" s="189" t="n"/>
      <c r="H21" s="145" t="n"/>
      <c r="I21" s="145" t="n"/>
      <c r="J21" s="145" t="n"/>
      <c r="K21" s="145" t="n"/>
      <c r="L21" s="145" t="n"/>
      <c r="M21" s="145" t="n"/>
      <c r="N21" s="145" t="n"/>
      <c r="O21" s="145" t="n"/>
      <c r="P21" s="145" t="n"/>
      <c r="Q21" s="145" t="n"/>
      <c r="R21" s="145" t="n"/>
      <c r="S21" s="145" t="n"/>
      <c r="T21" s="145" t="n"/>
    </row>
    <row r="22" outlineLevel="1" ht="12.75" customHeight="1" s="131">
      <c r="A22" s="137" t="n"/>
      <c r="B22" s="137" t="inlineStr">
        <is>
          <t>Fixed Expenses</t>
        </is>
      </c>
      <c r="D22" s="145" t="n"/>
      <c r="E22" s="203">
        <f>E17*'3. Fixed Operating Expenses'!I41</f>
        <v/>
      </c>
      <c r="F22" s="193" t="n"/>
      <c r="G22" s="193" t="n"/>
      <c r="H22" s="145" t="n"/>
      <c r="I22" s="145" t="n"/>
      <c r="J22" s="145" t="n"/>
      <c r="K22" s="145" t="n"/>
      <c r="L22" s="145" t="n"/>
      <c r="M22" s="145" t="n"/>
      <c r="N22" s="145" t="n"/>
      <c r="O22" s="145" t="n"/>
      <c r="P22" s="145" t="n"/>
      <c r="Q22" s="145" t="n"/>
      <c r="R22" s="145" t="n"/>
      <c r="S22" s="145" t="n"/>
      <c r="T22" s="145" t="n"/>
    </row>
    <row r="23" outlineLevel="1" ht="12.75" customHeight="1" s="131">
      <c r="A23" s="137" t="n"/>
      <c r="B23" s="137" t="inlineStr">
        <is>
          <t>Profit</t>
        </is>
      </c>
      <c r="D23" s="145" t="n"/>
      <c r="E23" s="204">
        <f>E21-E22</f>
        <v/>
      </c>
      <c r="F23" s="193">
        <f>IF(E9&gt;0,E23/E19,0)</f>
        <v/>
      </c>
      <c r="G23" s="193" t="n"/>
      <c r="H23" s="145" t="n"/>
      <c r="I23" s="145" t="n"/>
      <c r="J23" s="145" t="n"/>
      <c r="K23" s="145" t="n"/>
      <c r="L23" s="145" t="n"/>
      <c r="M23" s="145" t="n"/>
      <c r="N23" s="145" t="n"/>
      <c r="O23" s="145" t="n"/>
      <c r="P23" s="145" t="n"/>
      <c r="Q23" s="145" t="n"/>
      <c r="R23" s="145" t="n"/>
      <c r="S23" s="145" t="n"/>
      <c r="T23" s="145" t="n"/>
    </row>
    <row r="24" outlineLevel="1" ht="12.75" customHeight="1" s="131">
      <c r="A24" s="137" t="n"/>
      <c r="D24" s="145" t="n"/>
      <c r="E24" s="189" t="n"/>
      <c r="F24" s="189" t="n"/>
      <c r="G24" s="189" t="n"/>
      <c r="H24" s="145" t="n"/>
      <c r="I24" s="145" t="n"/>
      <c r="J24" s="145" t="n"/>
      <c r="K24" s="145" t="n"/>
      <c r="L24" s="145" t="n"/>
      <c r="M24" s="145" t="n"/>
      <c r="N24" s="145" t="n"/>
      <c r="O24" s="145" t="n"/>
      <c r="P24" s="145" t="n"/>
      <c r="Q24" s="145" t="n"/>
      <c r="R24" s="145" t="n"/>
      <c r="S24" s="145" t="n"/>
      <c r="T24" s="145" t="n"/>
    </row>
    <row r="25" outlineLevel="1" ht="12.75" customHeight="1" s="131">
      <c r="A25" s="137" t="n"/>
      <c r="B25" s="137" t="inlineStr">
        <is>
          <t>Breakeven Sales Revenue</t>
        </is>
      </c>
      <c r="D25" s="145" t="n"/>
      <c r="E25" s="195">
        <f>IF(E9&gt;0,E22/F11,0)</f>
        <v/>
      </c>
      <c r="F25" s="189" t="n"/>
      <c r="G25" s="189" t="n"/>
      <c r="H25" s="156" t="n"/>
      <c r="I25" s="156" t="n"/>
      <c r="J25" s="156" t="n"/>
      <c r="K25" s="156" t="n"/>
      <c r="L25" s="156" t="n"/>
      <c r="M25" s="156" t="n"/>
      <c r="N25" s="156" t="n"/>
      <c r="O25" s="156" t="n"/>
      <c r="P25" s="156" t="n"/>
      <c r="Q25" s="156" t="n"/>
      <c r="R25" s="156" t="n"/>
      <c r="S25" s="156" t="n"/>
      <c r="T25" s="182" t="n"/>
    </row>
    <row r="26" outlineLevel="1" ht="12.75" customHeight="1" s="131">
      <c r="A26" s="137" t="n"/>
      <c r="B26" s="137" t="inlineStr">
        <is>
          <t>Breakeven Sales Units</t>
        </is>
      </c>
      <c r="D26" s="145" t="n"/>
      <c r="E26" s="203">
        <f>IF(E9&gt;0,E25/E9,0)</f>
        <v/>
      </c>
      <c r="F26" s="193" t="n"/>
      <c r="G26" s="193" t="n"/>
      <c r="H26" s="156" t="n"/>
      <c r="I26" s="156" t="n"/>
      <c r="J26" s="156" t="n"/>
      <c r="K26" s="156" t="n"/>
      <c r="L26" s="156" t="n"/>
      <c r="M26" s="156" t="n"/>
      <c r="N26" s="156" t="n"/>
      <c r="O26" s="156" t="n"/>
      <c r="P26" s="156" t="n"/>
      <c r="Q26" s="156" t="n"/>
      <c r="R26" s="156" t="n"/>
      <c r="S26" s="156" t="n"/>
      <c r="T26" s="182" t="n"/>
    </row>
    <row r="27" ht="12.75" customHeight="1" s="131">
      <c r="A27" s="145" t="n"/>
      <c r="D27" s="145" t="n"/>
      <c r="E27" s="189" t="n"/>
      <c r="F27" s="193" t="n"/>
      <c r="G27" s="193" t="n"/>
      <c r="H27" s="156" t="n"/>
      <c r="I27" s="156" t="n"/>
      <c r="J27" s="156" t="n"/>
      <c r="K27" s="156" t="n"/>
      <c r="L27" s="156" t="n"/>
      <c r="M27" s="156" t="n"/>
      <c r="N27" s="156" t="n"/>
      <c r="O27" s="156" t="n"/>
      <c r="P27" s="156" t="n"/>
      <c r="Q27" s="156" t="n"/>
      <c r="R27" s="156" t="n"/>
      <c r="S27" s="156" t="n"/>
      <c r="T27" s="182" t="n"/>
    </row>
    <row r="28" ht="12.75" customHeight="1" s="131">
      <c r="A28" s="145" t="n"/>
      <c r="D28" s="145" t="n"/>
      <c r="E28" s="189" t="n"/>
      <c r="F28" s="193" t="n"/>
      <c r="G28" s="193" t="n"/>
      <c r="H28" s="156" t="n"/>
      <c r="I28" s="156" t="n"/>
      <c r="J28" s="156" t="n"/>
      <c r="K28" s="156" t="n"/>
      <c r="L28" s="156" t="n"/>
      <c r="M28" s="156" t="n"/>
      <c r="N28" s="156" t="n"/>
      <c r="O28" s="156" t="n"/>
      <c r="P28" s="156" t="n"/>
      <c r="Q28" s="156" t="n"/>
      <c r="R28" s="156" t="n"/>
      <c r="S28" s="156" t="n"/>
      <c r="T28" s="182" t="n"/>
    </row>
    <row r="29" ht="12.75" customHeight="1" s="131">
      <c r="A29" s="145" t="n"/>
      <c r="D29" s="145" t="n"/>
      <c r="E29" s="201" t="n"/>
      <c r="F29" s="189" t="n"/>
      <c r="G29" s="189" t="n"/>
      <c r="H29" s="145" t="n"/>
      <c r="I29" s="145" t="n"/>
      <c r="J29" s="145" t="n"/>
      <c r="K29" s="145" t="n"/>
      <c r="L29" s="145" t="n"/>
      <c r="M29" s="145" t="n"/>
      <c r="N29" s="145" t="n"/>
      <c r="O29" s="145" t="n"/>
      <c r="P29" s="145" t="n"/>
      <c r="Q29" s="145" t="n"/>
      <c r="R29" s="145" t="n"/>
      <c r="S29" s="145" t="n"/>
      <c r="T29" s="145" t="n"/>
    </row>
    <row r="30" outlineLevel="1" ht="12.75" customHeight="1" s="131">
      <c r="A30" s="191" t="inlineStr">
        <is>
          <t>Product/Service D</t>
        </is>
      </c>
      <c r="B30" s="191" t="n"/>
      <c r="C30" s="191" t="n"/>
      <c r="D30" s="191" t="n"/>
      <c r="E30" s="189" t="n"/>
      <c r="F30" s="189" t="n"/>
      <c r="G30" s="189" t="n"/>
      <c r="H30" s="145" t="n"/>
      <c r="I30" s="145" t="n"/>
      <c r="J30" s="145" t="n"/>
      <c r="K30" s="145" t="n"/>
      <c r="L30" s="145" t="n"/>
      <c r="M30" s="145" t="n"/>
      <c r="N30" s="145" t="n"/>
      <c r="O30" s="145" t="n"/>
      <c r="P30" s="145" t="n"/>
      <c r="Q30" s="145" t="n"/>
      <c r="R30" s="145" t="n"/>
      <c r="S30" s="145" t="n"/>
      <c r="T30" s="145" t="n"/>
    </row>
    <row r="31" outlineLevel="1" ht="12.75" customHeight="1" s="131">
      <c r="A31" s="137" t="n"/>
      <c r="B31" s="137" t="inlineStr">
        <is>
          <t>Price Per Unit</t>
        </is>
      </c>
      <c r="D31" s="145" t="n"/>
      <c r="E31" s="192" t="n">
        <v>0</v>
      </c>
      <c r="F31" s="193" t="n">
        <v>1</v>
      </c>
      <c r="G31" s="193" t="n"/>
      <c r="H31" s="145" t="n"/>
      <c r="I31" s="145" t="n"/>
      <c r="J31" s="145" t="n"/>
      <c r="K31" s="145" t="n"/>
      <c r="L31" s="145" t="n"/>
      <c r="M31" s="145" t="n"/>
      <c r="N31" s="145" t="n"/>
      <c r="O31" s="145" t="n"/>
      <c r="P31" s="145" t="n"/>
      <c r="Q31" s="145" t="n"/>
      <c r="R31" s="145" t="n"/>
      <c r="S31" s="145" t="n"/>
      <c r="T31" s="145" t="n"/>
    </row>
    <row r="32" outlineLevel="1" ht="12.75" customHeight="1" s="131">
      <c r="A32" s="137" t="n"/>
      <c r="B32" s="137" t="inlineStr">
        <is>
          <t>Variable Cost Per Unit</t>
        </is>
      </c>
      <c r="D32" s="145" t="n"/>
      <c r="E32" s="194" t="n">
        <v>0</v>
      </c>
      <c r="F32" s="193">
        <f>IF(E31&gt;0,E32/E31,0)</f>
        <v/>
      </c>
      <c r="G32" s="193" t="n"/>
      <c r="H32" s="145" t="n"/>
      <c r="I32" s="145" t="n"/>
      <c r="J32" s="145" t="n"/>
      <c r="K32" s="145" t="n"/>
      <c r="L32" s="145" t="n"/>
      <c r="M32" s="145" t="n"/>
      <c r="N32" s="145" t="n"/>
      <c r="O32" s="145" t="n"/>
      <c r="P32" s="145" t="n"/>
      <c r="Q32" s="145" t="n"/>
      <c r="R32" s="145" t="n"/>
      <c r="S32" s="145" t="n"/>
      <c r="T32" s="145" t="n"/>
    </row>
    <row r="33" outlineLevel="1" ht="12.75" customHeight="1" s="131">
      <c r="A33" s="137" t="n"/>
      <c r="B33" s="137" t="inlineStr">
        <is>
          <t>Gross Margin Per Unit</t>
        </is>
      </c>
      <c r="D33" s="145" t="n"/>
      <c r="E33" s="195">
        <f>E31-E32</f>
        <v/>
      </c>
      <c r="F33" s="193">
        <f>IF(E31&gt;0,E33/E31,0)</f>
        <v/>
      </c>
      <c r="G33" s="193" t="n"/>
      <c r="H33" s="145" t="n"/>
      <c r="I33" s="145" t="n"/>
      <c r="J33" s="145" t="n"/>
      <c r="K33" s="145" t="n"/>
      <c r="L33" s="145" t="n"/>
      <c r="M33" s="145" t="n"/>
      <c r="N33" s="145" t="n"/>
      <c r="O33" s="145" t="n"/>
      <c r="P33" s="145" t="n"/>
      <c r="Q33" s="145" t="n"/>
      <c r="R33" s="145" t="n"/>
      <c r="S33" s="145" t="n"/>
      <c r="T33" s="145" t="n"/>
    </row>
    <row r="34" outlineLevel="1" ht="12.75" customHeight="1" s="131">
      <c r="A34" s="137" t="n"/>
      <c r="B34" s="137" t="inlineStr">
        <is>
          <t>Projected Unit Sales</t>
        </is>
      </c>
      <c r="D34" s="145" t="n"/>
      <c r="E34" s="189" t="n"/>
      <c r="F34" s="189" t="n"/>
      <c r="G34" s="189" t="n"/>
      <c r="H34" s="145" t="n"/>
      <c r="I34" s="145" t="n"/>
      <c r="J34" s="145" t="n"/>
      <c r="K34" s="145" t="n"/>
      <c r="L34" s="145" t="n"/>
      <c r="M34" s="145" t="n"/>
      <c r="N34" s="145" t="n"/>
      <c r="O34" s="145" t="n"/>
      <c r="P34" s="145" t="n"/>
      <c r="Q34" s="145" t="n"/>
      <c r="R34" s="145" t="n"/>
      <c r="S34" s="145" t="n"/>
      <c r="T34" s="145" t="n"/>
    </row>
    <row r="35" outlineLevel="1" ht="12.75" customHeight="1" s="131">
      <c r="A35" s="137" t="n"/>
      <c r="C35" s="137" t="inlineStr">
        <is>
          <t>Seasonality Factor</t>
        </is>
      </c>
      <c r="D35" s="145" t="n"/>
      <c r="E35" s="189" t="n"/>
      <c r="F35" s="189" t="n"/>
      <c r="G35" s="189" t="n"/>
      <c r="H35" s="196">
        <f>IF(H36=0,0,H36/$T$36)</f>
        <v/>
      </c>
      <c r="I35" s="196">
        <f>IF(I36=0,0,I36/$T$36)</f>
        <v/>
      </c>
      <c r="J35" s="196">
        <f>IF(J36=0,0,J36/$T$36)</f>
        <v/>
      </c>
      <c r="K35" s="196">
        <f>IF(K36=0,0,K36/$T$36)</f>
        <v/>
      </c>
      <c r="L35" s="196">
        <f>IF(L36=0,0,L36/$T$36)</f>
        <v/>
      </c>
      <c r="M35" s="196">
        <f>IF(M36=0,0,M36/$T$36)</f>
        <v/>
      </c>
      <c r="N35" s="196">
        <f>IF(N36=0,0,N36/$T$36)</f>
        <v/>
      </c>
      <c r="O35" s="196">
        <f>IF(O36=0,0,O36/$T$36)</f>
        <v/>
      </c>
      <c r="P35" s="196">
        <f>IF(P36=0,0,P36/$T$36)</f>
        <v/>
      </c>
      <c r="Q35" s="196">
        <f>IF(Q36=0,0,Q36/$T$36)</f>
        <v/>
      </c>
      <c r="R35" s="196">
        <f>IF(R36=0,0,R36/$T$36)</f>
        <v/>
      </c>
      <c r="S35" s="196">
        <f>IF(S36=0,0,S36/$T$36)</f>
        <v/>
      </c>
      <c r="T35" s="197">
        <f>SUM(H35:S35)</f>
        <v/>
      </c>
    </row>
    <row r="36" outlineLevel="1" ht="12.75" customHeight="1" s="131">
      <c r="A36" s="137" t="n"/>
      <c r="C36" s="137" t="inlineStr">
        <is>
          <t>Year One</t>
        </is>
      </c>
      <c r="D36" s="145" t="n"/>
      <c r="E36" s="189" t="n"/>
      <c r="F36" s="189" t="n"/>
      <c r="G36" s="189" t="n"/>
      <c r="H36" s="151" t="n">
        <v>0</v>
      </c>
      <c r="I36" s="151" t="n">
        <v>0</v>
      </c>
      <c r="J36" s="151" t="n">
        <v>0</v>
      </c>
      <c r="K36" s="151" t="n">
        <v>0</v>
      </c>
      <c r="L36" s="151" t="n">
        <v>0</v>
      </c>
      <c r="M36" s="151" t="n">
        <v>0</v>
      </c>
      <c r="N36" s="151" t="n">
        <v>0</v>
      </c>
      <c r="O36" s="151" t="n">
        <v>0</v>
      </c>
      <c r="P36" s="151" t="n">
        <v>0</v>
      </c>
      <c r="Q36" s="151" t="n">
        <v>0</v>
      </c>
      <c r="R36" s="151" t="n">
        <v>0</v>
      </c>
      <c r="S36" s="151" t="n">
        <v>0</v>
      </c>
      <c r="T36" s="182">
        <f>SUM(H36:S36)</f>
        <v/>
      </c>
    </row>
    <row r="37" outlineLevel="1" ht="12.75" customHeight="1" s="131">
      <c r="A37" s="137" t="n"/>
      <c r="C37" s="137" t="inlineStr">
        <is>
          <t>Year Two Growth</t>
        </is>
      </c>
      <c r="D37" s="145" t="n"/>
      <c r="E37" s="198" t="n">
        <v>0.1</v>
      </c>
      <c r="F37" s="199" t="n"/>
      <c r="G37" s="193" t="n"/>
      <c r="H37" s="200">
        <f>IF($E$15=0,H36,(1+$E$37)*H36)</f>
        <v/>
      </c>
      <c r="I37" s="200">
        <f>IF($E$15=0,I36,(1+$E$37)*I36)</f>
        <v/>
      </c>
      <c r="J37" s="200">
        <f>IF($E$15=0,J36,(1+$E$37)*J36)</f>
        <v/>
      </c>
      <c r="K37" s="200">
        <f>IF($E$15=0,K36,(1+$E$37)*K36)</f>
        <v/>
      </c>
      <c r="L37" s="200">
        <f>IF($E$15=0,L36,(1+$E$37)*L36)</f>
        <v/>
      </c>
      <c r="M37" s="200">
        <f>IF($E$15=0,M36,(1+$E$37)*M36)</f>
        <v/>
      </c>
      <c r="N37" s="200">
        <f>IF($E$15=0,N36,(1+$E$37)*N36)</f>
        <v/>
      </c>
      <c r="O37" s="200">
        <f>IF($E$15=0,O36,(1+$E$37)*O36)</f>
        <v/>
      </c>
      <c r="P37" s="200">
        <f>IF($E$15=0,P36,(1+$E$37)*P36)</f>
        <v/>
      </c>
      <c r="Q37" s="200">
        <f>IF($E$15=0,Q36,(1+$E$37)*Q36)</f>
        <v/>
      </c>
      <c r="R37" s="200">
        <f>IF($E$15=0,R36,(1+$E$37)*R36)</f>
        <v/>
      </c>
      <c r="S37" s="200">
        <f>IF($E$15=0,S36,(1+$E$37)*S36)</f>
        <v/>
      </c>
      <c r="T37" s="182">
        <f>SUM(H37:S37)</f>
        <v/>
      </c>
    </row>
    <row r="38" outlineLevel="1" ht="12.75" customHeight="1" s="131">
      <c r="A38" s="145" t="n"/>
      <c r="C38" s="137" t="inlineStr">
        <is>
          <t>Year Three Growth</t>
        </is>
      </c>
      <c r="D38" s="145" t="n"/>
      <c r="E38" s="198" t="n">
        <v>0.1</v>
      </c>
      <c r="F38" s="189" t="n"/>
      <c r="G38" s="193" t="n"/>
      <c r="H38" s="200">
        <f>IF($E$16=0,H37,(1+$E$38)*H37)</f>
        <v/>
      </c>
      <c r="I38" s="200">
        <f>IF($E$16=0,I37,(1+$E$38)*I37)</f>
        <v/>
      </c>
      <c r="J38" s="200">
        <f>IF($E$16=0,J37,(1+$E$38)*J37)</f>
        <v/>
      </c>
      <c r="K38" s="200">
        <f>IF($E$16=0,K37,(1+$E$38)*K37)</f>
        <v/>
      </c>
      <c r="L38" s="200">
        <f>IF($E$16=0,L37,(1+$E$38)*L37)</f>
        <v/>
      </c>
      <c r="M38" s="200">
        <f>IF($E$16=0,M37,(1+$E$38)*M37)</f>
        <v/>
      </c>
      <c r="N38" s="200">
        <f>IF($E$16=0,N37,(1+$E$38)*N37)</f>
        <v/>
      </c>
      <c r="O38" s="200">
        <f>IF($E$16=0,O37,(1+$E$38)*O37)</f>
        <v/>
      </c>
      <c r="P38" s="200">
        <f>IF($E$16=0,P37,(1+$E$38)*P37)</f>
        <v/>
      </c>
      <c r="Q38" s="200">
        <f>IF($E$16=0,Q37,(1+$E$38)*Q37)</f>
        <v/>
      </c>
      <c r="R38" s="200">
        <f>IF($E$16=0,R37,(1+$E$38)*R37)</f>
        <v/>
      </c>
      <c r="S38" s="200">
        <f>IF($E$16=0,S37,(1+$E$38)*S37)</f>
        <v/>
      </c>
      <c r="T38" s="182">
        <f>SUM(H38:S38)</f>
        <v/>
      </c>
    </row>
    <row r="39" outlineLevel="2" ht="12.75" customHeight="1" s="131">
      <c r="A39" s="145" t="n"/>
      <c r="B39" s="137" t="inlineStr">
        <is>
          <t>Fixed Expense Allocation</t>
        </is>
      </c>
      <c r="D39" s="145" t="n"/>
      <c r="E39" s="212">
        <f>1-('4. Projected Sales Forecast'!E17+'4. Projected Sales Forecast'!E39+'5. Projected Sales Forecast (2)'!E17)</f>
        <v/>
      </c>
      <c r="F39" s="189" t="n"/>
      <c r="G39" s="193" t="n"/>
      <c r="H39" s="156" t="n"/>
      <c r="I39" s="156" t="n"/>
      <c r="J39" s="156" t="n"/>
      <c r="K39" s="156" t="n"/>
      <c r="L39" s="156" t="n"/>
      <c r="M39" s="156" t="n"/>
      <c r="N39" s="156" t="n"/>
      <c r="O39" s="156" t="n"/>
      <c r="P39" s="156" t="n"/>
      <c r="Q39" s="156" t="n"/>
      <c r="R39" s="156" t="n"/>
      <c r="S39" s="156" t="n"/>
      <c r="T39" s="182" t="n"/>
    </row>
    <row r="40" outlineLevel="2" ht="12.75" customHeight="1" s="131">
      <c r="A40" s="145" t="n"/>
      <c r="D40" s="145" t="n"/>
      <c r="E40" s="189" t="n"/>
      <c r="F40" s="189" t="n"/>
      <c r="G40" s="189" t="n"/>
      <c r="H40" s="145" t="n"/>
      <c r="I40" s="145" t="n"/>
      <c r="J40" s="145" t="n"/>
      <c r="K40" s="145" t="n"/>
      <c r="L40" s="145" t="n"/>
      <c r="M40" s="145" t="n"/>
      <c r="N40" s="145" t="n"/>
      <c r="O40" s="145" t="n"/>
      <c r="P40" s="145" t="n"/>
      <c r="Q40" s="145" t="n"/>
      <c r="R40" s="145" t="n"/>
      <c r="S40" s="145" t="n"/>
      <c r="T40" s="145" t="n"/>
    </row>
    <row r="41" outlineLevel="2" ht="12.75" customHeight="1" s="131">
      <c r="A41" s="145" t="n"/>
      <c r="B41" s="137" t="inlineStr">
        <is>
          <t>Projected Revenue</t>
        </is>
      </c>
      <c r="D41" s="145" t="n"/>
      <c r="E41" s="201">
        <f>T36*E31</f>
        <v/>
      </c>
      <c r="F41" s="193" t="n"/>
      <c r="G41" s="189" t="n"/>
      <c r="H41" s="145" t="n"/>
      <c r="I41" s="145" t="n"/>
      <c r="J41" s="145" t="n"/>
      <c r="K41" s="145" t="n"/>
      <c r="L41" s="145" t="n"/>
      <c r="M41" s="145" t="n"/>
      <c r="N41" s="145" t="n"/>
      <c r="O41" s="145" t="n"/>
      <c r="P41" s="145" t="n"/>
      <c r="Q41" s="145" t="n"/>
      <c r="R41" s="145" t="n"/>
      <c r="S41" s="145" t="n"/>
      <c r="T41" s="145" t="n"/>
    </row>
    <row r="42" outlineLevel="2" ht="12.75" customHeight="1" s="131">
      <c r="A42" s="145" t="n"/>
      <c r="B42" s="137" t="inlineStr">
        <is>
          <t>Variable Costs</t>
        </is>
      </c>
      <c r="D42" s="145" t="n"/>
      <c r="E42" s="202">
        <f>E32*T36</f>
        <v/>
      </c>
      <c r="F42" s="193" t="n"/>
      <c r="G42" s="189" t="n"/>
      <c r="H42" s="145" t="n"/>
      <c r="I42" s="145" t="n"/>
      <c r="J42" s="145" t="n"/>
      <c r="K42" s="145" t="n"/>
      <c r="L42" s="145" t="n"/>
      <c r="M42" s="145" t="n"/>
      <c r="N42" s="145" t="n"/>
      <c r="O42" s="145" t="n"/>
      <c r="P42" s="145" t="n"/>
      <c r="Q42" s="145" t="n"/>
      <c r="R42" s="145" t="n"/>
      <c r="S42" s="145" t="n"/>
      <c r="T42" s="145" t="n"/>
    </row>
    <row r="43" outlineLevel="2" ht="12.75" customHeight="1" s="131">
      <c r="A43" s="137" t="n"/>
      <c r="B43" s="137" t="inlineStr">
        <is>
          <t>Gross Margin</t>
        </is>
      </c>
      <c r="D43" s="145" t="n"/>
      <c r="E43" s="203">
        <f>E41-E42</f>
        <v/>
      </c>
      <c r="F43" s="193" t="n"/>
      <c r="G43" s="189" t="n"/>
      <c r="H43" s="145" t="n"/>
      <c r="I43" s="145" t="n"/>
      <c r="J43" s="145" t="n"/>
      <c r="K43" s="145" t="n"/>
      <c r="L43" s="145" t="n"/>
      <c r="M43" s="145" t="n"/>
      <c r="N43" s="145" t="n"/>
      <c r="O43" s="145" t="n"/>
      <c r="P43" s="145" t="n"/>
      <c r="Q43" s="145" t="n"/>
      <c r="R43" s="145" t="n"/>
      <c r="S43" s="145" t="n"/>
      <c r="T43" s="145" t="n"/>
    </row>
    <row r="44" outlineLevel="2" ht="12.75" customHeight="1" s="131">
      <c r="A44" s="137" t="n"/>
      <c r="B44" s="137" t="inlineStr">
        <is>
          <t>Fixed Expenses</t>
        </is>
      </c>
      <c r="D44" s="145" t="n"/>
      <c r="E44" s="203">
        <f>E39*'3. Fixed Operating Expenses'!I41</f>
        <v/>
      </c>
      <c r="F44" s="193" t="n"/>
      <c r="G44" s="193" t="n"/>
      <c r="H44" s="145" t="n"/>
      <c r="I44" s="145" t="n"/>
      <c r="J44" s="145" t="n"/>
      <c r="K44" s="145" t="n"/>
      <c r="L44" s="145" t="n"/>
      <c r="M44" s="145" t="n"/>
      <c r="N44" s="145" t="n"/>
      <c r="O44" s="145" t="n"/>
      <c r="P44" s="145" t="n"/>
      <c r="Q44" s="145" t="n"/>
      <c r="R44" s="145" t="n"/>
      <c r="S44" s="145" t="n"/>
      <c r="T44" s="145" t="n"/>
    </row>
    <row r="45" outlineLevel="2" ht="12.75" customHeight="1" s="131">
      <c r="A45" s="137" t="n"/>
      <c r="B45" s="137" t="inlineStr">
        <is>
          <t>Profit</t>
        </is>
      </c>
      <c r="D45" s="145" t="n"/>
      <c r="E45" s="204">
        <f>E43-E44</f>
        <v/>
      </c>
      <c r="F45" s="193">
        <f>IF(E31&gt;0,E45/E41,0)</f>
        <v/>
      </c>
      <c r="G45" s="193" t="n"/>
      <c r="H45" s="145" t="n"/>
      <c r="I45" s="145" t="n"/>
      <c r="J45" s="145" t="n"/>
      <c r="K45" s="145" t="n"/>
      <c r="L45" s="145" t="n"/>
      <c r="M45" s="145" t="n"/>
      <c r="N45" s="145" t="n"/>
      <c r="O45" s="145" t="n"/>
      <c r="P45" s="145" t="n"/>
      <c r="Q45" s="145" t="n"/>
      <c r="R45" s="145" t="n"/>
      <c r="S45" s="145" t="n"/>
      <c r="T45" s="145" t="n"/>
    </row>
    <row r="46" outlineLevel="2" ht="12.75" customHeight="1" s="131">
      <c r="A46" s="137" t="n"/>
      <c r="D46" s="145" t="n"/>
      <c r="E46" s="189" t="n"/>
      <c r="F46" s="189" t="n"/>
      <c r="G46" s="189" t="n"/>
      <c r="H46" s="145" t="n"/>
      <c r="I46" s="145" t="n"/>
      <c r="J46" s="145" t="n"/>
      <c r="K46" s="145" t="n"/>
      <c r="L46" s="145" t="n"/>
      <c r="M46" s="145" t="n"/>
      <c r="N46" s="145" t="n"/>
      <c r="O46" s="145" t="n"/>
      <c r="P46" s="145" t="n"/>
      <c r="Q46" s="145" t="n"/>
      <c r="R46" s="145" t="n"/>
      <c r="S46" s="145" t="n"/>
      <c r="T46" s="145" t="n"/>
    </row>
    <row r="47" outlineLevel="2" ht="12.75" customHeight="1" s="131">
      <c r="A47" s="137" t="n"/>
      <c r="B47" s="137" t="inlineStr">
        <is>
          <t>Breakeven Sales Revenue</t>
        </is>
      </c>
      <c r="D47" s="145" t="n"/>
      <c r="E47" s="195">
        <f>IF(E31&gt;0,E44/F33,0)</f>
        <v/>
      </c>
      <c r="F47" s="189" t="n"/>
      <c r="G47" s="189" t="n"/>
      <c r="H47" s="156" t="n"/>
      <c r="I47" s="156" t="n"/>
      <c r="J47" s="156" t="n"/>
      <c r="K47" s="156" t="n"/>
      <c r="L47" s="156" t="n"/>
      <c r="M47" s="156" t="n"/>
      <c r="N47" s="156" t="n"/>
      <c r="O47" s="156" t="n"/>
      <c r="P47" s="156" t="n"/>
      <c r="Q47" s="156" t="n"/>
      <c r="R47" s="156" t="n"/>
      <c r="S47" s="156" t="n"/>
      <c r="T47" s="182" t="n"/>
    </row>
    <row r="48" outlineLevel="2" ht="12.75" customHeight="1" s="131">
      <c r="A48" s="137" t="n"/>
      <c r="B48" s="137" t="inlineStr">
        <is>
          <t>Breakeven Sales Units</t>
        </is>
      </c>
      <c r="D48" s="145" t="n"/>
      <c r="E48" s="203">
        <f>IF(E31&gt;0,E47/E31,0)</f>
        <v/>
      </c>
      <c r="F48" s="193" t="n"/>
      <c r="G48" s="193" t="n"/>
      <c r="H48" s="156" t="n"/>
      <c r="I48" s="156" t="n"/>
      <c r="J48" s="156" t="n"/>
      <c r="K48" s="156" t="n"/>
      <c r="L48" s="156" t="n"/>
      <c r="M48" s="156" t="n"/>
      <c r="N48" s="156" t="n"/>
      <c r="O48" s="156" t="n"/>
      <c r="P48" s="156" t="n"/>
      <c r="Q48" s="156" t="n"/>
      <c r="R48" s="156" t="n"/>
      <c r="S48" s="156" t="n"/>
      <c r="T48" s="182" t="n"/>
    </row>
    <row r="49" ht="12.75" customHeight="1" s="131">
      <c r="A49" s="137" t="n"/>
      <c r="B49" s="137" t="n"/>
      <c r="C49" s="137" t="n"/>
      <c r="D49" s="145" t="n"/>
      <c r="E49" s="203" t="n"/>
      <c r="F49" s="193" t="n"/>
      <c r="G49" s="193" t="n"/>
      <c r="H49" s="156" t="n"/>
      <c r="I49" s="156" t="n"/>
      <c r="J49" s="156" t="n"/>
      <c r="K49" s="156" t="n"/>
      <c r="L49" s="156" t="n"/>
      <c r="M49" s="156" t="n"/>
      <c r="N49" s="156" t="n"/>
      <c r="O49" s="156" t="n"/>
      <c r="P49" s="156" t="n"/>
      <c r="Q49" s="156" t="n"/>
      <c r="R49" s="156" t="n"/>
      <c r="S49" s="156" t="n"/>
      <c r="T49" s="182" t="n"/>
    </row>
    <row r="50" ht="12.75" customHeight="1" s="131">
      <c r="A50" s="137" t="n"/>
      <c r="B50" s="137" t="n"/>
      <c r="C50" s="137" t="n"/>
      <c r="D50" s="145" t="n"/>
      <c r="E50" s="203" t="n"/>
      <c r="F50" s="193" t="n"/>
      <c r="G50" s="193" t="n"/>
      <c r="H50" s="156" t="n"/>
      <c r="I50" s="156" t="n"/>
      <c r="J50" s="156" t="n"/>
      <c r="K50" s="156" t="n"/>
      <c r="L50" s="156" t="n"/>
      <c r="M50" s="156" t="n"/>
      <c r="N50" s="156" t="n"/>
      <c r="O50" s="156" t="n"/>
      <c r="P50" s="156" t="n"/>
      <c r="Q50" s="156" t="n"/>
      <c r="R50" s="156" t="n"/>
      <c r="S50" s="156" t="n"/>
      <c r="T50" s="182" t="n"/>
    </row>
    <row r="51" ht="12.75" customHeight="1" s="131">
      <c r="A51" s="167" t="n"/>
      <c r="B51" s="168" t="n"/>
      <c r="C51" s="168" t="n"/>
      <c r="D51" s="167" t="n"/>
      <c r="E51" s="205" t="n"/>
      <c r="F51" s="206" t="n"/>
      <c r="G51" s="206" t="n"/>
      <c r="H51" s="207" t="n"/>
      <c r="I51" s="207" t="n"/>
      <c r="J51" s="207" t="n"/>
      <c r="K51" s="207" t="n"/>
      <c r="L51" s="207" t="n"/>
      <c r="M51" s="207" t="n"/>
      <c r="N51" s="207" t="n"/>
      <c r="O51" s="207" t="n"/>
      <c r="P51" s="207" t="n"/>
      <c r="Q51" s="207" t="n"/>
      <c r="R51" s="207" t="n"/>
      <c r="S51" s="207" t="n"/>
      <c r="T51" s="208" t="n"/>
    </row>
    <row r="52" ht="12.75" customHeight="1" s="131">
      <c r="A52" s="167" t="n"/>
      <c r="B52" s="168" t="n"/>
      <c r="C52" s="168" t="n"/>
      <c r="D52" s="167" t="n"/>
      <c r="E52" s="209" t="n"/>
      <c r="F52" s="205" t="n"/>
      <c r="G52" s="205" t="n"/>
      <c r="H52" s="167" t="n"/>
      <c r="I52" s="167" t="n"/>
      <c r="J52" s="167" t="n"/>
      <c r="K52" s="167" t="n"/>
      <c r="L52" s="167" t="n"/>
      <c r="M52" s="167" t="n"/>
      <c r="N52" s="167" t="n"/>
      <c r="O52" s="167" t="n"/>
      <c r="P52" s="167" t="n"/>
      <c r="Q52" s="167" t="n"/>
      <c r="R52" s="167" t="n"/>
      <c r="S52" s="167" t="n"/>
      <c r="T52" s="167" t="n"/>
    </row>
    <row r="53" ht="12.75" customHeight="1" s="131">
      <c r="A53" s="167" t="n"/>
      <c r="B53" s="168" t="n"/>
      <c r="C53" s="168" t="n"/>
      <c r="D53" s="167" t="n"/>
      <c r="E53" s="210" t="n"/>
      <c r="F53" s="205" t="n"/>
      <c r="G53" s="205" t="n"/>
      <c r="H53" s="167" t="n"/>
      <c r="I53" s="167" t="n"/>
      <c r="J53" s="167" t="n"/>
      <c r="K53" s="167" t="n"/>
      <c r="L53" s="167" t="n"/>
      <c r="M53" s="167" t="n"/>
      <c r="N53" s="167" t="n"/>
      <c r="O53" s="167" t="n"/>
      <c r="P53" s="167" t="n"/>
      <c r="Q53" s="167" t="n"/>
      <c r="R53" s="167" t="n"/>
      <c r="S53" s="167" t="n"/>
      <c r="T53" s="167" t="n"/>
    </row>
    <row r="54" ht="12.75" customHeight="1" s="131">
      <c r="A54" s="167" t="n"/>
      <c r="B54" s="168" t="n"/>
      <c r="C54" s="168" t="n"/>
      <c r="D54" s="167" t="n"/>
      <c r="E54" s="211" t="n"/>
      <c r="F54" s="205" t="n"/>
      <c r="G54" s="205" t="n"/>
      <c r="H54" s="167" t="n"/>
      <c r="I54" s="167" t="n"/>
      <c r="J54" s="167" t="n"/>
      <c r="K54" s="167" t="n"/>
      <c r="L54" s="167" t="n"/>
      <c r="M54" s="167" t="n"/>
      <c r="N54" s="167" t="n"/>
      <c r="O54" s="167" t="n"/>
      <c r="P54" s="167" t="n"/>
      <c r="Q54" s="167" t="n"/>
      <c r="R54" s="167" t="n"/>
      <c r="S54" s="167" t="n"/>
      <c r="T54" s="167" t="n"/>
    </row>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7.xml><?xml version="1.0" encoding="utf-8"?>
<worksheet xmlns="http://schemas.openxmlformats.org/spreadsheetml/2006/main">
  <sheetPr filterMode="0">
    <tabColor rgb="FFFFFF99"/>
    <outlinePr summaryBelow="1" summaryRight="1"/>
    <pageSetUpPr fitToPage="0"/>
  </sheetPr>
  <dimension ref="A1:R52"/>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G8" activeCellId="0" sqref="G8"/>
    </sheetView>
  </sheetViews>
  <sheetFormatPr baseColWidth="8" defaultColWidth="9.15234375" defaultRowHeight="12" zeroHeight="0" outlineLevelRow="0"/>
  <cols>
    <col width="2.99" customWidth="1" style="137" min="1" max="4"/>
    <col width="20.74" customWidth="1" style="130" min="5" max="5"/>
    <col width="5.71" customWidth="1" style="130" min="6" max="6"/>
    <col width="18.74" customWidth="1" style="130" min="7" max="7"/>
    <col width="8.720000000000001" customWidth="1" style="130" min="8" max="8"/>
    <col width="18.74" customWidth="1" style="130" min="9" max="11"/>
    <col width="5.71" customWidth="1" style="130" min="12" max="12"/>
  </cols>
  <sheetData>
    <row r="1" ht="15.75" customHeight="1" s="131">
      <c r="A1" s="142">
        <f>'1. Required Start-Up Funds'!A1</f>
        <v/>
      </c>
      <c r="Q1" s="143">
        <f>NOW()</f>
        <v/>
      </c>
    </row>
    <row r="2" ht="15.75" customHeight="1" s="131">
      <c r="A2" s="142" t="inlineStr">
        <is>
          <t>Cash Receipts and Disbursements</t>
        </is>
      </c>
    </row>
    <row r="3" ht="12.75" customHeight="1" s="131">
      <c r="E3" s="137" t="n"/>
      <c r="F3" s="145" t="n"/>
      <c r="G3" s="145" t="n"/>
      <c r="H3" s="145" t="n"/>
      <c r="I3" s="145" t="n"/>
      <c r="J3" s="145" t="n"/>
      <c r="K3" s="145" t="n"/>
      <c r="L3" s="145" t="n"/>
      <c r="M3" s="145" t="n"/>
      <c r="N3" s="145" t="n"/>
      <c r="O3" s="145" t="n"/>
      <c r="P3" s="145" t="n"/>
      <c r="Q3" s="145" t="n"/>
    </row>
    <row r="4" ht="12.75" customHeight="1" s="131">
      <c r="E4" s="145" t="n"/>
      <c r="F4" s="145" t="n"/>
      <c r="G4" s="145" t="n"/>
      <c r="H4" s="145" t="n"/>
      <c r="I4" s="145" t="n"/>
      <c r="J4" s="145" t="n"/>
      <c r="K4" s="145" t="n"/>
      <c r="L4" s="145" t="n"/>
      <c r="M4" s="145" t="n"/>
      <c r="N4" s="145" t="n"/>
      <c r="O4" s="145" t="n"/>
      <c r="P4" s="145" t="n"/>
      <c r="Q4" s="145" t="n"/>
    </row>
    <row r="5" ht="12.75" customHeight="1" s="131">
      <c r="E5" s="145" t="n"/>
      <c r="F5" s="145" t="n"/>
      <c r="G5" s="145" t="n"/>
      <c r="H5" s="145" t="n"/>
      <c r="I5" s="145" t="n"/>
      <c r="J5" s="145" t="n"/>
      <c r="K5" s="145" t="n"/>
      <c r="L5" s="145" t="n"/>
      <c r="M5" s="145" t="n"/>
      <c r="N5" s="145" t="n"/>
      <c r="O5" s="145" t="n"/>
      <c r="P5" s="145" t="n"/>
      <c r="Q5" s="145" t="n"/>
    </row>
    <row r="6" ht="12.75" customHeight="1" s="131">
      <c r="A6" s="137" t="inlineStr">
        <is>
          <t>Accounts Receivable Collections</t>
        </is>
      </c>
      <c r="B6" s="137" t="n"/>
      <c r="C6" s="137" t="n"/>
      <c r="D6" s="137" t="n"/>
      <c r="E6" s="145" t="n"/>
      <c r="F6" s="140" t="n"/>
      <c r="G6" s="171" t="n"/>
      <c r="H6" s="140" t="n"/>
      <c r="I6" s="140" t="n"/>
      <c r="J6" s="140" t="n"/>
      <c r="K6" s="140" t="n"/>
      <c r="L6" s="145" t="n"/>
      <c r="M6" s="140" t="n"/>
      <c r="N6" s="145" t="n"/>
      <c r="O6" s="145" t="n"/>
      <c r="P6" s="145" t="n"/>
      <c r="Q6" s="145" t="n"/>
      <c r="R6" s="130" t="n"/>
    </row>
    <row r="7" ht="12.75" customHeight="1" s="131">
      <c r="A7" s="137" t="n"/>
      <c r="B7" s="137" t="inlineStr">
        <is>
          <t>Percent of Collections</t>
        </is>
      </c>
      <c r="C7" s="137" t="n"/>
      <c r="D7" s="137" t="n"/>
      <c r="E7" s="145" t="n"/>
      <c r="F7" s="145" t="n"/>
      <c r="G7" s="145" t="n"/>
      <c r="H7" s="145" t="n"/>
      <c r="I7" s="145" t="n"/>
      <c r="J7" s="145" t="n"/>
      <c r="K7" s="145" t="n"/>
      <c r="L7" s="145" t="n"/>
      <c r="M7" s="145" t="n"/>
      <c r="N7" s="145" t="n"/>
      <c r="O7" s="145" t="n"/>
      <c r="P7" s="145" t="n"/>
      <c r="Q7" s="145" t="n"/>
      <c r="R7" s="130" t="n"/>
    </row>
    <row r="8" ht="12.75" customHeight="1" s="131">
      <c r="A8" s="137" t="n"/>
      <c r="B8" s="137" t="n"/>
      <c r="C8" s="137" t="inlineStr">
        <is>
          <t>0 to 30 days</t>
        </is>
      </c>
      <c r="D8" s="137" t="n"/>
      <c r="E8" s="145" t="n"/>
      <c r="F8" s="145" t="n"/>
      <c r="G8" s="173" t="n">
        <v>1</v>
      </c>
      <c r="H8" s="145" t="n"/>
      <c r="I8" s="145" t="n"/>
      <c r="J8" s="159" t="n"/>
      <c r="K8" s="159" t="n"/>
      <c r="L8" s="145" t="n"/>
      <c r="M8" s="145" t="n"/>
      <c r="N8" s="145" t="n"/>
      <c r="O8" s="145" t="n"/>
      <c r="P8" s="145" t="n"/>
      <c r="Q8" s="145" t="n"/>
      <c r="R8" s="130" t="n"/>
    </row>
    <row r="9" ht="12.75" customHeight="1" s="131">
      <c r="A9" s="137" t="n"/>
      <c r="B9" s="137" t="n"/>
      <c r="C9" s="137" t="inlineStr">
        <is>
          <t>31 to 60 days</t>
        </is>
      </c>
      <c r="D9" s="137" t="n"/>
      <c r="E9" s="145" t="n"/>
      <c r="F9" s="145" t="n"/>
      <c r="G9" s="173" t="n">
        <v>0</v>
      </c>
      <c r="H9" s="145" t="n"/>
      <c r="I9" s="145" t="n"/>
      <c r="J9" s="145" t="n"/>
      <c r="K9" s="145" t="n"/>
      <c r="L9" s="145" t="n"/>
      <c r="M9" s="145" t="n"/>
      <c r="N9" s="145" t="n"/>
      <c r="O9" s="145" t="n"/>
      <c r="P9" s="145" t="n"/>
      <c r="Q9" s="145" t="n"/>
      <c r="R9" s="130" t="n"/>
    </row>
    <row r="10" ht="12.75" customHeight="1" s="131">
      <c r="A10" s="137" t="n"/>
      <c r="B10" s="137" t="n"/>
      <c r="C10" s="137" t="inlineStr">
        <is>
          <t>More than 60 days</t>
        </is>
      </c>
      <c r="D10" s="137" t="n"/>
      <c r="E10" s="145" t="n"/>
      <c r="F10" s="145" t="n"/>
      <c r="G10" s="213" t="n">
        <v>0</v>
      </c>
      <c r="H10" s="145" t="n"/>
      <c r="I10" s="145" t="n"/>
      <c r="J10" s="145" t="n"/>
      <c r="K10" s="145" t="n"/>
      <c r="L10" s="145" t="n"/>
      <c r="M10" s="145" t="n"/>
      <c r="N10" s="145" t="n"/>
      <c r="O10" s="145" t="n"/>
      <c r="P10" s="145" t="n"/>
      <c r="Q10" s="145" t="n"/>
      <c r="R10" s="130" t="n"/>
    </row>
    <row r="11" ht="12.75" customHeight="1" s="131">
      <c r="A11" s="137" t="n"/>
      <c r="B11" s="137" t="inlineStr">
        <is>
          <t>Total Collections Percentage</t>
        </is>
      </c>
      <c r="C11" s="137" t="n"/>
      <c r="D11" s="137" t="n"/>
      <c r="E11" s="145" t="n"/>
      <c r="F11" s="145" t="n"/>
      <c r="G11" s="214">
        <f>SUM(G8:G10)</f>
        <v/>
      </c>
      <c r="H11" s="149" t="n"/>
      <c r="I11" s="156" t="n"/>
      <c r="J11" s="156" t="n"/>
      <c r="K11" s="156" t="n"/>
      <c r="L11" s="145" t="n"/>
      <c r="M11" s="145" t="n"/>
      <c r="N11" s="145" t="n"/>
      <c r="O11" s="145" t="n"/>
      <c r="P11" s="145" t="n"/>
      <c r="Q11" s="145" t="n"/>
      <c r="R11" s="130" t="n"/>
    </row>
    <row r="12" ht="12.75" customHeight="1" s="131">
      <c r="A12" s="137" t="n"/>
      <c r="B12" s="137" t="n"/>
      <c r="C12" s="137" t="n"/>
      <c r="D12" s="137" t="n"/>
      <c r="E12" s="145" t="n"/>
      <c r="F12" s="145" t="n"/>
      <c r="G12" s="156" t="n"/>
      <c r="H12" s="156" t="n"/>
      <c r="I12" s="156" t="n"/>
      <c r="J12" s="156" t="n"/>
      <c r="K12" s="156" t="n"/>
      <c r="L12" s="145" t="n"/>
      <c r="M12" s="145" t="n"/>
      <c r="N12" s="145" t="n"/>
      <c r="O12" s="145" t="n"/>
      <c r="P12" s="145" t="n"/>
      <c r="Q12" s="145" t="n"/>
      <c r="R12" s="130" t="n"/>
    </row>
    <row r="13" ht="12.75" customHeight="1" s="131">
      <c r="A13" s="137" t="inlineStr">
        <is>
          <t>Accounts Payable Disbursements</t>
        </is>
      </c>
      <c r="B13" s="137" t="n"/>
      <c r="C13" s="137" t="n"/>
      <c r="D13" s="137" t="n"/>
      <c r="E13" s="145" t="n"/>
      <c r="F13" s="145" t="n"/>
      <c r="G13" s="156" t="n"/>
      <c r="H13" s="156" t="n"/>
      <c r="I13" s="156" t="n"/>
      <c r="J13" s="156" t="n"/>
      <c r="K13" s="156" t="n"/>
      <c r="L13" s="145" t="n"/>
      <c r="M13" s="145" t="n"/>
      <c r="N13" s="145" t="n"/>
      <c r="O13" s="145" t="n"/>
      <c r="P13" s="145" t="n"/>
      <c r="Q13" s="145" t="n"/>
      <c r="R13" s="130" t="n"/>
    </row>
    <row r="14" ht="12.75" customHeight="1" s="131">
      <c r="A14" s="137" t="n"/>
      <c r="B14" s="137" t="inlineStr">
        <is>
          <t>Number of Days to Pay Suppliers</t>
        </is>
      </c>
      <c r="C14" s="137" t="n"/>
      <c r="D14" s="137" t="n"/>
      <c r="E14" s="145" t="n"/>
      <c r="F14" s="145" t="n"/>
      <c r="G14" s="156" t="n"/>
      <c r="H14" s="156" t="n"/>
      <c r="I14" s="156" t="n"/>
      <c r="J14" s="156" t="n"/>
      <c r="K14" s="156" t="n"/>
      <c r="L14" s="145" t="n"/>
      <c r="M14" s="145" t="n"/>
      <c r="N14" s="145" t="n"/>
      <c r="O14" s="145" t="n"/>
      <c r="P14" s="145" t="n"/>
      <c r="Q14" s="145" t="n"/>
      <c r="R14" s="130" t="n"/>
    </row>
    <row r="15" ht="12.75" customHeight="1" s="131">
      <c r="A15" s="137" t="n"/>
      <c r="B15" s="137" t="n"/>
      <c r="C15" s="137" t="inlineStr">
        <is>
          <t>0 to 30 days</t>
        </is>
      </c>
      <c r="D15" s="137" t="n"/>
      <c r="E15" s="145" t="n"/>
      <c r="F15" s="145" t="n"/>
      <c r="G15" s="173" t="n">
        <v>1</v>
      </c>
      <c r="H15" s="156" t="n"/>
      <c r="I15" s="156" t="n"/>
      <c r="J15" s="156" t="n"/>
      <c r="K15" s="156" t="n"/>
      <c r="L15" s="145" t="n"/>
      <c r="M15" s="145" t="n"/>
      <c r="N15" s="145" t="n"/>
      <c r="O15" s="145" t="n"/>
      <c r="P15" s="145" t="n"/>
      <c r="Q15" s="145" t="n"/>
      <c r="R15" s="130" t="n"/>
    </row>
    <row r="16" ht="12.75" customHeight="1" s="131">
      <c r="A16" s="137" t="n"/>
      <c r="B16" s="137" t="n"/>
      <c r="C16" s="137" t="inlineStr">
        <is>
          <t>31 to 60 days</t>
        </is>
      </c>
      <c r="D16" s="137" t="n"/>
      <c r="E16" s="145" t="n"/>
      <c r="F16" s="145" t="n"/>
      <c r="G16" s="173" t="n">
        <v>0</v>
      </c>
      <c r="H16" s="156" t="n"/>
      <c r="I16" s="156" t="n"/>
      <c r="J16" s="156" t="n"/>
      <c r="K16" s="156" t="n"/>
      <c r="L16" s="145" t="n"/>
      <c r="M16" s="145" t="n"/>
      <c r="N16" s="145" t="n"/>
      <c r="O16" s="145" t="n"/>
      <c r="P16" s="145" t="n"/>
      <c r="Q16" s="145" t="n"/>
      <c r="R16" s="130" t="n"/>
    </row>
    <row r="17" ht="12.75" customHeight="1" s="131">
      <c r="A17" s="137" t="n"/>
      <c r="B17" s="137" t="n"/>
      <c r="C17" s="137" t="inlineStr">
        <is>
          <t>More than 60 days</t>
        </is>
      </c>
      <c r="D17" s="137" t="n"/>
      <c r="E17" s="145" t="n"/>
      <c r="F17" s="145" t="n"/>
      <c r="G17" s="213" t="n">
        <v>0</v>
      </c>
      <c r="H17" s="156" t="n"/>
      <c r="I17" s="156" t="n"/>
      <c r="J17" s="156" t="n"/>
      <c r="K17" s="156" t="n"/>
      <c r="L17" s="145" t="n"/>
      <c r="M17" s="145" t="n"/>
      <c r="N17" s="145" t="n"/>
      <c r="O17" s="145" t="n"/>
      <c r="P17" s="145" t="n"/>
      <c r="Q17" s="145" t="n"/>
      <c r="R17" s="130" t="n"/>
    </row>
    <row r="18" ht="12.75" customHeight="1" s="131">
      <c r="A18" s="137" t="n"/>
      <c r="B18" s="137" t="inlineStr">
        <is>
          <t>Total Disbursements Percentage</t>
        </is>
      </c>
      <c r="C18" s="137" t="n"/>
      <c r="D18" s="137" t="n"/>
      <c r="E18" s="145" t="n"/>
      <c r="F18" s="145" t="n"/>
      <c r="G18" s="214">
        <f>SUM(G15:G17)</f>
        <v/>
      </c>
      <c r="H18" s="156" t="n"/>
      <c r="I18" s="156" t="n"/>
      <c r="J18" s="156" t="n"/>
      <c r="K18" s="156" t="n"/>
      <c r="L18" s="145" t="n"/>
      <c r="M18" s="145" t="n"/>
      <c r="N18" s="145" t="n"/>
      <c r="O18" s="145" t="n"/>
      <c r="P18" s="145" t="n"/>
      <c r="Q18" s="145" t="n"/>
      <c r="R18" s="130" t="n"/>
    </row>
    <row r="19" ht="12.75" customHeight="1" s="131">
      <c r="A19" s="137" t="n"/>
      <c r="B19" s="137" t="n"/>
      <c r="C19" s="137" t="n"/>
      <c r="D19" s="137" t="n"/>
      <c r="E19" s="145" t="n"/>
      <c r="F19" s="145" t="n"/>
      <c r="G19" s="156" t="n"/>
      <c r="H19" s="156" t="n"/>
      <c r="I19" s="156" t="n"/>
      <c r="J19" s="156" t="n"/>
      <c r="K19" s="156" t="n"/>
      <c r="L19" s="145" t="n"/>
      <c r="M19" s="145" t="n"/>
      <c r="N19" s="145" t="n"/>
      <c r="O19" s="145" t="n"/>
      <c r="P19" s="145" t="n"/>
      <c r="Q19" s="145" t="n"/>
      <c r="R19" s="130" t="n"/>
    </row>
    <row r="20" ht="12.75" customHeight="1" s="131">
      <c r="A20" s="137" t="inlineStr">
        <is>
          <t>Line of Credit Assumptions</t>
        </is>
      </c>
      <c r="B20" s="137" t="n"/>
      <c r="C20" s="137" t="n"/>
      <c r="D20" s="137" t="n"/>
      <c r="E20" s="145" t="n"/>
      <c r="F20" s="145" t="n"/>
      <c r="G20" s="156" t="n"/>
      <c r="H20" s="156" t="n"/>
      <c r="I20" s="156" t="n"/>
      <c r="J20" s="156" t="n"/>
      <c r="K20" s="156" t="n"/>
      <c r="L20" s="145" t="n"/>
      <c r="M20" s="145" t="n"/>
      <c r="N20" s="145" t="n"/>
      <c r="O20" s="145" t="n"/>
      <c r="P20" s="145" t="n"/>
      <c r="Q20" s="145" t="n"/>
      <c r="R20" s="130" t="n"/>
    </row>
    <row r="21" ht="12.75" customHeight="1" s="131">
      <c r="A21" s="137" t="n"/>
      <c r="B21" s="137" t="inlineStr">
        <is>
          <t>Desired Minimum Cash Balance</t>
        </is>
      </c>
      <c r="C21" s="137" t="n"/>
      <c r="D21" s="137" t="n"/>
      <c r="E21" s="145" t="n"/>
      <c r="F21" s="145" t="n"/>
      <c r="G21" s="177" t="n">
        <v>0</v>
      </c>
      <c r="H21" s="156" t="n"/>
      <c r="I21" s="156" t="n"/>
      <c r="J21" s="156" t="n"/>
      <c r="K21" s="156" t="n"/>
      <c r="L21" s="145" t="n"/>
      <c r="M21" s="145" t="n"/>
      <c r="N21" s="145" t="n"/>
      <c r="O21" s="145" t="n"/>
      <c r="P21" s="145" t="n"/>
      <c r="Q21" s="145" t="n"/>
      <c r="R21" s="130" t="n"/>
    </row>
    <row r="22" ht="12.75" customHeight="1" s="131">
      <c r="A22" s="137" t="n"/>
      <c r="B22" s="137" t="inlineStr">
        <is>
          <t>Line of Credit Interest Rate</t>
        </is>
      </c>
      <c r="C22" s="137" t="n"/>
      <c r="D22" s="137" t="n"/>
      <c r="E22" s="145" t="n"/>
      <c r="F22" s="145" t="n"/>
      <c r="G22" s="173" t="n">
        <v>0.09</v>
      </c>
      <c r="H22" s="156" t="n"/>
      <c r="I22" s="156" t="n"/>
      <c r="J22" s="156" t="n"/>
      <c r="K22" s="156" t="n"/>
      <c r="L22" s="145" t="n"/>
      <c r="M22" s="145" t="n"/>
      <c r="N22" s="145" t="n"/>
      <c r="O22" s="145" t="n"/>
      <c r="P22" s="145" t="n"/>
      <c r="Q22" s="145" t="n"/>
      <c r="R22" s="130" t="n"/>
    </row>
    <row r="23" ht="12.75" customHeight="1" s="131">
      <c r="A23" s="137" t="n"/>
      <c r="B23" s="137" t="n"/>
      <c r="C23" s="137" t="n"/>
      <c r="D23" s="137" t="n"/>
      <c r="E23" s="145" t="n"/>
      <c r="F23" s="176" t="n"/>
      <c r="G23" s="156" t="n"/>
      <c r="H23" s="156" t="n"/>
      <c r="I23" s="156" t="n"/>
      <c r="J23" s="215" t="n"/>
      <c r="K23" s="215" t="n"/>
      <c r="L23" s="145" t="n"/>
      <c r="M23" s="145" t="n"/>
      <c r="N23" s="145" t="n"/>
      <c r="O23" s="145" t="n"/>
      <c r="P23" s="145" t="n"/>
      <c r="Q23" s="145" t="n"/>
      <c r="R23" s="130" t="n"/>
    </row>
    <row r="24" ht="12.75" customHeight="1" s="131">
      <c r="A24" s="137" t="inlineStr">
        <is>
          <t>Income Tax Assumptions</t>
        </is>
      </c>
      <c r="B24" s="137" t="n"/>
      <c r="C24" s="137" t="n"/>
      <c r="D24" s="137" t="n"/>
      <c r="E24" s="145" t="n"/>
      <c r="F24" s="176" t="n"/>
      <c r="G24" s="156" t="n"/>
      <c r="H24" s="156" t="n"/>
      <c r="I24" s="156" t="n"/>
      <c r="J24" s="215" t="n"/>
      <c r="K24" s="215" t="n"/>
      <c r="L24" s="145" t="n"/>
      <c r="M24" s="145" t="n"/>
      <c r="N24" s="145" t="n"/>
      <c r="O24" s="145" t="n"/>
      <c r="P24" s="145" t="n"/>
      <c r="Q24" s="145" t="n"/>
      <c r="R24" s="130" t="n"/>
    </row>
    <row r="25" ht="12.75" customHeight="1" s="131">
      <c r="A25" s="137" t="n"/>
      <c r="B25" s="137" t="inlineStr">
        <is>
          <t>Effective Income Tax Rate</t>
        </is>
      </c>
      <c r="C25" s="137" t="n"/>
      <c r="D25" s="137" t="n"/>
      <c r="E25" s="145" t="n"/>
      <c r="F25" s="178" t="n"/>
      <c r="G25" s="160" t="n">
        <v>0</v>
      </c>
      <c r="H25" s="156" t="n"/>
      <c r="I25" s="156" t="n"/>
      <c r="J25" s="215" t="n"/>
      <c r="K25" s="215" t="n"/>
      <c r="L25" s="145" t="n"/>
      <c r="M25" s="145" t="n"/>
      <c r="N25" s="145" t="n"/>
      <c r="O25" s="145" t="n"/>
      <c r="P25" s="145" t="n"/>
      <c r="Q25" s="145" t="n"/>
      <c r="R25" s="130" t="n"/>
    </row>
    <row r="26" ht="12.75" customHeight="1" s="131">
      <c r="A26" s="137" t="n"/>
      <c r="B26" s="137" t="n"/>
      <c r="C26" s="137" t="n"/>
      <c r="D26" s="137" t="n"/>
      <c r="E26" s="145" t="n"/>
      <c r="F26" s="145" t="n"/>
      <c r="G26" s="156" t="n"/>
      <c r="H26" s="156" t="n"/>
      <c r="I26" s="156" t="n"/>
      <c r="J26" s="215">
        <f>IF(G28=0,0,(('1. Required Start-Up Funds'!G29-'1. Required Start-Up Funds'!E28-'1. Required Start-Up Funds'!E20-'1. Required Start-Up Funds'!E27)/'6. Cash Receipts-Disbursements'!G28))</f>
        <v/>
      </c>
      <c r="K26" s="215">
        <f>J26/12</f>
        <v/>
      </c>
      <c r="L26" s="145" t="n"/>
      <c r="M26" s="145" t="n"/>
      <c r="N26" s="145" t="n"/>
      <c r="O26" s="145" t="n"/>
      <c r="P26" s="145" t="n"/>
      <c r="Q26" s="145" t="n"/>
      <c r="R26" s="130" t="n"/>
    </row>
    <row r="27" ht="12.75" customHeight="1" s="131">
      <c r="A27" s="137" t="inlineStr">
        <is>
          <t>Amortization of Start-Up Expenses</t>
        </is>
      </c>
      <c r="B27" s="137" t="n"/>
      <c r="C27" s="137" t="n"/>
      <c r="D27" s="137" t="n"/>
      <c r="E27" s="145" t="n"/>
      <c r="F27" s="145" t="n"/>
      <c r="G27" s="156" t="n"/>
      <c r="H27" s="156" t="n"/>
      <c r="I27" s="156" t="n"/>
      <c r="J27" s="215">
        <f>IF(G28=0,0,('1. Required Start-Up Funds'!E27/'6. Cash Receipts-Disbursements'!G28))</f>
        <v/>
      </c>
      <c r="K27" s="215">
        <f>J27/12</f>
        <v/>
      </c>
      <c r="L27" s="145" t="n"/>
      <c r="M27" s="145" t="n"/>
      <c r="N27" s="145" t="n"/>
      <c r="O27" s="145" t="n"/>
      <c r="P27" s="145" t="n"/>
      <c r="Q27" s="145" t="n"/>
      <c r="R27" s="130" t="n"/>
    </row>
    <row r="28" ht="12.75" customHeight="1" s="131">
      <c r="A28" s="137" t="n"/>
      <c r="B28" s="137" t="inlineStr">
        <is>
          <t>Amortization Period in Years</t>
        </is>
      </c>
      <c r="C28" s="137" t="n"/>
      <c r="D28" s="137" t="n"/>
      <c r="E28" s="145" t="n"/>
      <c r="F28" s="176" t="n"/>
      <c r="G28" s="153" t="n">
        <v>3</v>
      </c>
      <c r="H28" s="156" t="n"/>
      <c r="I28" s="156" t="n"/>
      <c r="J28" s="215" t="n"/>
      <c r="K28" s="215">
        <f>K26+K27</f>
        <v/>
      </c>
      <c r="L28" s="145" t="n"/>
      <c r="M28" s="145" t="n"/>
      <c r="N28" s="145" t="n"/>
      <c r="O28" s="145" t="n"/>
      <c r="P28" s="145" t="n"/>
      <c r="Q28" s="145" t="n"/>
      <c r="R28" s="130" t="n"/>
    </row>
    <row r="29" ht="12.75" customHeight="1" s="131">
      <c r="A29" s="137" t="n"/>
      <c r="B29" s="137" t="n"/>
      <c r="C29" s="137" t="n"/>
      <c r="D29" s="137" t="n"/>
      <c r="E29" s="145" t="n"/>
      <c r="F29" s="178" t="n"/>
      <c r="G29" s="156" t="n"/>
      <c r="H29" s="156" t="n"/>
      <c r="I29" s="156" t="n"/>
      <c r="J29" s="215" t="n"/>
      <c r="K29" s="215" t="n"/>
      <c r="L29" s="145" t="n"/>
      <c r="M29" s="145" t="n"/>
      <c r="N29" s="145" t="n"/>
      <c r="O29" s="145" t="n"/>
      <c r="P29" s="145" t="n"/>
      <c r="Q29" s="145" t="n"/>
      <c r="R29" s="130" t="n"/>
    </row>
    <row r="30" ht="12.75" customHeight="1" s="131">
      <c r="A30" s="137" t="n"/>
      <c r="B30" s="137" t="n"/>
      <c r="C30" s="137" t="n"/>
      <c r="D30" s="137" t="n"/>
      <c r="E30" s="145" t="n"/>
      <c r="F30" s="145" t="n"/>
      <c r="G30" s="156" t="n"/>
      <c r="H30" s="156" t="n"/>
      <c r="I30" s="156" t="n"/>
      <c r="J30" s="156" t="n"/>
      <c r="K30" s="156" t="n"/>
      <c r="L30" s="145" t="n"/>
      <c r="M30" s="145" t="n"/>
      <c r="N30" s="145" t="n"/>
      <c r="O30" s="145" t="n"/>
      <c r="P30" s="145" t="n"/>
      <c r="Q30" s="145" t="n"/>
      <c r="R30" s="130" t="n"/>
    </row>
    <row r="31" ht="12.75" customHeight="1" s="131">
      <c r="A31" s="137" t="n"/>
      <c r="B31" s="137" t="n"/>
      <c r="C31" s="137" t="n"/>
      <c r="D31" s="137" t="n"/>
      <c r="E31" s="145" t="n"/>
      <c r="F31" s="145" t="n"/>
      <c r="G31" s="156" t="n"/>
      <c r="H31" s="156" t="n"/>
      <c r="I31" s="156" t="n"/>
      <c r="J31" s="156" t="n"/>
      <c r="K31" s="156" t="n"/>
      <c r="L31" s="145" t="n"/>
      <c r="M31" s="145" t="n"/>
      <c r="N31" s="145" t="n"/>
      <c r="O31" s="145" t="n"/>
      <c r="P31" s="145" t="n"/>
      <c r="Q31" s="145" t="n"/>
      <c r="R31" s="130" t="n"/>
    </row>
    <row r="32" ht="12.75" customHeight="1" s="131">
      <c r="A32" s="137" t="n"/>
      <c r="B32" s="137" t="n"/>
      <c r="C32" s="137" t="n"/>
      <c r="D32" s="137" t="n"/>
      <c r="E32" s="145" t="n"/>
      <c r="F32" s="145" t="n"/>
      <c r="G32" s="156" t="n"/>
      <c r="H32" s="156" t="n"/>
      <c r="I32" s="156" t="n"/>
      <c r="J32" s="156" t="n"/>
      <c r="K32" s="156" t="n"/>
      <c r="L32" s="145" t="n"/>
      <c r="M32" s="145" t="n"/>
      <c r="N32" s="145" t="n"/>
      <c r="O32" s="145" t="n"/>
      <c r="P32" s="145" t="n"/>
      <c r="Q32" s="145" t="n"/>
      <c r="R32" s="130" t="n"/>
    </row>
    <row r="33" ht="12.75" customHeight="1" s="131">
      <c r="A33" s="137" t="n"/>
      <c r="B33" s="137" t="n"/>
      <c r="C33" s="137" t="n"/>
      <c r="D33" s="137" t="n"/>
      <c r="E33" s="145" t="n"/>
      <c r="F33" s="145" t="n"/>
      <c r="G33" s="156" t="n"/>
      <c r="H33" s="156" t="n"/>
      <c r="I33" s="156" t="n"/>
      <c r="J33" s="156" t="n"/>
      <c r="K33" s="156" t="n"/>
      <c r="L33" s="145" t="n"/>
      <c r="M33" s="145" t="n"/>
      <c r="N33" s="145" t="n"/>
      <c r="O33" s="145" t="n"/>
      <c r="P33" s="145" t="n"/>
      <c r="Q33" s="145" t="n"/>
      <c r="R33" s="130" t="n"/>
    </row>
    <row r="34" ht="12.75" customHeight="1" s="131">
      <c r="A34" s="137" t="n"/>
      <c r="B34" s="137" t="n"/>
      <c r="C34" s="137" t="n"/>
      <c r="D34" s="137" t="n"/>
      <c r="E34" s="145" t="n"/>
      <c r="F34" s="145" t="n"/>
      <c r="G34" s="156" t="n"/>
      <c r="H34" s="156" t="n"/>
      <c r="I34" s="156" t="n"/>
      <c r="J34" s="156" t="n"/>
      <c r="K34" s="156" t="n"/>
      <c r="L34" s="145" t="n"/>
      <c r="M34" s="145" t="n"/>
      <c r="N34" s="145" t="n"/>
      <c r="O34" s="145" t="n"/>
      <c r="P34" s="145" t="n"/>
      <c r="Q34" s="145" t="n"/>
      <c r="R34" s="130" t="n"/>
    </row>
    <row r="35" ht="12.75" customHeight="1" s="131">
      <c r="A35" s="137" t="n"/>
      <c r="B35" s="137" t="n"/>
      <c r="C35" s="137" t="n"/>
      <c r="D35" s="137" t="n"/>
      <c r="E35" s="145" t="n"/>
      <c r="F35" s="145" t="n"/>
      <c r="G35" s="156" t="n"/>
      <c r="H35" s="156" t="n"/>
      <c r="I35" s="156" t="n"/>
      <c r="J35" s="156" t="n"/>
      <c r="K35" s="156" t="n"/>
      <c r="L35" s="145" t="n"/>
      <c r="M35" s="145" t="n"/>
      <c r="N35" s="145" t="n"/>
      <c r="O35" s="145" t="n"/>
      <c r="P35" s="145" t="n"/>
      <c r="Q35" s="145" t="n"/>
      <c r="R35" s="130" t="n"/>
    </row>
    <row r="36" ht="12.75" customHeight="1" s="131">
      <c r="A36" s="137" t="n"/>
      <c r="B36" s="137" t="n"/>
      <c r="C36" s="137" t="n"/>
      <c r="D36" s="137" t="n"/>
      <c r="E36" s="145" t="n"/>
      <c r="F36" s="145" t="n"/>
      <c r="G36" s="156" t="n"/>
      <c r="H36" s="156" t="n"/>
      <c r="I36" s="156" t="n"/>
      <c r="J36" s="156" t="n"/>
      <c r="K36" s="156" t="n"/>
      <c r="L36" s="145" t="n"/>
      <c r="M36" s="145" t="n"/>
      <c r="N36" s="145" t="n"/>
      <c r="O36" s="145" t="n"/>
      <c r="P36" s="145" t="n"/>
      <c r="Q36" s="145" t="n"/>
      <c r="R36" s="130" t="n"/>
    </row>
    <row r="37" ht="12.75" customHeight="1" s="131">
      <c r="A37" s="137" t="n"/>
      <c r="B37" s="137" t="n"/>
      <c r="C37" s="137" t="n"/>
      <c r="D37" s="137" t="n"/>
      <c r="E37" s="145" t="n"/>
      <c r="F37" s="145" t="n"/>
      <c r="G37" s="156" t="n"/>
      <c r="H37" s="156" t="n"/>
      <c r="I37" s="156" t="n"/>
      <c r="J37" s="156" t="n"/>
      <c r="K37" s="156" t="n"/>
      <c r="L37" s="145" t="n"/>
      <c r="M37" s="145" t="n"/>
      <c r="N37" s="145" t="n"/>
      <c r="O37" s="145" t="n"/>
      <c r="P37" s="145" t="n"/>
      <c r="Q37" s="145" t="n"/>
      <c r="R37" s="130" t="n"/>
    </row>
    <row r="38" ht="12.75" customHeight="1" s="131">
      <c r="A38" s="137" t="n"/>
      <c r="B38" s="137" t="n"/>
      <c r="C38" s="137" t="n"/>
      <c r="D38" s="137" t="n"/>
      <c r="E38" s="145" t="n"/>
      <c r="F38" s="145" t="n"/>
      <c r="G38" s="156" t="n"/>
      <c r="H38" s="156" t="n"/>
      <c r="I38" s="156" t="n"/>
      <c r="J38" s="156" t="n"/>
      <c r="K38" s="156" t="n"/>
      <c r="L38" s="145" t="n"/>
      <c r="M38" s="145" t="n"/>
      <c r="N38" s="145" t="n"/>
      <c r="O38" s="145" t="n"/>
      <c r="P38" s="145" t="n"/>
      <c r="Q38" s="145" t="n"/>
      <c r="R38" s="130" t="n"/>
    </row>
    <row r="39" ht="12.75" customHeight="1" s="131">
      <c r="A39" s="137" t="n"/>
      <c r="B39" s="137" t="n"/>
      <c r="C39" s="137" t="n"/>
      <c r="D39" s="137" t="n"/>
      <c r="E39" s="145" t="n"/>
      <c r="F39" s="145" t="n"/>
      <c r="G39" s="156" t="n"/>
      <c r="H39" s="156" t="n"/>
      <c r="I39" s="156" t="n"/>
      <c r="J39" s="156" t="n"/>
      <c r="K39" s="156" t="n"/>
      <c r="L39" s="145" t="n"/>
      <c r="M39" s="145" t="n"/>
      <c r="N39" s="145" t="n"/>
      <c r="O39" s="145" t="n"/>
      <c r="P39" s="145" t="n"/>
      <c r="Q39" s="145" t="n"/>
      <c r="R39" s="130" t="n"/>
    </row>
    <row r="40" ht="12.75" customHeight="1" s="131">
      <c r="A40" s="137" t="n"/>
      <c r="B40" s="137" t="n"/>
      <c r="C40" s="137" t="n"/>
      <c r="D40" s="137" t="n"/>
      <c r="E40" s="145" t="n"/>
      <c r="F40" s="145" t="n"/>
      <c r="G40" s="156" t="n"/>
      <c r="H40" s="156" t="n"/>
      <c r="I40" s="156" t="n"/>
      <c r="J40" s="156" t="n"/>
      <c r="K40" s="156" t="n"/>
      <c r="L40" s="145" t="n"/>
      <c r="M40" s="145" t="n"/>
      <c r="N40" s="145" t="n"/>
      <c r="O40" s="145" t="n"/>
      <c r="P40" s="145" t="n"/>
      <c r="Q40" s="145" t="n"/>
      <c r="R40" s="130" t="n"/>
    </row>
    <row r="41" ht="12.75" customHeight="1" s="131">
      <c r="A41" s="137" t="n"/>
      <c r="B41" s="137" t="n"/>
      <c r="C41" s="137" t="n"/>
      <c r="D41" s="137" t="n"/>
      <c r="E41" s="145" t="n"/>
      <c r="F41" s="145" t="n"/>
      <c r="G41" s="156" t="n"/>
      <c r="H41" s="156" t="n"/>
      <c r="I41" s="156" t="n"/>
      <c r="J41" s="156" t="n"/>
      <c r="K41" s="156" t="n"/>
      <c r="L41" s="145" t="n"/>
      <c r="M41" s="145" t="n"/>
      <c r="N41" s="145" t="n"/>
      <c r="O41" s="145" t="n"/>
      <c r="P41" s="145" t="n"/>
      <c r="Q41" s="145" t="n"/>
      <c r="R41" s="130" t="n"/>
    </row>
    <row r="42" ht="12.75" customHeight="1" s="131">
      <c r="A42" s="137" t="n"/>
      <c r="B42" s="137" t="n"/>
      <c r="C42" s="137" t="n"/>
      <c r="D42" s="137" t="n"/>
      <c r="E42" s="145" t="n"/>
      <c r="F42" s="145" t="n"/>
      <c r="G42" s="156" t="n"/>
      <c r="H42" s="156" t="n"/>
      <c r="I42" s="156" t="n"/>
      <c r="J42" s="156" t="n"/>
      <c r="K42" s="156" t="n"/>
      <c r="L42" s="145" t="n"/>
      <c r="M42" s="145" t="n"/>
      <c r="N42" s="145" t="n"/>
      <c r="O42" s="145" t="n"/>
      <c r="P42" s="145" t="n"/>
      <c r="Q42" s="145" t="n"/>
      <c r="R42" s="130" t="n"/>
    </row>
    <row r="43" ht="12.75" customHeight="1" s="131">
      <c r="A43" s="137" t="n"/>
      <c r="B43" s="137" t="n"/>
      <c r="C43" s="137" t="n"/>
      <c r="D43" s="137" t="n"/>
      <c r="E43" s="145" t="n"/>
      <c r="F43" s="145" t="n"/>
      <c r="G43" s="156" t="n"/>
      <c r="H43" s="156" t="n"/>
      <c r="I43" s="156" t="n"/>
      <c r="J43" s="156" t="n"/>
      <c r="K43" s="156" t="n"/>
      <c r="L43" s="145" t="n"/>
      <c r="M43" s="145" t="n"/>
      <c r="N43" s="145" t="n"/>
      <c r="O43" s="145" t="n"/>
      <c r="P43" s="145" t="n"/>
      <c r="Q43" s="145" t="n"/>
      <c r="R43" s="130" t="n"/>
    </row>
    <row r="44" ht="12.75" customHeight="1" s="131">
      <c r="A44" s="137" t="n"/>
      <c r="B44" s="137" t="n"/>
      <c r="C44" s="137" t="n"/>
      <c r="D44" s="137" t="n"/>
      <c r="E44" s="145" t="n"/>
      <c r="F44" s="145" t="n"/>
      <c r="G44" s="156" t="n"/>
      <c r="H44" s="156" t="n"/>
      <c r="I44" s="156" t="n"/>
      <c r="J44" s="156" t="n"/>
      <c r="K44" s="156" t="n"/>
      <c r="L44" s="145" t="n"/>
      <c r="M44" s="145" t="n"/>
      <c r="N44" s="145" t="n"/>
      <c r="O44" s="145" t="n"/>
      <c r="P44" s="145" t="n"/>
      <c r="Q44" s="145" t="n"/>
      <c r="R44" s="130" t="n"/>
    </row>
    <row r="45" ht="12.75" customHeight="1" s="131">
      <c r="A45" s="137" t="n"/>
      <c r="B45" s="137" t="n"/>
      <c r="C45" s="137" t="n"/>
      <c r="D45" s="137" t="n"/>
      <c r="E45" s="145" t="n"/>
      <c r="F45" s="145" t="n"/>
      <c r="G45" s="156" t="n"/>
      <c r="H45" s="156" t="n"/>
      <c r="I45" s="156" t="n"/>
      <c r="J45" s="156" t="n"/>
      <c r="K45" s="156" t="n"/>
      <c r="L45" s="145" t="n"/>
      <c r="M45" s="145" t="n"/>
      <c r="N45" s="145" t="n"/>
      <c r="O45" s="145" t="n"/>
      <c r="P45" s="145" t="n"/>
      <c r="Q45" s="145" t="n"/>
      <c r="R45" s="130" t="n"/>
    </row>
    <row r="46" ht="12.75" customHeight="1" s="131">
      <c r="A46" s="137" t="n"/>
      <c r="B46" s="137" t="n"/>
      <c r="C46" s="137" t="n"/>
      <c r="D46" s="137" t="n"/>
      <c r="E46" s="145" t="n"/>
      <c r="F46" s="145" t="n"/>
      <c r="G46" s="182" t="n"/>
      <c r="H46" s="182" t="n"/>
      <c r="I46" s="182" t="n"/>
      <c r="J46" s="182" t="n"/>
      <c r="K46" s="182" t="n"/>
      <c r="L46" s="145" t="n"/>
      <c r="M46" s="145" t="n"/>
      <c r="N46" s="145" t="n"/>
      <c r="O46" s="145" t="n"/>
      <c r="P46" s="145" t="n"/>
      <c r="Q46" s="145" t="n"/>
      <c r="R46" s="130" t="n"/>
    </row>
    <row r="47" ht="12.75" customHeight="1" s="131">
      <c r="A47" s="137" t="n"/>
      <c r="B47" s="137" t="n"/>
      <c r="C47" s="137" t="n"/>
      <c r="D47" s="137" t="n"/>
      <c r="E47" s="145" t="n"/>
      <c r="F47" s="145" t="n"/>
      <c r="G47" s="150" t="n"/>
      <c r="H47" s="150" t="n"/>
      <c r="I47" s="150" t="n"/>
      <c r="J47" s="150" t="n"/>
      <c r="K47" s="150" t="n"/>
      <c r="L47" s="145" t="n"/>
      <c r="M47" s="145" t="n"/>
      <c r="N47" s="145" t="n"/>
      <c r="O47" s="145" t="n"/>
      <c r="P47" s="145" t="n"/>
      <c r="Q47" s="145" t="n"/>
      <c r="R47" s="130" t="n"/>
    </row>
    <row r="48" ht="12.75" customHeight="1" s="131">
      <c r="A48" s="137" t="n"/>
      <c r="B48" s="137" t="n"/>
      <c r="C48" s="137" t="n"/>
      <c r="D48" s="137" t="n"/>
      <c r="E48" s="145" t="n"/>
      <c r="F48" s="145" t="n"/>
      <c r="G48" s="149" t="n"/>
      <c r="H48" s="149" t="n"/>
      <c r="I48" s="149" t="n"/>
      <c r="J48" s="149" t="n"/>
      <c r="K48" s="149" t="n"/>
      <c r="L48" s="145" t="n"/>
      <c r="M48" s="145" t="n"/>
      <c r="N48" s="145" t="n"/>
      <c r="O48" s="145" t="n"/>
      <c r="P48" s="145" t="n"/>
      <c r="Q48" s="145" t="n"/>
      <c r="R48" s="130" t="n"/>
    </row>
    <row r="49" ht="12.75" customHeight="1" s="131">
      <c r="A49" s="137" t="n"/>
      <c r="B49" s="137" t="n"/>
      <c r="C49" s="137" t="n"/>
      <c r="D49" s="137" t="n"/>
      <c r="E49" s="145" t="n"/>
      <c r="F49" s="145" t="n"/>
      <c r="G49" s="145" t="n"/>
      <c r="H49" s="145" t="n"/>
      <c r="I49" s="145" t="n"/>
      <c r="J49" s="145" t="n"/>
      <c r="K49" s="145" t="n"/>
      <c r="L49" s="145" t="n"/>
      <c r="M49" s="145" t="n"/>
      <c r="N49" s="145" t="n"/>
      <c r="O49" s="145" t="n"/>
      <c r="P49" s="145" t="n"/>
      <c r="Q49" s="145" t="n"/>
      <c r="R49" s="130" t="n"/>
    </row>
    <row r="50" ht="12.75" customHeight="1" s="131">
      <c r="A50" s="137" t="n"/>
      <c r="B50" s="137" t="n"/>
      <c r="C50" s="137" t="n"/>
      <c r="D50" s="137" t="n"/>
      <c r="E50" s="145" t="n"/>
      <c r="F50" s="145" t="n"/>
      <c r="G50" s="145" t="n"/>
      <c r="H50" s="145" t="n"/>
      <c r="I50" s="145" t="n"/>
      <c r="J50" s="145" t="n"/>
      <c r="K50" s="145" t="n"/>
      <c r="L50" s="145" t="n"/>
      <c r="M50" s="145" t="n"/>
      <c r="N50" s="145" t="n"/>
      <c r="O50" s="145" t="n"/>
      <c r="P50" s="145" t="n"/>
      <c r="Q50" s="145" t="n"/>
      <c r="R50" s="130" t="n"/>
    </row>
    <row r="51" ht="12.75" customHeight="1" s="131">
      <c r="A51" s="137" t="n"/>
      <c r="B51" s="137" t="n"/>
      <c r="C51" s="137" t="n"/>
      <c r="D51" s="137" t="n"/>
      <c r="E51" s="130" t="n"/>
      <c r="F51" s="130" t="n"/>
      <c r="G51" s="130" t="n"/>
      <c r="I51" s="130" t="n"/>
      <c r="J51" s="130" t="n"/>
      <c r="K51" s="130" t="n"/>
      <c r="L51" s="130" t="n"/>
      <c r="M51" s="130" t="n"/>
      <c r="N51" s="130" t="n"/>
      <c r="O51" s="130" t="n"/>
      <c r="P51" s="130" t="n"/>
      <c r="Q51" s="130" t="n"/>
      <c r="R51" s="130" t="n"/>
    </row>
    <row r="52" ht="12.75" customHeight="1" s="131">
      <c r="A52" s="137" t="n"/>
      <c r="B52" s="137" t="n"/>
      <c r="C52" s="137" t="n"/>
      <c r="D52" s="137" t="n"/>
      <c r="E52" s="130" t="n"/>
      <c r="F52" s="130" t="n"/>
      <c r="G52" s="130" t="n"/>
      <c r="I52" s="130" t="n"/>
      <c r="J52" s="130" t="n"/>
      <c r="K52" s="130" t="n"/>
      <c r="L52" s="130" t="n"/>
      <c r="M52" s="130" t="n"/>
      <c r="N52" s="130" t="n"/>
      <c r="O52" s="130" t="n"/>
      <c r="P52" s="130" t="n"/>
      <c r="Q52" s="130" t="n"/>
      <c r="R52" s="130" t="n"/>
    </row>
    <row r="53" ht="12.75" customHeight="1" s="131"/>
    <row r="54" ht="12.75" customHeight="1" s="131"/>
    <row r="55" ht="12.75" customHeight="1" s="131"/>
    <row r="56" ht="12.75" customHeight="1" s="131"/>
    <row r="57" ht="12.75" customHeight="1" s="131"/>
    <row r="58" ht="12.75" customHeight="1" s="131"/>
    <row r="59" ht="12.75" customHeight="1" s="131"/>
    <row r="60" ht="12.75" customHeight="1" s="131"/>
    <row r="61" ht="12.75" customHeight="1" s="131"/>
    <row r="62" ht="12.75" customHeight="1" s="131"/>
    <row r="63" ht="12.75" customHeight="1" s="131"/>
    <row r="64" ht="12.75" customHeight="1" s="131"/>
    <row r="65" ht="12.75" customHeight="1" s="131"/>
    <row r="66" ht="12.75" customHeight="1" s="131"/>
    <row r="67" ht="12.75" customHeight="1" s="131"/>
    <row r="68" ht="12.75" customHeight="1" s="131"/>
    <row r="69" ht="12.75" customHeight="1" s="131"/>
    <row r="70"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8.xml><?xml version="1.0" encoding="utf-8"?>
<worksheet xmlns="http://schemas.openxmlformats.org/spreadsheetml/2006/main">
  <sheetPr filterMode="0">
    <tabColor rgb="FFCCFFCC"/>
    <outlinePr summaryBelow="1" summaryRight="1"/>
    <pageSetUpPr fitToPage="0"/>
  </sheetPr>
  <dimension ref="A1:R66"/>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F6" activeCellId="0" sqref="F6"/>
    </sheetView>
  </sheetViews>
  <sheetFormatPr baseColWidth="8" defaultColWidth="9.15234375" defaultRowHeight="12" zeroHeight="0" outlineLevelRow="0"/>
  <cols>
    <col width="2.99" customWidth="1" style="168" min="1" max="3"/>
    <col width="22.75" customWidth="1" style="130" min="4" max="4"/>
    <col width="10.72" customWidth="1" style="130" min="5" max="5"/>
    <col width="20.74" customWidth="1" style="130" min="6" max="6"/>
    <col width="8.720000000000001" customWidth="1" style="130" min="7" max="7"/>
    <col width="10.72" customWidth="1" style="130" min="8" max="8"/>
    <col width="20.74" customWidth="1" style="130" min="9" max="9"/>
    <col width="8.720000000000001" customWidth="1" style="130" min="10" max="10"/>
    <col width="10.72" customWidth="1" style="130" min="11" max="17"/>
    <col width="15.73" customWidth="1" style="130" min="18" max="18"/>
  </cols>
  <sheetData>
    <row r="1" ht="15.75" customHeight="1" s="131">
      <c r="A1" s="142">
        <f>'1. Required Start-Up Funds'!A1</f>
        <v/>
      </c>
    </row>
    <row r="2" ht="15.75" customHeight="1" s="131">
      <c r="A2" s="142" t="inlineStr">
        <is>
          <t>Balance Sheet (For Existing Businesses Only)</t>
        </is>
      </c>
    </row>
    <row r="3" ht="12.75" customHeight="1" s="131">
      <c r="A3" s="137" t="n"/>
      <c r="B3" s="137" t="n"/>
      <c r="C3" s="137" t="n"/>
      <c r="D3" s="145" t="n"/>
      <c r="E3" s="145" t="n"/>
      <c r="F3" s="145" t="n"/>
      <c r="G3" s="145" t="n"/>
      <c r="H3" s="145" t="n"/>
      <c r="I3" s="145" t="n"/>
      <c r="J3" s="145" t="n"/>
      <c r="K3" s="145" t="n"/>
      <c r="L3" s="145" t="n"/>
      <c r="M3" s="145" t="n"/>
      <c r="N3" s="145" t="n"/>
      <c r="O3" s="145" t="n"/>
      <c r="P3" s="145" t="n"/>
      <c r="Q3" s="167" t="n"/>
      <c r="R3" s="167" t="n"/>
    </row>
    <row r="4" ht="12.75" customHeight="1" s="131">
      <c r="A4" s="137" t="n"/>
      <c r="B4" s="137" t="n"/>
      <c r="C4" s="137" t="n"/>
      <c r="D4" s="145" t="n"/>
      <c r="E4" s="145" t="n"/>
      <c r="F4" s="145" t="n"/>
      <c r="G4" s="145" t="n"/>
      <c r="H4" s="145" t="n"/>
      <c r="I4" s="145" t="n"/>
      <c r="J4" s="145" t="n"/>
      <c r="K4" s="145" t="n"/>
      <c r="L4" s="145" t="n"/>
      <c r="M4" s="145" t="n"/>
      <c r="N4" s="145" t="n"/>
      <c r="O4" s="145" t="n"/>
      <c r="P4" s="145" t="n"/>
      <c r="Q4" s="167" t="n"/>
      <c r="R4" s="167" t="n"/>
    </row>
    <row r="5" ht="12.75" customHeight="1" s="131">
      <c r="A5" s="137" t="n"/>
      <c r="B5" s="137" t="n"/>
      <c r="C5" s="137" t="n"/>
      <c r="D5" s="145" t="n"/>
      <c r="E5" s="145" t="n"/>
      <c r="F5" s="145" t="n"/>
      <c r="G5" s="145" t="n"/>
      <c r="H5" s="145" t="n"/>
      <c r="I5" s="145" t="n"/>
      <c r="J5" s="145" t="n"/>
      <c r="K5" s="145" t="n"/>
      <c r="L5" s="145" t="n"/>
      <c r="M5" s="145" t="n"/>
      <c r="N5" s="145" t="n"/>
      <c r="O5" s="145" t="n"/>
      <c r="P5" s="145" t="n"/>
      <c r="Q5" s="167" t="n"/>
      <c r="R5" s="167" t="n"/>
    </row>
    <row r="6" ht="12.75" customHeight="1" s="131">
      <c r="A6" s="137" t="n"/>
      <c r="B6" s="137" t="n"/>
      <c r="C6" s="137" t="n"/>
      <c r="D6" s="145" t="n"/>
      <c r="E6" s="140" t="n"/>
      <c r="F6" s="216" t="n">
        <v>39082</v>
      </c>
      <c r="G6" s="171" t="inlineStr">
        <is>
          <t>%</t>
        </is>
      </c>
      <c r="H6" s="140" t="n"/>
      <c r="I6" s="140" t="n"/>
      <c r="J6" s="171" t="n"/>
      <c r="K6" s="140" t="n"/>
      <c r="L6" s="140" t="n"/>
      <c r="M6" s="140" t="n"/>
      <c r="N6" s="140" t="n"/>
      <c r="O6" s="140" t="n"/>
      <c r="P6" s="140" t="n"/>
      <c r="Q6" s="217" t="n"/>
      <c r="R6" s="217" t="n"/>
    </row>
    <row r="7" ht="12.75" customHeight="1" s="131">
      <c r="A7" s="137" t="n"/>
      <c r="B7" s="137" t="n"/>
      <c r="C7" s="137" t="n"/>
      <c r="D7" s="145" t="n"/>
      <c r="E7" s="145" t="n"/>
      <c r="F7" s="145" t="n"/>
      <c r="G7" s="145" t="n"/>
      <c r="H7" s="145" t="n"/>
      <c r="I7" s="145" t="n"/>
      <c r="J7" s="145" t="n"/>
      <c r="K7" s="145" t="n"/>
      <c r="L7" s="145" t="n"/>
      <c r="M7" s="145" t="n"/>
      <c r="N7" s="145" t="n"/>
      <c r="O7" s="145" t="n"/>
      <c r="P7" s="145" t="n"/>
      <c r="Q7" s="167" t="n"/>
      <c r="R7" s="167" t="n"/>
    </row>
    <row r="8" ht="12.75" customHeight="1" s="131">
      <c r="A8" s="137" t="inlineStr">
        <is>
          <t>Assets</t>
        </is>
      </c>
      <c r="B8" s="137" t="n"/>
      <c r="C8" s="137" t="n"/>
      <c r="D8" s="145" t="n"/>
      <c r="E8" s="145" t="n"/>
      <c r="F8" s="156" t="n"/>
      <c r="G8" s="156" t="n"/>
      <c r="H8" s="156" t="n"/>
      <c r="I8" s="156" t="n"/>
      <c r="J8" s="145" t="n"/>
      <c r="K8" s="145" t="n"/>
      <c r="L8" s="145" t="n"/>
      <c r="M8" s="145" t="n"/>
      <c r="N8" s="145" t="n"/>
      <c r="O8" s="145" t="n"/>
      <c r="P8" s="145" t="n"/>
      <c r="Q8" s="167" t="n"/>
      <c r="R8" s="167" t="n"/>
    </row>
    <row r="9" ht="12.75" customHeight="1" s="131">
      <c r="A9" s="137" t="n"/>
      <c r="B9" s="137" t="inlineStr">
        <is>
          <t>Current Assets</t>
        </is>
      </c>
      <c r="C9" s="137" t="n"/>
      <c r="D9" s="145" t="n"/>
      <c r="E9" s="145" t="n"/>
      <c r="F9" s="156" t="n"/>
      <c r="G9" s="156" t="n"/>
      <c r="H9" s="156" t="n"/>
      <c r="I9" s="156" t="n"/>
      <c r="J9" s="145" t="n"/>
      <c r="K9" s="145" t="n"/>
      <c r="L9" s="145" t="n"/>
      <c r="M9" s="145" t="n"/>
      <c r="N9" s="145" t="n"/>
      <c r="O9" s="145" t="n"/>
      <c r="P9" s="145" t="n"/>
      <c r="Q9" s="167" t="n"/>
      <c r="R9" s="167" t="n"/>
    </row>
    <row r="10" ht="12.75" customHeight="1" s="131">
      <c r="A10" s="137" t="n"/>
      <c r="B10" s="137" t="n"/>
      <c r="C10" s="137" t="inlineStr">
        <is>
          <t>Cash</t>
        </is>
      </c>
      <c r="D10" s="145" t="n"/>
      <c r="E10" s="145" t="n"/>
      <c r="F10" s="151" t="n">
        <v>0</v>
      </c>
      <c r="G10" s="156" t="n"/>
      <c r="H10" s="156" t="n"/>
      <c r="I10" s="156" t="n"/>
      <c r="J10" s="145" t="n"/>
      <c r="K10" s="145" t="n"/>
      <c r="L10" s="145" t="n"/>
      <c r="M10" s="145" t="n"/>
      <c r="N10" s="145" t="n"/>
      <c r="O10" s="145" t="n"/>
      <c r="P10" s="145" t="n"/>
      <c r="Q10" s="167" t="n"/>
      <c r="R10" s="167" t="n"/>
    </row>
    <row r="11" ht="12.75" customHeight="1" s="131">
      <c r="A11" s="137" t="n"/>
      <c r="B11" s="137" t="n"/>
      <c r="C11" s="137" t="inlineStr">
        <is>
          <t>Accounts Receivable</t>
        </is>
      </c>
      <c r="D11" s="145" t="n"/>
      <c r="E11" s="145" t="n"/>
      <c r="F11" s="151" t="n">
        <v>0</v>
      </c>
      <c r="G11" s="156" t="n"/>
      <c r="H11" s="156" t="n"/>
      <c r="I11" s="156" t="n"/>
      <c r="J11" s="145" t="n"/>
      <c r="K11" s="145" t="n"/>
      <c r="L11" s="145" t="n"/>
      <c r="M11" s="145" t="n"/>
      <c r="N11" s="145" t="n"/>
      <c r="O11" s="145" t="n"/>
      <c r="P11" s="145" t="n"/>
      <c r="Q11" s="167" t="n"/>
      <c r="R11" s="167" t="n"/>
    </row>
    <row r="12" ht="12.75" customHeight="1" s="131">
      <c r="A12" s="137" t="n"/>
      <c r="B12" s="137" t="n"/>
      <c r="C12" s="137" t="inlineStr">
        <is>
          <t>Inventory</t>
        </is>
      </c>
      <c r="D12" s="145" t="n"/>
      <c r="E12" s="145" t="n"/>
      <c r="F12" s="151" t="n">
        <v>0</v>
      </c>
      <c r="G12" s="156" t="n"/>
      <c r="H12" s="156" t="n"/>
      <c r="I12" s="156" t="n"/>
      <c r="J12" s="145" t="n"/>
      <c r="K12" s="145" t="n"/>
      <c r="L12" s="145" t="n"/>
      <c r="M12" s="145" t="n"/>
      <c r="N12" s="145" t="n"/>
      <c r="O12" s="145" t="n"/>
      <c r="P12" s="145" t="n"/>
      <c r="Q12" s="167" t="n"/>
      <c r="R12" s="167" t="n"/>
    </row>
    <row r="13" ht="12.75" customHeight="1" s="131">
      <c r="A13" s="137" t="n"/>
      <c r="B13" s="137" t="n"/>
      <c r="C13" s="137" t="inlineStr">
        <is>
          <t>Prepaid Expenses</t>
        </is>
      </c>
      <c r="D13" s="145" t="n"/>
      <c r="E13" s="145" t="n"/>
      <c r="F13" s="151" t="n">
        <v>0</v>
      </c>
      <c r="G13" s="156" t="n"/>
      <c r="H13" s="156" t="n"/>
      <c r="I13" s="156" t="n"/>
      <c r="J13" s="145" t="n"/>
      <c r="K13" s="145" t="n"/>
      <c r="L13" s="145" t="n"/>
      <c r="M13" s="145" t="n"/>
      <c r="N13" s="145" t="n"/>
      <c r="O13" s="145" t="n"/>
      <c r="P13" s="145" t="n"/>
      <c r="Q13" s="167" t="n"/>
      <c r="R13" s="167" t="n"/>
    </row>
    <row r="14" ht="12.75" customHeight="1" s="131">
      <c r="A14" s="137" t="n"/>
      <c r="B14" s="137" t="n"/>
      <c r="C14" s="137" t="inlineStr">
        <is>
          <t>Other Current</t>
        </is>
      </c>
      <c r="D14" s="145" t="n"/>
      <c r="E14" s="145" t="n"/>
      <c r="F14" s="181" t="n">
        <v>0</v>
      </c>
      <c r="G14" s="156" t="n"/>
      <c r="H14" s="156" t="n"/>
      <c r="I14" s="156" t="n"/>
      <c r="J14" s="145" t="n"/>
      <c r="K14" s="145" t="n"/>
      <c r="L14" s="145" t="n"/>
      <c r="M14" s="145" t="n"/>
      <c r="N14" s="145" t="n"/>
      <c r="O14" s="145" t="n"/>
      <c r="P14" s="145" t="n"/>
      <c r="Q14" s="167" t="n"/>
      <c r="R14" s="167" t="n"/>
    </row>
    <row r="15" ht="12.75" customHeight="1" s="131">
      <c r="A15" s="137" t="n"/>
      <c r="B15" s="137" t="inlineStr">
        <is>
          <t>Total Current Assets</t>
        </is>
      </c>
      <c r="C15" s="137" t="n"/>
      <c r="D15" s="145" t="n"/>
      <c r="E15" s="156" t="n"/>
      <c r="F15" s="156">
        <f>SUM(F10:F14)</f>
        <v/>
      </c>
      <c r="G15" s="156" t="n"/>
      <c r="H15" s="156" t="n"/>
      <c r="I15" s="156" t="n"/>
      <c r="J15" s="156" t="n"/>
      <c r="K15" s="156" t="n"/>
      <c r="L15" s="156" t="n"/>
      <c r="M15" s="156" t="n"/>
      <c r="N15" s="156" t="n"/>
      <c r="O15" s="156" t="n"/>
      <c r="P15" s="156" t="n"/>
      <c r="Q15" s="207" t="n"/>
      <c r="R15" s="207" t="n"/>
    </row>
    <row r="16" ht="12.75" customHeight="1" s="131">
      <c r="A16" s="137" t="n"/>
      <c r="B16" s="137" t="n"/>
      <c r="C16" s="137" t="n"/>
      <c r="D16" s="145" t="n"/>
      <c r="E16" s="156" t="n"/>
      <c r="F16" s="156" t="n"/>
      <c r="G16" s="156" t="n"/>
      <c r="H16" s="156" t="n"/>
      <c r="I16" s="156" t="n"/>
      <c r="J16" s="156" t="n"/>
      <c r="K16" s="156" t="n"/>
      <c r="L16" s="156" t="n"/>
      <c r="M16" s="156" t="n"/>
      <c r="N16" s="156" t="n"/>
      <c r="O16" s="156" t="n"/>
      <c r="P16" s="156" t="n"/>
      <c r="Q16" s="207" t="n"/>
      <c r="R16" s="207" t="n"/>
    </row>
    <row r="17" ht="12.75" customHeight="1" s="131">
      <c r="A17" s="137" t="n"/>
      <c r="B17" s="137" t="inlineStr">
        <is>
          <t>Fixed Assets</t>
        </is>
      </c>
      <c r="C17" s="137" t="n"/>
      <c r="D17" s="145" t="n"/>
      <c r="E17" s="182" t="n"/>
      <c r="F17" s="156" t="n"/>
      <c r="G17" s="156" t="n"/>
      <c r="H17" s="156" t="n"/>
      <c r="I17" s="156" t="n"/>
      <c r="J17" s="182" t="n"/>
      <c r="K17" s="182" t="n"/>
      <c r="L17" s="182" t="n"/>
      <c r="M17" s="182" t="n"/>
      <c r="N17" s="182" t="n"/>
      <c r="O17" s="182" t="n"/>
      <c r="P17" s="182" t="n"/>
      <c r="Q17" s="208" t="n"/>
      <c r="R17" s="208" t="n"/>
    </row>
    <row r="18" ht="12.75" customHeight="1" s="131">
      <c r="A18" s="137" t="n"/>
      <c r="B18" s="137" t="n"/>
      <c r="C18" s="137">
        <f>'1. Required Start-Up Funds'!C8</f>
        <v/>
      </c>
      <c r="D18" s="145" t="n"/>
      <c r="E18" s="182" t="n"/>
      <c r="F18" s="151" t="n">
        <v>0</v>
      </c>
      <c r="G18" s="156" t="n"/>
      <c r="H18" s="156" t="n"/>
      <c r="I18" s="156" t="n"/>
      <c r="J18" s="182" t="n"/>
      <c r="K18" s="182" t="n"/>
      <c r="L18" s="182" t="n"/>
      <c r="M18" s="182" t="n"/>
      <c r="N18" s="182" t="n"/>
      <c r="O18" s="182" t="n"/>
      <c r="P18" s="182" t="n"/>
      <c r="Q18" s="208" t="n"/>
      <c r="R18" s="208" t="n"/>
    </row>
    <row r="19" ht="12.75" customHeight="1" s="131">
      <c r="A19" s="137" t="n"/>
      <c r="B19" s="137" t="n"/>
      <c r="C19" s="137">
        <f>'1. Required Start-Up Funds'!C9</f>
        <v/>
      </c>
      <c r="D19" s="145" t="n"/>
      <c r="E19" s="156" t="n"/>
      <c r="F19" s="151" t="n">
        <v>0</v>
      </c>
      <c r="G19" s="156" t="n"/>
      <c r="H19" s="156" t="n"/>
      <c r="I19" s="156" t="n"/>
      <c r="J19" s="156" t="n"/>
      <c r="K19" s="156" t="n"/>
      <c r="L19" s="156" t="n"/>
      <c r="M19" s="156" t="n"/>
      <c r="N19" s="156" t="n"/>
      <c r="O19" s="156" t="n"/>
      <c r="P19" s="156" t="n"/>
      <c r="Q19" s="207" t="n"/>
      <c r="R19" s="207" t="n"/>
    </row>
    <row r="20" ht="12.75" customHeight="1" s="131">
      <c r="A20" s="137" t="n"/>
      <c r="B20" s="137" t="n"/>
      <c r="C20" s="137">
        <f>'1. Required Start-Up Funds'!C10</f>
        <v/>
      </c>
      <c r="D20" s="145" t="n"/>
      <c r="E20" s="156" t="n"/>
      <c r="F20" s="151" t="n">
        <v>0</v>
      </c>
      <c r="G20" s="156" t="n"/>
      <c r="H20" s="156" t="n"/>
      <c r="I20" s="156" t="n"/>
      <c r="J20" s="156" t="n"/>
      <c r="K20" s="156" t="n"/>
      <c r="L20" s="156" t="n"/>
      <c r="M20" s="156" t="n"/>
      <c r="N20" s="156" t="n"/>
      <c r="O20" s="156" t="n"/>
      <c r="P20" s="156" t="n"/>
      <c r="Q20" s="207" t="n"/>
      <c r="R20" s="207" t="n"/>
    </row>
    <row r="21" ht="12.75" customHeight="1" s="131">
      <c r="A21" s="137" t="n"/>
      <c r="B21" s="137" t="n"/>
      <c r="C21" s="137">
        <f>'1. Required Start-Up Funds'!C11</f>
        <v/>
      </c>
      <c r="D21" s="145" t="n"/>
      <c r="E21" s="182" t="n"/>
      <c r="F21" s="151" t="n">
        <v>0</v>
      </c>
      <c r="G21" s="156" t="n"/>
      <c r="H21" s="156" t="n"/>
      <c r="I21" s="156" t="n"/>
      <c r="J21" s="182" t="n"/>
      <c r="K21" s="182" t="n"/>
      <c r="L21" s="182" t="n"/>
      <c r="M21" s="182" t="n"/>
      <c r="N21" s="182" t="n"/>
      <c r="O21" s="182" t="n"/>
      <c r="P21" s="182" t="n"/>
      <c r="Q21" s="208" t="n"/>
      <c r="R21" s="208" t="n"/>
    </row>
    <row r="22" ht="12.75" customHeight="1" s="131">
      <c r="A22" s="137" t="n"/>
      <c r="B22" s="137" t="n"/>
      <c r="C22" s="137">
        <f>'1. Required Start-Up Funds'!C12</f>
        <v/>
      </c>
      <c r="D22" s="145" t="n"/>
      <c r="E22" s="182" t="n"/>
      <c r="F22" s="151" t="n">
        <v>0</v>
      </c>
      <c r="G22" s="156" t="n"/>
      <c r="H22" s="156" t="n"/>
      <c r="I22" s="156" t="n"/>
      <c r="J22" s="182" t="n"/>
      <c r="K22" s="182" t="n"/>
      <c r="L22" s="182" t="n"/>
      <c r="M22" s="182" t="n"/>
      <c r="N22" s="182" t="n"/>
      <c r="O22" s="182" t="n"/>
      <c r="P22" s="182" t="n"/>
      <c r="Q22" s="208" t="n"/>
      <c r="R22" s="208" t="n"/>
    </row>
    <row r="23" ht="12.75" customHeight="1" s="131">
      <c r="A23" s="137" t="n"/>
      <c r="B23" s="137" t="n"/>
      <c r="C23" s="137">
        <f>'1. Required Start-Up Funds'!C13</f>
        <v/>
      </c>
      <c r="D23" s="145" t="n"/>
      <c r="E23" s="182" t="n"/>
      <c r="F23" s="151" t="n">
        <v>0</v>
      </c>
      <c r="G23" s="156" t="n"/>
      <c r="H23" s="156" t="n"/>
      <c r="I23" s="156" t="n"/>
      <c r="J23" s="182" t="n"/>
      <c r="K23" s="182" t="n"/>
      <c r="L23" s="182" t="n"/>
      <c r="M23" s="182" t="n"/>
      <c r="N23" s="182" t="n"/>
      <c r="O23" s="182" t="n"/>
      <c r="P23" s="182" t="n"/>
      <c r="Q23" s="208" t="n"/>
      <c r="R23" s="208" t="n"/>
    </row>
    <row r="24" ht="12.75" customHeight="1" s="131">
      <c r="A24" s="137" t="n"/>
      <c r="B24" s="137" t="n"/>
      <c r="C24" s="137">
        <f>'1. Required Start-Up Funds'!C14</f>
        <v/>
      </c>
      <c r="D24" s="145" t="n"/>
      <c r="E24" s="156" t="n"/>
      <c r="F24" s="181" t="n">
        <v>0</v>
      </c>
      <c r="G24" s="156" t="n"/>
      <c r="H24" s="156" t="n"/>
      <c r="I24" s="156" t="n"/>
      <c r="J24" s="156" t="n"/>
      <c r="K24" s="156" t="n"/>
      <c r="L24" s="156" t="n"/>
      <c r="M24" s="156" t="n"/>
      <c r="N24" s="156" t="n"/>
      <c r="O24" s="156" t="n"/>
      <c r="P24" s="156" t="n"/>
      <c r="Q24" s="207" t="n"/>
      <c r="R24" s="207" t="n"/>
    </row>
    <row r="25" ht="12.75" customHeight="1" s="131">
      <c r="A25" s="137" t="n"/>
      <c r="B25" s="137" t="inlineStr">
        <is>
          <t>Total Fixed Assets</t>
        </is>
      </c>
      <c r="C25" s="137" t="n"/>
      <c r="D25" s="145" t="n"/>
      <c r="E25" s="156" t="n"/>
      <c r="F25" s="156">
        <f>SUM(F18:F24)</f>
        <v/>
      </c>
      <c r="G25" s="156" t="n"/>
      <c r="H25" s="156" t="n"/>
      <c r="I25" s="156" t="n"/>
      <c r="J25" s="156" t="n"/>
      <c r="K25" s="156" t="n"/>
      <c r="L25" s="156" t="n"/>
      <c r="M25" s="156" t="n"/>
      <c r="N25" s="156" t="n"/>
      <c r="O25" s="156" t="n"/>
      <c r="P25" s="156" t="n"/>
      <c r="Q25" s="207" t="n"/>
      <c r="R25" s="207" t="n"/>
    </row>
    <row r="26" ht="12.75" customHeight="1" s="131">
      <c r="A26" s="137" t="n"/>
      <c r="B26" s="137" t="n"/>
      <c r="C26" s="137" t="n"/>
      <c r="D26" s="145" t="n"/>
      <c r="E26" s="182" t="n"/>
      <c r="F26" s="156" t="n"/>
      <c r="G26" s="156" t="n"/>
      <c r="H26" s="156" t="n"/>
      <c r="I26" s="156" t="n"/>
      <c r="J26" s="182" t="n"/>
      <c r="K26" s="182" t="n"/>
      <c r="L26" s="182" t="n"/>
      <c r="M26" s="182" t="n"/>
      <c r="N26" s="182" t="n"/>
      <c r="O26" s="182" t="n"/>
      <c r="P26" s="182" t="n"/>
      <c r="Q26" s="208" t="n"/>
      <c r="R26" s="208" t="n"/>
    </row>
    <row r="27" ht="12.75" customHeight="1" s="131">
      <c r="A27" s="137" t="n"/>
      <c r="B27" s="137" t="inlineStr">
        <is>
          <t>Less:  Accumulated Depreciation</t>
        </is>
      </c>
      <c r="C27" s="137" t="n"/>
      <c r="D27" s="145" t="n"/>
      <c r="E27" s="145" t="n"/>
      <c r="F27" s="151" t="n">
        <v>0</v>
      </c>
      <c r="G27" s="156" t="n"/>
      <c r="H27" s="156" t="n"/>
      <c r="I27" s="156" t="n"/>
      <c r="J27" s="145" t="n"/>
      <c r="K27" s="145" t="n"/>
      <c r="L27" s="145" t="n"/>
      <c r="M27" s="145" t="n"/>
      <c r="N27" s="145" t="n"/>
      <c r="O27" s="145" t="n"/>
      <c r="P27" s="145" t="n"/>
      <c r="Q27" s="167" t="n"/>
      <c r="R27" s="167" t="n"/>
    </row>
    <row r="28" ht="12.75" customHeight="1" s="131">
      <c r="A28" s="137" t="n"/>
      <c r="B28" s="137" t="n"/>
      <c r="C28" s="137" t="n"/>
      <c r="D28" s="145" t="n"/>
      <c r="E28" s="145" t="n"/>
      <c r="F28" s="162" t="n"/>
      <c r="G28" s="156" t="n"/>
      <c r="H28" s="156" t="n"/>
      <c r="I28" s="156" t="n"/>
      <c r="J28" s="145" t="n"/>
      <c r="K28" s="145" t="n"/>
      <c r="L28" s="145" t="n"/>
      <c r="M28" s="145" t="n"/>
      <c r="N28" s="145" t="n"/>
      <c r="O28" s="145" t="n"/>
      <c r="P28" s="145" t="n"/>
      <c r="Q28" s="167" t="n"/>
      <c r="R28" s="167" t="n"/>
    </row>
    <row r="29" ht="15.95" customHeight="1" s="131">
      <c r="A29" s="137" t="inlineStr">
        <is>
          <t>Total Assets</t>
        </is>
      </c>
      <c r="B29" s="137" t="n"/>
      <c r="C29" s="137" t="n"/>
      <c r="D29" s="145" t="n"/>
      <c r="E29" s="145" t="n"/>
      <c r="F29" s="184">
        <f>INT(F15+F25-F27)</f>
        <v/>
      </c>
      <c r="G29" s="156" t="n"/>
      <c r="H29" s="156" t="n"/>
      <c r="I29" s="156" t="n"/>
      <c r="J29" s="145" t="n"/>
      <c r="K29" s="145" t="n"/>
      <c r="L29" s="145" t="n"/>
      <c r="M29" s="145" t="n"/>
      <c r="N29" s="145" t="n"/>
      <c r="O29" s="145" t="n"/>
      <c r="P29" s="145" t="n"/>
      <c r="Q29" s="167" t="n"/>
      <c r="R29" s="167" t="n"/>
    </row>
    <row r="30" ht="12.75" customHeight="1" s="131">
      <c r="A30" s="137" t="n"/>
      <c r="B30" s="137" t="n"/>
      <c r="C30" s="137" t="n"/>
      <c r="D30" s="145" t="n"/>
      <c r="E30" s="145" t="n"/>
      <c r="F30" s="156" t="n"/>
      <c r="G30" s="156" t="n"/>
      <c r="H30" s="156" t="n"/>
      <c r="I30" s="156" t="n"/>
      <c r="J30" s="145" t="n"/>
      <c r="K30" s="145" t="n"/>
      <c r="L30" s="145" t="n"/>
      <c r="M30" s="145" t="n"/>
      <c r="N30" s="145" t="n"/>
      <c r="O30" s="145" t="n"/>
      <c r="P30" s="145" t="n"/>
      <c r="Q30" s="167" t="n"/>
      <c r="R30" s="167" t="n"/>
    </row>
    <row r="31" ht="12.75" customHeight="1" s="131">
      <c r="A31" s="137" t="n"/>
      <c r="B31" s="137" t="n"/>
      <c r="C31" s="137" t="n"/>
      <c r="D31" s="145" t="n"/>
      <c r="E31" s="145" t="n"/>
      <c r="F31" s="156" t="n"/>
      <c r="G31" s="156" t="n"/>
      <c r="H31" s="156" t="n"/>
      <c r="I31" s="156" t="n"/>
      <c r="J31" s="145" t="n"/>
      <c r="K31" s="145" t="n"/>
      <c r="L31" s="145" t="n"/>
      <c r="M31" s="145" t="n"/>
      <c r="N31" s="145" t="n"/>
      <c r="O31" s="145" t="n"/>
      <c r="P31" s="145" t="n"/>
      <c r="Q31" s="167" t="n"/>
      <c r="R31" s="167" t="n"/>
    </row>
    <row r="32" ht="12.75" customHeight="1" s="131">
      <c r="A32" s="137" t="n"/>
      <c r="B32" s="137" t="n"/>
      <c r="C32" s="137" t="n"/>
      <c r="D32" s="145" t="n"/>
      <c r="E32" s="145" t="n"/>
      <c r="F32" s="156" t="n"/>
      <c r="G32" s="156" t="n"/>
      <c r="H32" s="156" t="n"/>
      <c r="I32" s="156" t="n"/>
      <c r="J32" s="145" t="n"/>
      <c r="K32" s="145" t="n"/>
      <c r="L32" s="145" t="n"/>
      <c r="M32" s="145" t="n"/>
      <c r="N32" s="145" t="n"/>
      <c r="O32" s="145" t="n"/>
      <c r="P32" s="145" t="n"/>
      <c r="Q32" s="167" t="n"/>
      <c r="R32" s="167" t="n"/>
    </row>
    <row r="33" ht="12.75" customHeight="1" s="131">
      <c r="A33" s="137" t="inlineStr">
        <is>
          <t>Liabilities and Owner's Equity</t>
        </is>
      </c>
      <c r="B33" s="137" t="n"/>
      <c r="C33" s="137" t="n"/>
      <c r="D33" s="145" t="n"/>
      <c r="E33" s="145" t="n"/>
      <c r="F33" s="156" t="n"/>
      <c r="G33" s="156" t="n"/>
      <c r="H33" s="156" t="n"/>
      <c r="I33" s="156" t="n"/>
      <c r="J33" s="145" t="n"/>
      <c r="K33" s="145" t="n"/>
      <c r="L33" s="145" t="n"/>
      <c r="M33" s="145" t="n"/>
      <c r="N33" s="145" t="n"/>
      <c r="O33" s="145" t="n"/>
      <c r="P33" s="145" t="n"/>
      <c r="Q33" s="167" t="n"/>
      <c r="R33" s="167" t="n"/>
    </row>
    <row r="34" ht="12.75" customHeight="1" s="131">
      <c r="A34" s="137" t="n"/>
      <c r="B34" s="137" t="inlineStr">
        <is>
          <t>Liabilities</t>
        </is>
      </c>
      <c r="C34" s="137" t="n"/>
      <c r="D34" s="145" t="n"/>
      <c r="E34" s="145" t="n"/>
      <c r="F34" s="156" t="n"/>
      <c r="G34" s="156" t="n"/>
      <c r="H34" s="156" t="n"/>
      <c r="I34" s="156" t="n"/>
      <c r="J34" s="145" t="n"/>
      <c r="K34" s="145" t="n"/>
      <c r="L34" s="145" t="n"/>
      <c r="M34" s="145" t="n"/>
      <c r="N34" s="145" t="n"/>
      <c r="O34" s="145" t="n"/>
      <c r="P34" s="145" t="n"/>
      <c r="Q34" s="167" t="n"/>
      <c r="R34" s="167" t="n"/>
    </row>
    <row r="35" ht="12.75" customHeight="1" s="131">
      <c r="A35" s="137" t="n"/>
      <c r="B35" s="137" t="n"/>
      <c r="C35" s="137" t="inlineStr">
        <is>
          <t>Accounts Payable</t>
        </is>
      </c>
      <c r="D35" s="145" t="n"/>
      <c r="E35" s="156" t="n"/>
      <c r="F35" s="151" t="n">
        <v>0</v>
      </c>
      <c r="G35" s="156" t="n"/>
      <c r="H35" s="156" t="n"/>
      <c r="I35" s="156" t="n"/>
      <c r="J35" s="156" t="n"/>
      <c r="K35" s="156" t="n"/>
      <c r="L35" s="156" t="n"/>
      <c r="M35" s="156" t="n"/>
      <c r="N35" s="156" t="n"/>
      <c r="O35" s="156" t="n"/>
      <c r="P35" s="156" t="n"/>
      <c r="Q35" s="207" t="n"/>
      <c r="R35" s="207" t="n"/>
    </row>
    <row r="36" ht="12.75" customHeight="1" s="131">
      <c r="A36" s="137" t="n"/>
      <c r="B36" s="137" t="n"/>
      <c r="C36" s="137" t="inlineStr">
        <is>
          <t>Notes Payable</t>
        </is>
      </c>
      <c r="D36" s="145" t="n"/>
      <c r="E36" s="182" t="n"/>
      <c r="F36" s="151" t="n">
        <v>0</v>
      </c>
      <c r="G36" s="156" t="n"/>
      <c r="H36" s="156" t="n"/>
      <c r="I36" s="156" t="n"/>
      <c r="J36" s="182" t="n"/>
      <c r="K36" s="182" t="n"/>
      <c r="L36" s="182" t="n"/>
      <c r="M36" s="182" t="n"/>
      <c r="N36" s="182" t="n"/>
      <c r="O36" s="182" t="n"/>
      <c r="P36" s="182" t="n"/>
      <c r="Q36" s="208" t="n"/>
      <c r="R36" s="167" t="n"/>
    </row>
    <row r="37" ht="12.75" customHeight="1" s="131">
      <c r="A37" s="137" t="n"/>
      <c r="B37" s="137" t="n"/>
      <c r="C37" s="137" t="inlineStr">
        <is>
          <t>Mortgage Payable</t>
        </is>
      </c>
      <c r="D37" s="145" t="n"/>
      <c r="E37" s="145" t="n"/>
      <c r="F37" s="151" t="n">
        <v>0</v>
      </c>
      <c r="G37" s="156" t="n"/>
      <c r="H37" s="156" t="n"/>
      <c r="I37" s="156" t="n"/>
      <c r="J37" s="145" t="n"/>
      <c r="K37" s="145" t="n"/>
      <c r="L37" s="145" t="n"/>
      <c r="M37" s="145" t="n"/>
      <c r="N37" s="145" t="n"/>
      <c r="O37" s="145" t="n"/>
      <c r="P37" s="145" t="n"/>
      <c r="Q37" s="167" t="n"/>
      <c r="R37" s="167" t="n"/>
    </row>
    <row r="38" ht="12.75" customHeight="1" s="131">
      <c r="A38" s="137" t="n"/>
      <c r="B38" s="137" t="n"/>
      <c r="C38" s="137" t="inlineStr">
        <is>
          <t>Line of Credit Balance</t>
        </is>
      </c>
      <c r="D38" s="145" t="n"/>
      <c r="E38" s="145" t="n"/>
      <c r="F38" s="181" t="n">
        <v>0</v>
      </c>
      <c r="G38" s="156" t="n"/>
      <c r="H38" s="156" t="n"/>
      <c r="I38" s="156" t="n"/>
      <c r="J38" s="145" t="n"/>
      <c r="K38" s="145" t="n"/>
      <c r="L38" s="145" t="n"/>
      <c r="M38" s="145" t="n"/>
      <c r="N38" s="145" t="n"/>
      <c r="O38" s="145" t="n"/>
      <c r="P38" s="145" t="n"/>
      <c r="Q38" s="167" t="n"/>
      <c r="R38" s="167" t="n"/>
    </row>
    <row r="39" ht="12.75" customHeight="1" s="131">
      <c r="A39" s="137" t="n"/>
      <c r="B39" s="137" t="inlineStr">
        <is>
          <t>Total Liabilities</t>
        </is>
      </c>
      <c r="C39" s="137" t="n"/>
      <c r="D39" s="145" t="n"/>
      <c r="E39" s="145" t="n"/>
      <c r="F39" s="156">
        <f>SUM(F35:F38)</f>
        <v/>
      </c>
      <c r="G39" s="156" t="n"/>
      <c r="H39" s="156" t="n"/>
      <c r="I39" s="156" t="n"/>
      <c r="J39" s="145" t="n"/>
      <c r="K39" s="145" t="n"/>
      <c r="L39" s="145" t="n"/>
      <c r="M39" s="145" t="n"/>
      <c r="N39" s="145" t="n"/>
      <c r="O39" s="145" t="n"/>
      <c r="P39" s="145" t="n"/>
      <c r="Q39" s="167" t="n"/>
      <c r="R39" s="167" t="n"/>
    </row>
    <row r="40" ht="12.75" customHeight="1" s="131">
      <c r="A40" s="137" t="n"/>
      <c r="B40" s="137" t="n"/>
      <c r="C40" s="137" t="n"/>
      <c r="D40" s="145" t="n"/>
      <c r="E40" s="145" t="n"/>
      <c r="F40" s="156" t="n"/>
      <c r="G40" s="156" t="n"/>
      <c r="H40" s="156" t="n"/>
      <c r="I40" s="156" t="n"/>
      <c r="J40" s="145" t="n"/>
      <c r="K40" s="145" t="n"/>
      <c r="L40" s="145" t="n"/>
      <c r="M40" s="145" t="n"/>
      <c r="N40" s="145" t="n"/>
      <c r="O40" s="145" t="n"/>
      <c r="P40" s="145" t="n"/>
      <c r="Q40" s="167" t="n"/>
      <c r="R40" s="167" t="n"/>
    </row>
    <row r="41" ht="12.75" customHeight="1" s="131">
      <c r="A41" s="137" t="n"/>
      <c r="B41" s="137" t="inlineStr">
        <is>
          <t>Owner's Equity</t>
        </is>
      </c>
      <c r="C41" s="137" t="n"/>
      <c r="D41" s="145" t="n"/>
      <c r="E41" s="145" t="n"/>
      <c r="F41" s="156" t="n"/>
      <c r="G41" s="156" t="n"/>
      <c r="H41" s="156" t="n"/>
      <c r="I41" s="156" t="n"/>
      <c r="J41" s="145" t="n"/>
      <c r="K41" s="145" t="n"/>
      <c r="L41" s="145" t="n"/>
      <c r="M41" s="145" t="n"/>
      <c r="N41" s="145" t="n"/>
      <c r="O41" s="145" t="n"/>
      <c r="P41" s="145" t="n"/>
      <c r="Q41" s="167" t="n"/>
      <c r="R41" s="167" t="n"/>
    </row>
    <row r="42" ht="12.75" customHeight="1" s="131">
      <c r="A42" s="137" t="n"/>
      <c r="B42" s="137" t="n"/>
      <c r="C42" s="137" t="inlineStr">
        <is>
          <t>Common Stock</t>
        </is>
      </c>
      <c r="D42" s="145" t="n"/>
      <c r="E42" s="145" t="n"/>
      <c r="F42" s="151" t="n">
        <v>0</v>
      </c>
      <c r="G42" s="156" t="n"/>
      <c r="H42" s="156" t="n"/>
      <c r="I42" s="156" t="n"/>
      <c r="J42" s="145" t="n"/>
      <c r="K42" s="145" t="n"/>
      <c r="L42" s="145" t="n"/>
      <c r="M42" s="145" t="n"/>
      <c r="N42" s="145" t="n"/>
      <c r="O42" s="145" t="n"/>
      <c r="P42" s="145" t="n"/>
      <c r="Q42" s="167" t="n"/>
      <c r="R42" s="167" t="n"/>
    </row>
    <row r="43" ht="12.75" customHeight="1" s="131">
      <c r="A43" s="137" t="n"/>
      <c r="B43" s="137" t="n"/>
      <c r="C43" s="137" t="inlineStr">
        <is>
          <t>Retained Earnings</t>
        </is>
      </c>
      <c r="D43" s="145" t="n"/>
      <c r="E43" s="145" t="n"/>
      <c r="F43" s="151" t="n">
        <v>0</v>
      </c>
      <c r="G43" s="156" t="n"/>
      <c r="H43" s="156" t="n"/>
      <c r="I43" s="156" t="n"/>
      <c r="J43" s="145" t="n"/>
      <c r="K43" s="145" t="n"/>
      <c r="L43" s="145" t="n"/>
      <c r="M43" s="145" t="n"/>
      <c r="N43" s="145" t="n"/>
      <c r="O43" s="145" t="n"/>
      <c r="P43" s="145" t="n"/>
      <c r="Q43" s="167" t="n"/>
      <c r="R43" s="167" t="n"/>
    </row>
    <row r="44" ht="12.75" customHeight="1" s="131">
      <c r="A44" s="137" t="n"/>
      <c r="B44" s="137" t="n"/>
      <c r="C44" s="137" t="inlineStr">
        <is>
          <t>Dividends Dispersed</t>
        </is>
      </c>
      <c r="D44" s="145" t="n"/>
      <c r="E44" s="145" t="n"/>
      <c r="F44" s="181" t="n">
        <v>0</v>
      </c>
      <c r="G44" s="156" t="n"/>
      <c r="H44" s="156" t="n"/>
      <c r="I44" s="156" t="n"/>
      <c r="J44" s="145" t="n"/>
      <c r="K44" s="145" t="n"/>
      <c r="L44" s="145" t="n"/>
      <c r="M44" s="145" t="n"/>
      <c r="N44" s="145" t="n"/>
      <c r="O44" s="145" t="n"/>
      <c r="P44" s="145" t="n"/>
      <c r="Q44" s="167" t="n"/>
      <c r="R44" s="167" t="n"/>
    </row>
    <row r="45" ht="12.75" customHeight="1" s="131">
      <c r="A45" s="137" t="n"/>
      <c r="B45" s="137" t="inlineStr">
        <is>
          <t>Total Owner's Equity</t>
        </is>
      </c>
      <c r="C45" s="137" t="n"/>
      <c r="D45" s="145" t="n"/>
      <c r="E45" s="145" t="n"/>
      <c r="F45" s="156">
        <f>F42+F43-F44</f>
        <v/>
      </c>
      <c r="G45" s="156" t="n"/>
      <c r="H45" s="156" t="n"/>
      <c r="I45" s="156" t="n"/>
      <c r="J45" s="145" t="n"/>
      <c r="K45" s="145" t="n"/>
      <c r="L45" s="145" t="n"/>
      <c r="M45" s="145" t="n"/>
      <c r="N45" s="145" t="n"/>
      <c r="O45" s="145" t="n"/>
      <c r="P45" s="145" t="n"/>
    </row>
    <row r="46" ht="12.75" customHeight="1" s="131">
      <c r="A46" s="137" t="n"/>
      <c r="B46" s="137" t="n"/>
      <c r="C46" s="137" t="n"/>
      <c r="D46" s="145" t="n"/>
      <c r="E46" s="145" t="n"/>
      <c r="F46" s="162" t="n"/>
      <c r="G46" s="156" t="n"/>
      <c r="H46" s="156" t="n"/>
      <c r="I46" s="156" t="n"/>
      <c r="J46" s="145" t="n"/>
      <c r="K46" s="145" t="n"/>
      <c r="L46" s="145" t="n"/>
      <c r="M46" s="145" t="n"/>
      <c r="N46" s="145" t="n"/>
      <c r="O46" s="145" t="n"/>
      <c r="P46" s="145" t="n"/>
    </row>
    <row r="47" ht="15.95" customHeight="1" s="131">
      <c r="A47" s="137" t="inlineStr">
        <is>
          <t>Total Liabilities and Owner's Equity</t>
        </is>
      </c>
      <c r="B47" s="137" t="n"/>
      <c r="C47" s="137" t="n"/>
      <c r="D47" s="145" t="n"/>
      <c r="E47" s="145" t="n"/>
      <c r="F47" s="184">
        <f>INT(F39+F45)</f>
        <v/>
      </c>
      <c r="G47" s="156" t="n"/>
      <c r="H47" s="156" t="n"/>
      <c r="I47" s="156" t="n"/>
      <c r="J47" s="145" t="n"/>
      <c r="K47" s="145" t="n"/>
      <c r="L47" s="145" t="n"/>
      <c r="M47" s="145" t="n"/>
      <c r="N47" s="145" t="n"/>
      <c r="O47" s="145" t="n"/>
      <c r="P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row>
    <row r="50" ht="12.75" customHeight="1" s="131">
      <c r="A50" s="137" t="n"/>
      <c r="B50" s="137" t="n"/>
      <c r="C50" s="137" t="n"/>
      <c r="D50" s="145" t="n"/>
      <c r="E50" s="145" t="n"/>
      <c r="F50" s="189">
        <f>IF(F29=F47,"Statement Balances","Does Not Balance")</f>
        <v/>
      </c>
      <c r="G50" s="145" t="n"/>
      <c r="H50" s="145" t="n"/>
      <c r="I50" s="145" t="n"/>
      <c r="J50" s="145" t="n"/>
      <c r="K50" s="145" t="n"/>
      <c r="L50" s="145" t="n"/>
      <c r="M50" s="145" t="n"/>
      <c r="N50" s="145" t="n"/>
      <c r="O50" s="145" t="n"/>
      <c r="P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row>
    <row r="53" ht="12.75" customHeight="1" s="131"/>
    <row r="54" ht="12.75" customHeight="1" s="131"/>
    <row r="55" ht="12.75" customHeight="1" s="131">
      <c r="E55" s="130" t="n"/>
      <c r="F55" s="130" t="n"/>
      <c r="G55" s="130" t="n"/>
      <c r="H55" s="130" t="n"/>
      <c r="J55" s="130" t="n"/>
      <c r="K55" s="130" t="n"/>
      <c r="L55" s="130" t="n"/>
      <c r="M55" s="130" t="n"/>
      <c r="N55" s="130" t="n"/>
      <c r="O55" s="130" t="n"/>
      <c r="P55" s="130" t="n"/>
      <c r="Q55" s="130" t="n"/>
      <c r="R55" s="130" t="n"/>
    </row>
    <row r="56" ht="12.75" customHeight="1" s="131">
      <c r="E56" s="130" t="n"/>
      <c r="F56" s="130" t="n"/>
      <c r="G56" s="130" t="n"/>
      <c r="H56" s="130" t="n"/>
      <c r="J56" s="130" t="n"/>
      <c r="K56" s="130" t="n"/>
      <c r="L56" s="130" t="n"/>
      <c r="M56" s="130" t="n"/>
      <c r="N56" s="130" t="n"/>
      <c r="O56" s="130" t="n"/>
      <c r="P56" s="130" t="n"/>
      <c r="Q56" s="130" t="n"/>
      <c r="R56" s="130" t="n"/>
    </row>
    <row r="57" ht="12.75" customHeight="1" s="131">
      <c r="E57" s="130" t="n"/>
      <c r="F57" s="130" t="n"/>
      <c r="G57" s="130" t="n"/>
      <c r="H57" s="130" t="n"/>
      <c r="J57" s="130" t="n"/>
      <c r="K57" s="130" t="n"/>
      <c r="L57" s="130" t="n"/>
      <c r="M57" s="130" t="n"/>
      <c r="N57" s="130" t="n"/>
      <c r="O57" s="130" t="n"/>
      <c r="P57" s="130" t="n"/>
      <c r="Q57" s="130" t="n"/>
      <c r="R57" s="130" t="n"/>
    </row>
    <row r="58" ht="12.75" customHeight="1" s="131">
      <c r="D58" s="167" t="n"/>
      <c r="E58" s="130" t="n"/>
      <c r="F58" s="130" t="n"/>
      <c r="G58" s="130" t="n"/>
      <c r="H58" s="130" t="n"/>
      <c r="J58" s="130" t="n"/>
      <c r="K58" s="130" t="n"/>
      <c r="L58" s="130" t="n"/>
      <c r="M58" s="130" t="n"/>
      <c r="N58" s="130" t="n"/>
      <c r="O58" s="130" t="n"/>
      <c r="P58" s="130" t="n"/>
      <c r="Q58" s="130" t="n"/>
      <c r="R58" s="130" t="n"/>
    </row>
    <row r="59" ht="12.75" customHeight="1" s="131">
      <c r="D59" s="167" t="n"/>
      <c r="E59" s="130" t="n"/>
      <c r="F59" s="130" t="n"/>
      <c r="G59" s="130" t="n"/>
      <c r="H59" s="130" t="n"/>
      <c r="J59" s="130" t="n"/>
      <c r="K59" s="130" t="n"/>
      <c r="L59" s="130" t="n"/>
      <c r="M59" s="130" t="n"/>
      <c r="N59" s="130" t="n"/>
      <c r="O59" s="130" t="n"/>
      <c r="P59" s="130" t="n"/>
      <c r="Q59" s="130" t="n"/>
      <c r="R59" s="130" t="n"/>
    </row>
    <row r="60" ht="12.75" customHeight="1" s="131">
      <c r="D60" s="167" t="n"/>
      <c r="E60" s="130" t="n"/>
      <c r="F60" s="130" t="n"/>
      <c r="G60" s="130" t="n"/>
      <c r="H60" s="130" t="n"/>
      <c r="J60" s="130" t="n"/>
      <c r="K60" s="130" t="n"/>
      <c r="L60" s="130" t="n"/>
      <c r="M60" s="130" t="n"/>
      <c r="N60" s="130" t="n"/>
      <c r="O60" s="130" t="n"/>
      <c r="P60" s="130" t="n"/>
      <c r="Q60" s="130" t="n"/>
      <c r="R60" s="130" t="n"/>
    </row>
    <row r="61" ht="12.75" customHeight="1" s="131">
      <c r="D61" s="167" t="n"/>
      <c r="E61" s="130" t="n"/>
      <c r="F61" s="130" t="n"/>
      <c r="G61" s="130" t="n"/>
      <c r="H61" s="130" t="n"/>
      <c r="J61" s="130" t="n"/>
      <c r="K61" s="130" t="n"/>
      <c r="L61" s="130" t="n"/>
      <c r="M61" s="130" t="n"/>
      <c r="N61" s="130" t="n"/>
      <c r="O61" s="130" t="n"/>
      <c r="P61" s="130" t="n"/>
      <c r="Q61" s="130" t="n"/>
      <c r="R61" s="130" t="n"/>
    </row>
    <row r="62" ht="12.75" customHeight="1" s="131">
      <c r="D62" s="167" t="n"/>
      <c r="E62" s="130" t="n"/>
      <c r="F62" s="130" t="n"/>
      <c r="G62" s="130" t="n"/>
      <c r="H62" s="130" t="n"/>
      <c r="J62" s="130" t="n"/>
      <c r="K62" s="130" t="n"/>
      <c r="L62" s="130" t="n"/>
      <c r="M62" s="130" t="n"/>
      <c r="N62" s="130" t="n"/>
      <c r="O62" s="130" t="n"/>
      <c r="P62" s="130" t="n"/>
      <c r="Q62" s="130" t="n"/>
      <c r="R62" s="130" t="n"/>
    </row>
    <row r="63" ht="12.75" customHeight="1" s="131">
      <c r="E63" s="130" t="n"/>
      <c r="F63" s="130" t="n"/>
      <c r="G63" s="130" t="n"/>
      <c r="H63" s="130" t="n"/>
      <c r="J63" s="130" t="n"/>
      <c r="K63" s="130" t="n"/>
      <c r="L63" s="130" t="n"/>
      <c r="M63" s="130" t="n"/>
      <c r="N63" s="130" t="n"/>
      <c r="O63" s="130" t="n"/>
      <c r="P63" s="130" t="n"/>
      <c r="Q63" s="130" t="n"/>
      <c r="R63" s="130" t="n"/>
    </row>
    <row r="64" ht="12.75" customHeight="1" s="131">
      <c r="E64" s="130" t="n"/>
      <c r="F64" s="130" t="n"/>
      <c r="G64" s="130" t="n"/>
      <c r="H64" s="130" t="n"/>
      <c r="J64" s="130" t="n"/>
      <c r="K64" s="130" t="n"/>
      <c r="L64" s="130" t="n"/>
      <c r="M64" s="130" t="n"/>
      <c r="N64" s="130" t="n"/>
      <c r="O64" s="130" t="n"/>
      <c r="P64" s="130" t="n"/>
      <c r="Q64" s="130" t="n"/>
      <c r="R64" s="130" t="n"/>
    </row>
    <row r="65" ht="12.75" customHeight="1" s="131">
      <c r="E65" s="130" t="n"/>
      <c r="F65" s="130" t="n"/>
      <c r="G65" s="130" t="n"/>
      <c r="H65" s="130" t="n"/>
      <c r="J65" s="130" t="n"/>
      <c r="K65" s="130" t="n"/>
      <c r="L65" s="130" t="n"/>
      <c r="M65" s="130" t="n"/>
      <c r="N65" s="130" t="n"/>
      <c r="O65" s="130" t="n"/>
      <c r="P65" s="130" t="n"/>
      <c r="Q65" s="130" t="n"/>
      <c r="R65" s="130" t="n"/>
    </row>
    <row r="66" ht="12.75" customHeight="1" s="131">
      <c r="E66" s="130" t="n"/>
      <c r="F66" s="130" t="n"/>
      <c r="G66" s="130" t="n"/>
      <c r="H66" s="130" t="n"/>
      <c r="J66" s="130" t="n"/>
      <c r="K66" s="130" t="n"/>
      <c r="L66" s="130" t="n"/>
      <c r="M66" s="130" t="n"/>
      <c r="N66" s="130" t="n"/>
      <c r="O66" s="130" t="n"/>
      <c r="P66" s="130" t="n"/>
      <c r="Q66" s="130" t="n"/>
      <c r="R66" s="130" t="n"/>
    </row>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Q72"/>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1"/>
  <cols>
    <col width="2.99" customWidth="1" style="168" min="1" max="3"/>
    <col width="22.75" customWidth="1" style="130" min="4" max="4"/>
    <col width="10.72" customWidth="1" style="130" min="5" max="16"/>
    <col width="15.73" customWidth="1" style="130" min="17" max="17"/>
  </cols>
  <sheetData>
    <row r="1" ht="15.75" customHeight="1" s="131">
      <c r="A1" s="142">
        <f>'1. Required Start-Up Funds'!A1</f>
        <v/>
      </c>
    </row>
    <row r="2" ht="15.75" customHeight="1" s="131">
      <c r="A2" s="142" t="inlineStr">
        <is>
          <t>Projected Income Statement - Year One</t>
        </is>
      </c>
    </row>
    <row r="3" ht="12.75" customHeight="1" s="131">
      <c r="A3" s="137" t="n"/>
      <c r="B3" s="137" t="n"/>
      <c r="C3" s="137" t="n"/>
      <c r="D3" s="145" t="n"/>
      <c r="E3" s="145" t="n"/>
      <c r="F3" s="145" t="n"/>
      <c r="G3" s="145" t="n"/>
      <c r="H3" s="145" t="n"/>
      <c r="I3" s="145" t="n"/>
      <c r="J3" s="145" t="n"/>
      <c r="K3" s="145" t="n"/>
      <c r="L3" s="145" t="n"/>
      <c r="M3" s="145" t="n"/>
      <c r="N3" s="145" t="n"/>
      <c r="O3" s="145" t="n"/>
      <c r="P3" s="145" t="n"/>
      <c r="Q3" s="145" t="n"/>
    </row>
    <row r="4" ht="12.75" customHeight="1" s="131">
      <c r="A4" s="137" t="n"/>
      <c r="B4" s="137" t="n"/>
      <c r="C4" s="137" t="n"/>
      <c r="D4" s="145" t="n"/>
      <c r="E4" s="145" t="n"/>
      <c r="F4" s="145" t="n"/>
      <c r="G4" s="145" t="n"/>
      <c r="H4" s="145" t="n"/>
      <c r="I4" s="145" t="n"/>
      <c r="J4" s="145" t="n"/>
      <c r="K4" s="145" t="n"/>
      <c r="L4" s="145" t="n"/>
      <c r="M4" s="145" t="n"/>
      <c r="N4" s="145" t="n"/>
      <c r="O4" s="145" t="n"/>
      <c r="P4" s="145" t="n"/>
      <c r="Q4" s="145" t="n"/>
    </row>
    <row r="5" ht="12.75" customHeight="1" s="131">
      <c r="A5" s="137" t="n"/>
      <c r="B5" s="137" t="n"/>
      <c r="C5" s="137" t="n"/>
      <c r="D5" s="145" t="n"/>
      <c r="E5" s="145" t="n"/>
      <c r="F5" s="145" t="n"/>
      <c r="G5" s="145" t="n"/>
      <c r="H5" s="145" t="n"/>
      <c r="I5" s="145" t="n"/>
      <c r="J5" s="145" t="n"/>
      <c r="K5" s="145" t="n"/>
      <c r="L5" s="145" t="n"/>
      <c r="M5" s="145" t="n"/>
      <c r="N5" s="145" t="n"/>
      <c r="O5" s="145" t="n"/>
      <c r="P5" s="145" t="n"/>
      <c r="Q5" s="145" t="n"/>
    </row>
    <row r="6" ht="12.75" customHeight="1" s="131">
      <c r="A6" s="137" t="n"/>
      <c r="B6" s="137" t="n"/>
      <c r="C6" s="137" t="n"/>
      <c r="D6" s="145" t="n"/>
      <c r="E6" s="172">
        <f>'4. Projected Sales Forecast'!H6</f>
        <v/>
      </c>
      <c r="F6" s="172">
        <f>'4. Projected Sales Forecast'!I6</f>
        <v/>
      </c>
      <c r="G6" s="172">
        <f>'4. Projected Sales Forecast'!J6</f>
        <v/>
      </c>
      <c r="H6" s="172">
        <f>'4. Projected Sales Forecast'!K6</f>
        <v/>
      </c>
      <c r="I6" s="172">
        <f>'4. Projected Sales Forecast'!L6</f>
        <v/>
      </c>
      <c r="J6" s="172">
        <f>'4. Projected Sales Forecast'!M6</f>
        <v/>
      </c>
      <c r="K6" s="172">
        <f>'4. Projected Sales Forecast'!N6</f>
        <v/>
      </c>
      <c r="L6" s="172">
        <f>'4. Projected Sales Forecast'!O6</f>
        <v/>
      </c>
      <c r="M6" s="172">
        <f>'4. Projected Sales Forecast'!P6</f>
        <v/>
      </c>
      <c r="N6" s="172">
        <f>'4. Projected Sales Forecast'!Q6</f>
        <v/>
      </c>
      <c r="O6" s="172">
        <f>'4. Projected Sales Forecast'!R6</f>
        <v/>
      </c>
      <c r="P6" s="172">
        <f>'4. Projected Sales Forecast'!S6</f>
        <v/>
      </c>
      <c r="Q6" s="172" t="inlineStr">
        <is>
          <t>Totals</t>
        </is>
      </c>
    </row>
    <row r="7" ht="12.75" customHeight="1" s="131">
      <c r="A7" s="137" t="n"/>
      <c r="B7" s="137" t="n"/>
      <c r="C7" s="137" t="n"/>
      <c r="D7" s="145" t="n"/>
      <c r="E7" s="145" t="n"/>
      <c r="F7" s="145" t="n"/>
      <c r="G7" s="145" t="n"/>
      <c r="H7" s="145" t="n"/>
      <c r="I7" s="145" t="n"/>
      <c r="J7" s="145" t="n"/>
      <c r="K7" s="145" t="n"/>
      <c r="L7" s="145" t="n"/>
      <c r="M7" s="145" t="n"/>
      <c r="N7" s="145" t="n"/>
      <c r="O7" s="145" t="n"/>
      <c r="P7" s="145" t="n"/>
      <c r="Q7" s="145" t="n"/>
    </row>
    <row r="8" outlineLevel="1" ht="12.75" customHeight="1" s="131">
      <c r="A8" s="137" t="inlineStr">
        <is>
          <t>Income</t>
        </is>
      </c>
      <c r="B8" s="137" t="n"/>
      <c r="C8" s="137" t="n"/>
      <c r="D8" s="145" t="n"/>
      <c r="E8" s="145" t="n"/>
      <c r="F8" s="145" t="n"/>
      <c r="G8" s="145" t="n"/>
      <c r="H8" s="145" t="n"/>
      <c r="I8" s="145" t="n"/>
      <c r="J8" s="145" t="n"/>
      <c r="K8" s="145" t="n"/>
      <c r="L8" s="145" t="n"/>
      <c r="M8" s="145" t="n"/>
      <c r="N8" s="145" t="n"/>
      <c r="O8" s="145" t="n"/>
      <c r="P8" s="145" t="n"/>
      <c r="Q8" s="145" t="n"/>
    </row>
    <row r="9" outlineLevel="1" ht="12.75" customHeight="1" s="131">
      <c r="A9" s="137" t="n"/>
      <c r="B9" s="137">
        <f>'4. Projected Sales Forecast'!A8</f>
        <v/>
      </c>
      <c r="C9" s="137" t="n"/>
      <c r="D9" s="145" t="n"/>
      <c r="E9" s="156">
        <f>'4. Projected Sales Forecast'!$E$9*'4. Projected Sales Forecast'!H14</f>
        <v/>
      </c>
      <c r="F9" s="156">
        <f>'4. Projected Sales Forecast'!$E$9*'4. Projected Sales Forecast'!I14</f>
        <v/>
      </c>
      <c r="G9" s="156">
        <f>'4. Projected Sales Forecast'!$E$9*'4. Projected Sales Forecast'!J14</f>
        <v/>
      </c>
      <c r="H9" s="156">
        <f>'4. Projected Sales Forecast'!$E$9*'4. Projected Sales Forecast'!K14</f>
        <v/>
      </c>
      <c r="I9" s="156">
        <f>'4. Projected Sales Forecast'!$E$9*'4. Projected Sales Forecast'!L14</f>
        <v/>
      </c>
      <c r="J9" s="156">
        <f>'4. Projected Sales Forecast'!$E$9*'4. Projected Sales Forecast'!M14</f>
        <v/>
      </c>
      <c r="K9" s="156">
        <f>'4. Projected Sales Forecast'!$E$9*'4. Projected Sales Forecast'!N14</f>
        <v/>
      </c>
      <c r="L9" s="156">
        <f>'4. Projected Sales Forecast'!$E$9*'4. Projected Sales Forecast'!O14</f>
        <v/>
      </c>
      <c r="M9" s="156">
        <f>'4. Projected Sales Forecast'!$E$9*'4. Projected Sales Forecast'!P14</f>
        <v/>
      </c>
      <c r="N9" s="156">
        <f>'4. Projected Sales Forecast'!$E$9*'4. Projected Sales Forecast'!Q14</f>
        <v/>
      </c>
      <c r="O9" s="156">
        <f>'4. Projected Sales Forecast'!$E$9*'4. Projected Sales Forecast'!R14</f>
        <v/>
      </c>
      <c r="P9" s="156">
        <f>'4. Projected Sales Forecast'!$E$9*'4. Projected Sales Forecast'!S14</f>
        <v/>
      </c>
      <c r="Q9" s="182">
        <f>SUM(E9:P9)</f>
        <v/>
      </c>
    </row>
    <row r="10" outlineLevel="1" ht="12.75" customHeight="1" s="131">
      <c r="A10" s="137" t="n"/>
      <c r="B10" s="137">
        <f>'4. Projected Sales Forecast'!A30</f>
        <v/>
      </c>
      <c r="C10" s="137" t="n"/>
      <c r="D10" s="145" t="n"/>
      <c r="E10" s="156">
        <f>'4. Projected Sales Forecast'!$E$31*'4. Projected Sales Forecast'!H36</f>
        <v/>
      </c>
      <c r="F10" s="156">
        <f>'4. Projected Sales Forecast'!$E$31*'4. Projected Sales Forecast'!I36</f>
        <v/>
      </c>
      <c r="G10" s="156">
        <f>'4. Projected Sales Forecast'!$E$31*'4. Projected Sales Forecast'!J36</f>
        <v/>
      </c>
      <c r="H10" s="156">
        <f>'4. Projected Sales Forecast'!$E$31*'4. Projected Sales Forecast'!K36</f>
        <v/>
      </c>
      <c r="I10" s="156">
        <f>'4. Projected Sales Forecast'!$E$31*'4. Projected Sales Forecast'!L36</f>
        <v/>
      </c>
      <c r="J10" s="156">
        <f>'4. Projected Sales Forecast'!$E$31*'4. Projected Sales Forecast'!M36</f>
        <v/>
      </c>
      <c r="K10" s="156">
        <f>'4. Projected Sales Forecast'!$E$31*'4. Projected Sales Forecast'!N36</f>
        <v/>
      </c>
      <c r="L10" s="156">
        <f>'4. Projected Sales Forecast'!$E$31*'4. Projected Sales Forecast'!O36</f>
        <v/>
      </c>
      <c r="M10" s="156">
        <f>'4. Projected Sales Forecast'!$E$31*'4. Projected Sales Forecast'!P36</f>
        <v/>
      </c>
      <c r="N10" s="156">
        <f>'4. Projected Sales Forecast'!$E$31*'4. Projected Sales Forecast'!Q36</f>
        <v/>
      </c>
      <c r="O10" s="156">
        <f>'4. Projected Sales Forecast'!$E$31*'4. Projected Sales Forecast'!R36</f>
        <v/>
      </c>
      <c r="P10" s="156">
        <f>'4. Projected Sales Forecast'!$E$31*'4. Projected Sales Forecast'!S36</f>
        <v/>
      </c>
      <c r="Q10" s="182">
        <f>SUM(E10:P10)</f>
        <v/>
      </c>
    </row>
    <row r="11" outlineLevel="1" ht="12.75" customHeight="1" s="131">
      <c r="A11" s="137" t="n"/>
      <c r="B11" s="137">
        <f>IF('5. Projected Sales Forecast (2)'!E9&gt;0,'5. Projected Sales Forecast (2)'!A8,"")</f>
        <v/>
      </c>
      <c r="C11" s="137" t="n"/>
      <c r="D11" s="145" t="n"/>
      <c r="E11" s="156">
        <f>IF('5. Projected Sales Forecast (2)'!$E$9&gt;0,'5. Projected Sales Forecast (2)'!$E$9*'5. Projected Sales Forecast (2)'!H14,"")</f>
        <v/>
      </c>
      <c r="F11" s="156">
        <f>IF('5. Projected Sales Forecast (2)'!$E$9&gt;0,'5. Projected Sales Forecast (2)'!$E$9*'5. Projected Sales Forecast (2)'!I14,"")</f>
        <v/>
      </c>
      <c r="G11" s="156">
        <f>IF('5. Projected Sales Forecast (2)'!$E$9&gt;0,'5. Projected Sales Forecast (2)'!$E$9*'5. Projected Sales Forecast (2)'!J14,"")</f>
        <v/>
      </c>
      <c r="H11" s="156">
        <f>IF('5. Projected Sales Forecast (2)'!$E$9&gt;0,'5. Projected Sales Forecast (2)'!$E$9*'5. Projected Sales Forecast (2)'!K14,"")</f>
        <v/>
      </c>
      <c r="I11" s="156">
        <f>IF('5. Projected Sales Forecast (2)'!$E$9&gt;0,'5. Projected Sales Forecast (2)'!$E$9*'5. Projected Sales Forecast (2)'!L14,"")</f>
        <v/>
      </c>
      <c r="J11" s="156">
        <f>IF('5. Projected Sales Forecast (2)'!$E$9&gt;0,'5. Projected Sales Forecast (2)'!$E$9*'5. Projected Sales Forecast (2)'!M14,"")</f>
        <v/>
      </c>
      <c r="K11" s="156">
        <f>IF('5. Projected Sales Forecast (2)'!$E$9&gt;0,'5. Projected Sales Forecast (2)'!$E$9*'5. Projected Sales Forecast (2)'!N14,"")</f>
        <v/>
      </c>
      <c r="L11" s="156">
        <f>IF('5. Projected Sales Forecast (2)'!$E$9&gt;0,'5. Projected Sales Forecast (2)'!$E$9*'5. Projected Sales Forecast (2)'!O14,"")</f>
        <v/>
      </c>
      <c r="M11" s="156">
        <f>IF('5. Projected Sales Forecast (2)'!$E$9&gt;0,'5. Projected Sales Forecast (2)'!$E$9*'5. Projected Sales Forecast (2)'!P14,"")</f>
        <v/>
      </c>
      <c r="N11" s="156">
        <f>IF('5. Projected Sales Forecast (2)'!$E$9&gt;0,'5. Projected Sales Forecast (2)'!$E$9*'5. Projected Sales Forecast (2)'!Q14,"")</f>
        <v/>
      </c>
      <c r="O11" s="156">
        <f>IF('5. Projected Sales Forecast (2)'!$E$9&gt;0,'5. Projected Sales Forecast (2)'!$E$9*'5. Projected Sales Forecast (2)'!R14,"")</f>
        <v/>
      </c>
      <c r="P11" s="156">
        <f>IF('5. Projected Sales Forecast (2)'!$E$9&gt;0,'5. Projected Sales Forecast (2)'!$E$9*'5. Projected Sales Forecast (2)'!S14,"")</f>
        <v/>
      </c>
      <c r="Q11" s="182">
        <f>SUM(E11:P11)</f>
        <v/>
      </c>
    </row>
    <row r="12" outlineLevel="1" ht="12.75" customHeight="1" s="131">
      <c r="A12" s="137" t="n"/>
      <c r="B12" s="137">
        <f>IF('5. Projected Sales Forecast (2)'!E31&gt;0,'5. Projected Sales Forecast (2)'!A30,"")</f>
        <v/>
      </c>
      <c r="C12" s="137" t="n"/>
      <c r="D12" s="145" t="n"/>
      <c r="E12" s="162">
        <f>IF('5. Projected Sales Forecast (2)'!$E$31&gt;0,'5. Projected Sales Forecast (2)'!$E$31*'5. Projected Sales Forecast (2)'!H36,"")</f>
        <v/>
      </c>
      <c r="F12" s="162">
        <f>IF('5. Projected Sales Forecast (2)'!$E$31&gt;0,'5. Projected Sales Forecast (2)'!$E$31*'5. Projected Sales Forecast (2)'!I36,"")</f>
        <v/>
      </c>
      <c r="G12" s="162">
        <f>IF('5. Projected Sales Forecast (2)'!$E$31&gt;0,'5. Projected Sales Forecast (2)'!$E$31*'5. Projected Sales Forecast (2)'!J36,"")</f>
        <v/>
      </c>
      <c r="H12" s="162">
        <f>IF('5. Projected Sales Forecast (2)'!$E$31&gt;0,'5. Projected Sales Forecast (2)'!$E$31*'5. Projected Sales Forecast (2)'!K36,"")</f>
        <v/>
      </c>
      <c r="I12" s="162">
        <f>IF('5. Projected Sales Forecast (2)'!$E$31&gt;0,'5. Projected Sales Forecast (2)'!$E$31*'5. Projected Sales Forecast (2)'!L36,"")</f>
        <v/>
      </c>
      <c r="J12" s="162">
        <f>IF('5. Projected Sales Forecast (2)'!$E$31&gt;0,'5. Projected Sales Forecast (2)'!$E$31*'5. Projected Sales Forecast (2)'!M36,"")</f>
        <v/>
      </c>
      <c r="K12" s="162">
        <f>IF('5. Projected Sales Forecast (2)'!$E$31&gt;0,'5. Projected Sales Forecast (2)'!$E$31*'5. Projected Sales Forecast (2)'!N36,"")</f>
        <v/>
      </c>
      <c r="L12" s="162">
        <f>IF('5. Projected Sales Forecast (2)'!$E$31&gt;0,'5. Projected Sales Forecast (2)'!$E$31*'5. Projected Sales Forecast (2)'!O36,"")</f>
        <v/>
      </c>
      <c r="M12" s="162">
        <f>IF('5. Projected Sales Forecast (2)'!$E$31&gt;0,'5. Projected Sales Forecast (2)'!$E$31*'5. Projected Sales Forecast (2)'!P36,"")</f>
        <v/>
      </c>
      <c r="N12" s="162">
        <f>IF('5. Projected Sales Forecast (2)'!$E$31&gt;0,'5. Projected Sales Forecast (2)'!$E$31*'5. Projected Sales Forecast (2)'!Q36,"")</f>
        <v/>
      </c>
      <c r="O12" s="162">
        <f>IF('5. Projected Sales Forecast (2)'!$E$31&gt;0,'5. Projected Sales Forecast (2)'!$E$31*'5. Projected Sales Forecast (2)'!R36,"")</f>
        <v/>
      </c>
      <c r="P12" s="162">
        <f>IF('5. Projected Sales Forecast (2)'!$E$31&gt;0,'5. Projected Sales Forecast (2)'!$E$31*'5. Projected Sales Forecast (2)'!S36,"")</f>
        <v/>
      </c>
      <c r="Q12" s="218">
        <f>SUM(E12:P12)</f>
        <v/>
      </c>
    </row>
    <row r="13" ht="12.75" customHeight="1" s="131">
      <c r="A13" s="137" t="inlineStr">
        <is>
          <t>Total Income</t>
        </is>
      </c>
      <c r="B13" s="137" t="n"/>
      <c r="C13" s="137" t="n"/>
      <c r="D13" s="145" t="n"/>
      <c r="E13" s="182">
        <f>SUM(E9:E12)</f>
        <v/>
      </c>
      <c r="F13" s="182">
        <f>SUM(F9:F12)</f>
        <v/>
      </c>
      <c r="G13" s="182">
        <f>SUM(G9:G12)</f>
        <v/>
      </c>
      <c r="H13" s="182">
        <f>SUM(H9:H12)</f>
        <v/>
      </c>
      <c r="I13" s="182">
        <f>SUM(I9:I12)</f>
        <v/>
      </c>
      <c r="J13" s="182">
        <f>SUM(J9:J12)</f>
        <v/>
      </c>
      <c r="K13" s="182">
        <f>SUM(K9:K12)</f>
        <v/>
      </c>
      <c r="L13" s="182">
        <f>SUM(L9:L12)</f>
        <v/>
      </c>
      <c r="M13" s="182">
        <f>SUM(M9:M12)</f>
        <v/>
      </c>
      <c r="N13" s="182">
        <f>SUM(N9:N12)</f>
        <v/>
      </c>
      <c r="O13" s="182">
        <f>SUM(O9:O12)</f>
        <v/>
      </c>
      <c r="P13" s="182">
        <f>SUM(P9:P12)</f>
        <v/>
      </c>
      <c r="Q13" s="182">
        <f>SUM(Q9:Q12)</f>
        <v/>
      </c>
    </row>
    <row r="14" ht="12.75" customHeight="1" s="131">
      <c r="A14" s="137" t="n"/>
      <c r="B14" s="137" t="n"/>
      <c r="C14" s="137" t="n"/>
      <c r="D14" s="145" t="n"/>
      <c r="E14" s="145" t="n"/>
      <c r="F14" s="145" t="n"/>
      <c r="G14" s="145" t="n"/>
      <c r="H14" s="145" t="n"/>
      <c r="I14" s="145" t="n"/>
      <c r="J14" s="145" t="n"/>
      <c r="K14" s="145" t="n"/>
      <c r="L14" s="145" t="n"/>
      <c r="M14" s="145" t="n"/>
      <c r="N14" s="145" t="n"/>
      <c r="O14" s="145" t="n"/>
      <c r="P14" s="145" t="n"/>
      <c r="Q14" s="145" t="n"/>
    </row>
    <row r="15" outlineLevel="1" ht="12.75" customHeight="1" s="131">
      <c r="A15" s="137" t="inlineStr">
        <is>
          <t>Cost of Sales</t>
        </is>
      </c>
      <c r="B15" s="137" t="n"/>
      <c r="C15" s="137" t="n"/>
      <c r="D15" s="145" t="n"/>
      <c r="E15" s="156" t="n"/>
      <c r="F15" s="156" t="n"/>
      <c r="G15" s="156" t="n"/>
      <c r="H15" s="156" t="n"/>
      <c r="I15" s="156" t="n"/>
      <c r="J15" s="156" t="n"/>
      <c r="K15" s="156" t="n"/>
      <c r="L15" s="156" t="n"/>
      <c r="M15" s="156" t="n"/>
      <c r="N15" s="156" t="n"/>
      <c r="O15" s="156" t="n"/>
      <c r="P15" s="156" t="n"/>
      <c r="Q15" s="156" t="n"/>
    </row>
    <row r="16" outlineLevel="1" ht="12.75" customHeight="1" s="131">
      <c r="A16" s="137" t="n"/>
      <c r="B16" s="137">
        <f>B9</f>
        <v/>
      </c>
      <c r="C16" s="137" t="n"/>
      <c r="D16" s="145" t="n"/>
      <c r="E16" s="156">
        <f>'4. Projected Sales Forecast'!$E$10*'4. Projected Sales Forecast'!H14</f>
        <v/>
      </c>
      <c r="F16" s="156">
        <f>'4. Projected Sales Forecast'!$E$10*'4. Projected Sales Forecast'!I14</f>
        <v/>
      </c>
      <c r="G16" s="156">
        <f>'4. Projected Sales Forecast'!$E$10*'4. Projected Sales Forecast'!J14</f>
        <v/>
      </c>
      <c r="H16" s="156">
        <f>'4. Projected Sales Forecast'!$E$10*'4. Projected Sales Forecast'!K14</f>
        <v/>
      </c>
      <c r="I16" s="156">
        <f>'4. Projected Sales Forecast'!$E$10*'4. Projected Sales Forecast'!L14</f>
        <v/>
      </c>
      <c r="J16" s="156">
        <f>'4. Projected Sales Forecast'!$E$10*'4. Projected Sales Forecast'!M14</f>
        <v/>
      </c>
      <c r="K16" s="156">
        <f>'4. Projected Sales Forecast'!$E$10*'4. Projected Sales Forecast'!N14</f>
        <v/>
      </c>
      <c r="L16" s="156">
        <f>'4. Projected Sales Forecast'!$E$10*'4. Projected Sales Forecast'!O14</f>
        <v/>
      </c>
      <c r="M16" s="156">
        <f>'4. Projected Sales Forecast'!$E$10*'4. Projected Sales Forecast'!P14</f>
        <v/>
      </c>
      <c r="N16" s="156">
        <f>'4. Projected Sales Forecast'!$E$10*'4. Projected Sales Forecast'!Q14</f>
        <v/>
      </c>
      <c r="O16" s="156">
        <f>'4. Projected Sales Forecast'!$E$10*'4. Projected Sales Forecast'!R14</f>
        <v/>
      </c>
      <c r="P16" s="156">
        <f>'4. Projected Sales Forecast'!$E$10*'4. Projected Sales Forecast'!S14</f>
        <v/>
      </c>
      <c r="Q16" s="156">
        <f>SUM(E16:P16)</f>
        <v/>
      </c>
    </row>
    <row r="17" outlineLevel="1" ht="12.75" customHeight="1" s="131">
      <c r="A17" s="137" t="n"/>
      <c r="B17" s="137">
        <f>B10</f>
        <v/>
      </c>
      <c r="C17" s="137" t="n"/>
      <c r="D17" s="145" t="n"/>
      <c r="E17" s="182">
        <f>'4. Projected Sales Forecast'!$E$32*'4. Projected Sales Forecast'!H36</f>
        <v/>
      </c>
      <c r="F17" s="182">
        <f>'4. Projected Sales Forecast'!$E$32*'4. Projected Sales Forecast'!I36</f>
        <v/>
      </c>
      <c r="G17" s="182">
        <f>'4. Projected Sales Forecast'!$E$32*'4. Projected Sales Forecast'!J36</f>
        <v/>
      </c>
      <c r="H17" s="182">
        <f>'4. Projected Sales Forecast'!$E$32*'4. Projected Sales Forecast'!K36</f>
        <v/>
      </c>
      <c r="I17" s="182">
        <f>'4. Projected Sales Forecast'!$E$32*'4. Projected Sales Forecast'!L36</f>
        <v/>
      </c>
      <c r="J17" s="182">
        <f>'4. Projected Sales Forecast'!$E$32*'4. Projected Sales Forecast'!M36</f>
        <v/>
      </c>
      <c r="K17" s="182">
        <f>'4. Projected Sales Forecast'!$E$32*'4. Projected Sales Forecast'!N36</f>
        <v/>
      </c>
      <c r="L17" s="182">
        <f>'4. Projected Sales Forecast'!$E$32*'4. Projected Sales Forecast'!O36</f>
        <v/>
      </c>
      <c r="M17" s="182">
        <f>'4. Projected Sales Forecast'!$E$32*'4. Projected Sales Forecast'!P36</f>
        <v/>
      </c>
      <c r="N17" s="182">
        <f>'4. Projected Sales Forecast'!$E$32*'4. Projected Sales Forecast'!Q36</f>
        <v/>
      </c>
      <c r="O17" s="182">
        <f>'4. Projected Sales Forecast'!$E$32*'4. Projected Sales Forecast'!R36</f>
        <v/>
      </c>
      <c r="P17" s="182">
        <f>'4. Projected Sales Forecast'!$E$32*'4. Projected Sales Forecast'!S36</f>
        <v/>
      </c>
      <c r="Q17" s="156">
        <f>SUM(E17:P17)</f>
        <v/>
      </c>
    </row>
    <row r="18" outlineLevel="1" ht="12.75" customHeight="1" s="131">
      <c r="A18" s="137" t="n"/>
      <c r="B18" s="137">
        <f>B11</f>
        <v/>
      </c>
      <c r="C18" s="137" t="n"/>
      <c r="D18" s="145" t="n"/>
      <c r="E18" s="182">
        <f>IF('5. Projected Sales Forecast (2)'!$E$10&gt;0,'5. Projected Sales Forecast (2)'!$E$10*'5. Projected Sales Forecast (2)'!H14,"")</f>
        <v/>
      </c>
      <c r="F18" s="182">
        <f>IF('5. Projected Sales Forecast (2)'!$E$10&gt;0,'5. Projected Sales Forecast (2)'!$E$10*'5. Projected Sales Forecast (2)'!I14,"")</f>
        <v/>
      </c>
      <c r="G18" s="182">
        <f>IF('5. Projected Sales Forecast (2)'!$E$10&gt;0,'5. Projected Sales Forecast (2)'!$E$10*'5. Projected Sales Forecast (2)'!J14,"")</f>
        <v/>
      </c>
      <c r="H18" s="182">
        <f>IF('5. Projected Sales Forecast (2)'!$E$10&gt;0,'5. Projected Sales Forecast (2)'!$E$10*'5. Projected Sales Forecast (2)'!K14,"")</f>
        <v/>
      </c>
      <c r="I18" s="182">
        <f>IF('5. Projected Sales Forecast (2)'!$E$10&gt;0,'5. Projected Sales Forecast (2)'!$E$10*'5. Projected Sales Forecast (2)'!L14,"")</f>
        <v/>
      </c>
      <c r="J18" s="182">
        <f>IF('5. Projected Sales Forecast (2)'!$E$10&gt;0,'5. Projected Sales Forecast (2)'!$E$10*'5. Projected Sales Forecast (2)'!M14,"")</f>
        <v/>
      </c>
      <c r="K18" s="182">
        <f>IF('5. Projected Sales Forecast (2)'!$E$10&gt;0,'5. Projected Sales Forecast (2)'!$E$10*'5. Projected Sales Forecast (2)'!N14,"")</f>
        <v/>
      </c>
      <c r="L18" s="182">
        <f>IF('5. Projected Sales Forecast (2)'!$E$10&gt;0,'5. Projected Sales Forecast (2)'!$E$10*'5. Projected Sales Forecast (2)'!O14,"")</f>
        <v/>
      </c>
      <c r="M18" s="182">
        <f>IF('5. Projected Sales Forecast (2)'!$E$10&gt;0,'5. Projected Sales Forecast (2)'!$E$10*'5. Projected Sales Forecast (2)'!P14,"")</f>
        <v/>
      </c>
      <c r="N18" s="182">
        <f>IF('5. Projected Sales Forecast (2)'!$E$10&gt;0,'5. Projected Sales Forecast (2)'!$E$10*'5. Projected Sales Forecast (2)'!Q14,"")</f>
        <v/>
      </c>
      <c r="O18" s="182">
        <f>IF('5. Projected Sales Forecast (2)'!$E$10&gt;0,'5. Projected Sales Forecast (2)'!$E$10*'5. Projected Sales Forecast (2)'!R14,"")</f>
        <v/>
      </c>
      <c r="P18" s="182">
        <f>IF('5. Projected Sales Forecast (2)'!$E$10&gt;0,'5. Projected Sales Forecast (2)'!$E$10*'5. Projected Sales Forecast (2)'!S14,"")</f>
        <v/>
      </c>
      <c r="Q18" s="156">
        <f>SUM(E18:P18)</f>
        <v/>
      </c>
    </row>
    <row r="19" outlineLevel="1" ht="12.75" customHeight="1" s="131">
      <c r="A19" s="137" t="n"/>
      <c r="B19" s="137">
        <f>B12</f>
        <v/>
      </c>
      <c r="C19" s="137" t="n"/>
      <c r="D19" s="145" t="n"/>
      <c r="E19" s="162">
        <f>IF('5. Projected Sales Forecast (2)'!$E$32&gt;0,'5. Projected Sales Forecast (2)'!$E$32*'5. Projected Sales Forecast (2)'!H36,"")</f>
        <v/>
      </c>
      <c r="F19" s="162">
        <f>IF('5. Projected Sales Forecast (2)'!$E$32&gt;0,'5. Projected Sales Forecast (2)'!$E$32*'5. Projected Sales Forecast (2)'!I36,"")</f>
        <v/>
      </c>
      <c r="G19" s="162">
        <f>IF('5. Projected Sales Forecast (2)'!$E$32&gt;0,'5. Projected Sales Forecast (2)'!$E$32*'5. Projected Sales Forecast (2)'!J36,"")</f>
        <v/>
      </c>
      <c r="H19" s="162">
        <f>IF('5. Projected Sales Forecast (2)'!$E$32&gt;0,'5. Projected Sales Forecast (2)'!$E$32*'5. Projected Sales Forecast (2)'!K36,"")</f>
        <v/>
      </c>
      <c r="I19" s="162">
        <f>IF('5. Projected Sales Forecast (2)'!$E$32&gt;0,'5. Projected Sales Forecast (2)'!$E$32*'5. Projected Sales Forecast (2)'!L36,"")</f>
        <v/>
      </c>
      <c r="J19" s="162">
        <f>IF('5. Projected Sales Forecast (2)'!$E$32&gt;0,'5. Projected Sales Forecast (2)'!$E$32*'5. Projected Sales Forecast (2)'!M36,"")</f>
        <v/>
      </c>
      <c r="K19" s="162">
        <f>IF('5. Projected Sales Forecast (2)'!$E$32&gt;0,'5. Projected Sales Forecast (2)'!$E$32*'5. Projected Sales Forecast (2)'!N36,"")</f>
        <v/>
      </c>
      <c r="L19" s="162">
        <f>IF('5. Projected Sales Forecast (2)'!$E$32&gt;0,'5. Projected Sales Forecast (2)'!$E$32*'5. Projected Sales Forecast (2)'!O36,"")</f>
        <v/>
      </c>
      <c r="M19" s="162">
        <f>IF('5. Projected Sales Forecast (2)'!$E$32&gt;0,'5. Projected Sales Forecast (2)'!$E$32*'5. Projected Sales Forecast (2)'!P36,"")</f>
        <v/>
      </c>
      <c r="N19" s="162">
        <f>IF('5. Projected Sales Forecast (2)'!$E$32&gt;0,'5. Projected Sales Forecast (2)'!$E$32*'5. Projected Sales Forecast (2)'!Q36,"")</f>
        <v/>
      </c>
      <c r="O19" s="162">
        <f>IF('5. Projected Sales Forecast (2)'!$E$32&gt;0,'5. Projected Sales Forecast (2)'!$E$32*'5. Projected Sales Forecast (2)'!R36,"")</f>
        <v/>
      </c>
      <c r="P19" s="162">
        <f>IF('5. Projected Sales Forecast (2)'!$E$32&gt;0,'5. Projected Sales Forecast (2)'!$E$32*'5. Projected Sales Forecast (2)'!S36,"")</f>
        <v/>
      </c>
      <c r="Q19" s="162">
        <f>SUM(E19:P19)</f>
        <v/>
      </c>
    </row>
    <row r="20" ht="12.75" customHeight="1" s="131">
      <c r="A20" s="137" t="inlineStr">
        <is>
          <t>Total Cost of Sales</t>
        </is>
      </c>
      <c r="B20" s="137" t="n"/>
      <c r="C20" s="137" t="n"/>
      <c r="D20" s="145" t="n"/>
      <c r="E20" s="156">
        <f>SUM(E16:E19)</f>
        <v/>
      </c>
      <c r="F20" s="156">
        <f>SUM(F16:F19)</f>
        <v/>
      </c>
      <c r="G20" s="156">
        <f>SUM(G16:G19)</f>
        <v/>
      </c>
      <c r="H20" s="156">
        <f>SUM(H16:H19)</f>
        <v/>
      </c>
      <c r="I20" s="156">
        <f>SUM(I16:I19)</f>
        <v/>
      </c>
      <c r="J20" s="156">
        <f>SUM(J16:J19)</f>
        <v/>
      </c>
      <c r="K20" s="156">
        <f>SUM(K16:K19)</f>
        <v/>
      </c>
      <c r="L20" s="156">
        <f>SUM(L16:L19)</f>
        <v/>
      </c>
      <c r="M20" s="156">
        <f>SUM(M16:M19)</f>
        <v/>
      </c>
      <c r="N20" s="156">
        <f>SUM(N16:N19)</f>
        <v/>
      </c>
      <c r="O20" s="156">
        <f>SUM(O16:O19)</f>
        <v/>
      </c>
      <c r="P20" s="156">
        <f>SUM(P16:P19)</f>
        <v/>
      </c>
      <c r="Q20" s="156">
        <f>SUM(Q16:Q19)</f>
        <v/>
      </c>
    </row>
    <row r="21" ht="12.75" customHeight="1" s="131">
      <c r="A21" s="137" t="n"/>
      <c r="B21" s="137" t="n"/>
      <c r="C21" s="137" t="n"/>
      <c r="D21" s="145" t="n"/>
      <c r="E21" s="182" t="n"/>
      <c r="F21" s="182" t="n"/>
      <c r="G21" s="182" t="n"/>
      <c r="H21" s="182" t="n"/>
      <c r="I21" s="182" t="n"/>
      <c r="J21" s="182" t="n"/>
      <c r="K21" s="182" t="n"/>
      <c r="L21" s="182" t="n"/>
      <c r="M21" s="182" t="n"/>
      <c r="N21" s="182" t="n"/>
      <c r="O21" s="182" t="n"/>
      <c r="P21" s="182" t="n"/>
      <c r="Q21" s="182" t="n"/>
    </row>
    <row r="22" ht="12.75" customHeight="1" s="131">
      <c r="A22" s="137" t="inlineStr">
        <is>
          <t>Gross Margin</t>
        </is>
      </c>
      <c r="B22" s="137" t="n"/>
      <c r="C22" s="137" t="n"/>
      <c r="D22" s="145" t="n"/>
      <c r="E22" s="218">
        <f>E13-E20</f>
        <v/>
      </c>
      <c r="F22" s="218">
        <f>F13-F20</f>
        <v/>
      </c>
      <c r="G22" s="218">
        <f>G13-G20</f>
        <v/>
      </c>
      <c r="H22" s="218">
        <f>H13-H20</f>
        <v/>
      </c>
      <c r="I22" s="218">
        <f>I13-I20</f>
        <v/>
      </c>
      <c r="J22" s="218">
        <f>J13-J20</f>
        <v/>
      </c>
      <c r="K22" s="218">
        <f>K13-K20</f>
        <v/>
      </c>
      <c r="L22" s="218">
        <f>L13-L20</f>
        <v/>
      </c>
      <c r="M22" s="218">
        <f>M13-M20</f>
        <v/>
      </c>
      <c r="N22" s="218">
        <f>N13-N20</f>
        <v/>
      </c>
      <c r="O22" s="218">
        <f>O13-O20</f>
        <v/>
      </c>
      <c r="P22" s="218">
        <f>P13-P20</f>
        <v/>
      </c>
      <c r="Q22" s="218">
        <f>Q13-Q20</f>
        <v/>
      </c>
    </row>
    <row r="23" ht="12.75" customHeight="1" s="131">
      <c r="A23" s="137" t="n"/>
      <c r="B23" s="137" t="n"/>
      <c r="C23" s="137" t="n"/>
      <c r="D23" s="145" t="n"/>
      <c r="E23" s="156" t="n"/>
      <c r="F23" s="156" t="n"/>
      <c r="G23" s="156" t="n"/>
      <c r="H23" s="156" t="n"/>
      <c r="I23" s="156" t="n"/>
      <c r="J23" s="156" t="n"/>
      <c r="K23" s="156" t="n"/>
      <c r="L23" s="156" t="n"/>
      <c r="M23" s="156" t="n"/>
      <c r="N23" s="156" t="n"/>
      <c r="O23" s="156" t="n"/>
      <c r="P23" s="156" t="n"/>
      <c r="Q23" s="156" t="n"/>
    </row>
    <row r="24" hidden="1" outlineLevel="1" ht="12.75" customHeight="1" s="131">
      <c r="A24" s="137">
        <f>'2. Salaries and Wages'!A10</f>
        <v/>
      </c>
      <c r="B24" s="137" t="n"/>
      <c r="C24" s="137" t="n"/>
      <c r="D24" s="145" t="n"/>
      <c r="E24" s="156" t="n"/>
      <c r="F24" s="156" t="n"/>
      <c r="G24" s="156" t="n"/>
      <c r="H24" s="156" t="n"/>
      <c r="I24" s="156" t="n"/>
      <c r="J24" s="156" t="n"/>
      <c r="K24" s="156" t="n"/>
      <c r="L24" s="156" t="n"/>
      <c r="M24" s="156" t="n"/>
      <c r="N24" s="156" t="n"/>
      <c r="O24" s="156" t="n"/>
      <c r="P24" s="156" t="n"/>
      <c r="Q24" s="156" t="n"/>
    </row>
    <row r="25" hidden="1" outlineLevel="1" ht="12.75" customHeight="1" s="131">
      <c r="A25" s="137" t="n"/>
      <c r="B25" s="137">
        <f>'2. Salaries and Wages'!B11</f>
        <v/>
      </c>
      <c r="C25" s="137" t="n"/>
      <c r="D25" s="145" t="n"/>
      <c r="E25" s="156">
        <f>'2. Salaries and Wages'!K11</f>
        <v/>
      </c>
      <c r="F25" s="156">
        <f>E25</f>
        <v/>
      </c>
      <c r="G25" s="156">
        <f>F25</f>
        <v/>
      </c>
      <c r="H25" s="156">
        <f>G25</f>
        <v/>
      </c>
      <c r="I25" s="156">
        <f>H25</f>
        <v/>
      </c>
      <c r="J25" s="156">
        <f>I25</f>
        <v/>
      </c>
      <c r="K25" s="156">
        <f>J25</f>
        <v/>
      </c>
      <c r="L25" s="156">
        <f>K25</f>
        <v/>
      </c>
      <c r="M25" s="156">
        <f>L25</f>
        <v/>
      </c>
      <c r="N25" s="156">
        <f>M25</f>
        <v/>
      </c>
      <c r="O25" s="156">
        <f>N25</f>
        <v/>
      </c>
      <c r="P25" s="156">
        <f>O25</f>
        <v/>
      </c>
      <c r="Q25" s="156">
        <f>SUM(E25:P25)</f>
        <v/>
      </c>
    </row>
    <row r="26" hidden="1" outlineLevel="1" ht="12.75" customHeight="1" s="131">
      <c r="A26" s="137" t="n"/>
      <c r="B26" s="137">
        <f>'2. Salaries and Wages'!B12</f>
        <v/>
      </c>
      <c r="C26" s="137" t="n"/>
      <c r="D26" s="145" t="n"/>
      <c r="E26" s="156">
        <f>'2. Salaries and Wages'!K12</f>
        <v/>
      </c>
      <c r="F26" s="156">
        <f>E26</f>
        <v/>
      </c>
      <c r="G26" s="156">
        <f>F26</f>
        <v/>
      </c>
      <c r="H26" s="156">
        <f>G26</f>
        <v/>
      </c>
      <c r="I26" s="156">
        <f>H26</f>
        <v/>
      </c>
      <c r="J26" s="156">
        <f>I26</f>
        <v/>
      </c>
      <c r="K26" s="156">
        <f>J26</f>
        <v/>
      </c>
      <c r="L26" s="156">
        <f>K26</f>
        <v/>
      </c>
      <c r="M26" s="156">
        <f>L26</f>
        <v/>
      </c>
      <c r="N26" s="156">
        <f>M26</f>
        <v/>
      </c>
      <c r="O26" s="156">
        <f>N26</f>
        <v/>
      </c>
      <c r="P26" s="156">
        <f>O26</f>
        <v/>
      </c>
      <c r="Q26" s="156">
        <f>SUM(E26:P26)</f>
        <v/>
      </c>
    </row>
    <row r="27" hidden="1" outlineLevel="1" ht="12.75" customHeight="1" s="131">
      <c r="A27" s="137" t="n"/>
      <c r="B27" s="137">
        <f>'2. Salaries and Wages'!C14</f>
        <v/>
      </c>
      <c r="C27" s="137" t="n"/>
      <c r="D27" s="145" t="n"/>
      <c r="E27" s="156">
        <f>'2. Salaries and Wages'!K14</f>
        <v/>
      </c>
      <c r="F27" s="156">
        <f>E27</f>
        <v/>
      </c>
      <c r="G27" s="156">
        <f>F27</f>
        <v/>
      </c>
      <c r="H27" s="156">
        <f>G27</f>
        <v/>
      </c>
      <c r="I27" s="156">
        <f>H27</f>
        <v/>
      </c>
      <c r="J27" s="156">
        <f>I27</f>
        <v/>
      </c>
      <c r="K27" s="156">
        <f>J27</f>
        <v/>
      </c>
      <c r="L27" s="156">
        <f>K27</f>
        <v/>
      </c>
      <c r="M27" s="156">
        <f>L27</f>
        <v/>
      </c>
      <c r="N27" s="156">
        <f>M27</f>
        <v/>
      </c>
      <c r="O27" s="156">
        <f>N27</f>
        <v/>
      </c>
      <c r="P27" s="156">
        <f>O27</f>
        <v/>
      </c>
      <c r="Q27" s="156">
        <f>SUM(E27:P27)</f>
        <v/>
      </c>
    </row>
    <row r="28" hidden="1" outlineLevel="1" ht="12.75" customHeight="1" s="131">
      <c r="A28" s="137" t="n"/>
      <c r="B28" s="137">
        <f>'2. Salaries and Wages'!C17</f>
        <v/>
      </c>
      <c r="C28" s="137" t="n"/>
      <c r="D28" s="145" t="n"/>
      <c r="E28" s="156">
        <f>'2. Salaries and Wages'!K17</f>
        <v/>
      </c>
      <c r="F28" s="156">
        <f>E28</f>
        <v/>
      </c>
      <c r="G28" s="156">
        <f>F28</f>
        <v/>
      </c>
      <c r="H28" s="156">
        <f>G28</f>
        <v/>
      </c>
      <c r="I28" s="156">
        <f>H28</f>
        <v/>
      </c>
      <c r="J28" s="156">
        <f>I28</f>
        <v/>
      </c>
      <c r="K28" s="156">
        <f>J28</f>
        <v/>
      </c>
      <c r="L28" s="156">
        <f>K28</f>
        <v/>
      </c>
      <c r="M28" s="156">
        <f>L28</f>
        <v/>
      </c>
      <c r="N28" s="156">
        <f>M28</f>
        <v/>
      </c>
      <c r="O28" s="156">
        <f>N28</f>
        <v/>
      </c>
      <c r="P28" s="156">
        <f>O28</f>
        <v/>
      </c>
      <c r="Q28" s="156">
        <f>SUM(E28:P28)</f>
        <v/>
      </c>
    </row>
    <row r="29" hidden="1" outlineLevel="1" ht="12.75" customHeight="1" s="131">
      <c r="A29" s="137" t="n"/>
      <c r="B29" s="137">
        <f>'2. Salaries and Wages'!B20</f>
        <v/>
      </c>
      <c r="C29" s="137" t="n"/>
      <c r="D29" s="145" t="n"/>
      <c r="E29" s="156">
        <f>'2. Salaries and Wages'!K20</f>
        <v/>
      </c>
      <c r="F29" s="156">
        <f>E29</f>
        <v/>
      </c>
      <c r="G29" s="156">
        <f>F29</f>
        <v/>
      </c>
      <c r="H29" s="156">
        <f>G29</f>
        <v/>
      </c>
      <c r="I29" s="156">
        <f>H29</f>
        <v/>
      </c>
      <c r="J29" s="156">
        <f>I29</f>
        <v/>
      </c>
      <c r="K29" s="156">
        <f>J29</f>
        <v/>
      </c>
      <c r="L29" s="156">
        <f>K29</f>
        <v/>
      </c>
      <c r="M29" s="156">
        <f>L29</f>
        <v/>
      </c>
      <c r="N29" s="156">
        <f>M29</f>
        <v/>
      </c>
      <c r="O29" s="156">
        <f>N29</f>
        <v/>
      </c>
      <c r="P29" s="156">
        <f>O29</f>
        <v/>
      </c>
      <c r="Q29" s="156">
        <f>SUM(E29:P29)</f>
        <v/>
      </c>
    </row>
    <row r="30" hidden="1" outlineLevel="1" ht="12.75" customHeight="1" s="131">
      <c r="A30" s="137" t="n"/>
      <c r="B30" s="137">
        <f>'2. Salaries and Wages'!A23</f>
        <v/>
      </c>
      <c r="C30" s="137" t="n"/>
      <c r="D30" s="145" t="n"/>
      <c r="E30" s="162">
        <f>'2. Salaries and Wages'!K32</f>
        <v/>
      </c>
      <c r="F30" s="162">
        <f>E30</f>
        <v/>
      </c>
      <c r="G30" s="162">
        <f>F30</f>
        <v/>
      </c>
      <c r="H30" s="162">
        <f>G30</f>
        <v/>
      </c>
      <c r="I30" s="162">
        <f>H30</f>
        <v/>
      </c>
      <c r="J30" s="162">
        <f>I30</f>
        <v/>
      </c>
      <c r="K30" s="162">
        <f>J30</f>
        <v/>
      </c>
      <c r="L30" s="162">
        <f>K30</f>
        <v/>
      </c>
      <c r="M30" s="162">
        <f>L30</f>
        <v/>
      </c>
      <c r="N30" s="162">
        <f>M30</f>
        <v/>
      </c>
      <c r="O30" s="162">
        <f>N30</f>
        <v/>
      </c>
      <c r="P30" s="162">
        <f>O30</f>
        <v/>
      </c>
      <c r="Q30" s="162">
        <f>SUM(E30:P30)</f>
        <v/>
      </c>
    </row>
    <row r="31" ht="12.75" customHeight="1" s="131">
      <c r="A31" s="137" t="inlineStr">
        <is>
          <t>Total Salary and Wages</t>
        </is>
      </c>
      <c r="B31" s="137" t="n"/>
      <c r="C31" s="137" t="n"/>
      <c r="D31" s="145" t="n"/>
      <c r="E31" s="156">
        <f>SUM(E25:E30)</f>
        <v/>
      </c>
      <c r="F31" s="156">
        <f>SUM(F25:F30)</f>
        <v/>
      </c>
      <c r="G31" s="156">
        <f>SUM(G25:G30)</f>
        <v/>
      </c>
      <c r="H31" s="156">
        <f>SUM(H25:H30)</f>
        <v/>
      </c>
      <c r="I31" s="156">
        <f>SUM(I25:I30)</f>
        <v/>
      </c>
      <c r="J31" s="156">
        <f>SUM(J25:J30)</f>
        <v/>
      </c>
      <c r="K31" s="156">
        <f>SUM(K25:K30)</f>
        <v/>
      </c>
      <c r="L31" s="156">
        <f>SUM(L25:L30)</f>
        <v/>
      </c>
      <c r="M31" s="156">
        <f>SUM(M25:M30)</f>
        <v/>
      </c>
      <c r="N31" s="156">
        <f>SUM(N25:N30)</f>
        <v/>
      </c>
      <c r="O31" s="156">
        <f>SUM(O25:O30)</f>
        <v/>
      </c>
      <c r="P31" s="156">
        <f>SUM(P25:P30)</f>
        <v/>
      </c>
      <c r="Q31" s="156">
        <f>SUM(Q25:Q30)</f>
        <v/>
      </c>
    </row>
    <row r="32" ht="12.75" customHeight="1" s="131">
      <c r="A32" s="137" t="n"/>
      <c r="B32" s="137" t="n"/>
      <c r="C32" s="137" t="n"/>
      <c r="D32" s="145" t="n"/>
      <c r="E32" s="156" t="n"/>
      <c r="F32" s="156" t="n"/>
      <c r="G32" s="156" t="n"/>
      <c r="H32" s="156" t="n"/>
      <c r="I32" s="156" t="n"/>
      <c r="J32" s="156" t="n"/>
      <c r="K32" s="156" t="n"/>
      <c r="L32" s="156" t="n"/>
      <c r="M32" s="156" t="n"/>
      <c r="N32" s="156" t="n"/>
      <c r="O32" s="156" t="n"/>
      <c r="P32" s="156" t="n"/>
      <c r="Q32" s="156" t="n"/>
    </row>
    <row r="33" outlineLevel="1" ht="12.75" customHeight="1" s="131">
      <c r="A33" s="137" t="inlineStr">
        <is>
          <t>Fixed Business Expenses</t>
        </is>
      </c>
      <c r="B33" s="137" t="n"/>
      <c r="C33" s="137" t="n"/>
      <c r="D33" s="145" t="n"/>
      <c r="E33" s="156" t="n"/>
      <c r="F33" s="156" t="n"/>
      <c r="G33" s="156" t="n"/>
      <c r="H33" s="156" t="n"/>
      <c r="I33" s="156" t="n"/>
      <c r="J33" s="156" t="n"/>
      <c r="K33" s="156" t="n"/>
      <c r="L33" s="156" t="n"/>
      <c r="M33" s="156" t="n"/>
      <c r="N33" s="156" t="n"/>
      <c r="O33" s="156" t="n"/>
      <c r="P33" s="156" t="n"/>
      <c r="Q33" s="156" t="n"/>
    </row>
    <row r="34" outlineLevel="1" ht="12.75" customHeight="1" s="131">
      <c r="A34" s="137" t="n"/>
      <c r="B34" s="137">
        <f>'3. Fixed Operating Expenses'!B11</f>
        <v/>
      </c>
      <c r="C34" s="137" t="n"/>
      <c r="D34" s="145" t="n"/>
      <c r="E34" s="156">
        <f>'3. Fixed Operating Expenses'!G11</f>
        <v/>
      </c>
      <c r="F34" s="156">
        <f>E34</f>
        <v/>
      </c>
      <c r="G34" s="156">
        <f>F34</f>
        <v/>
      </c>
      <c r="H34" s="156">
        <f>G34</f>
        <v/>
      </c>
      <c r="I34" s="156">
        <f>H34</f>
        <v/>
      </c>
      <c r="J34" s="156">
        <f>I34</f>
        <v/>
      </c>
      <c r="K34" s="156">
        <f>J34</f>
        <v/>
      </c>
      <c r="L34" s="156">
        <f>K34</f>
        <v/>
      </c>
      <c r="M34" s="156">
        <f>L34</f>
        <v/>
      </c>
      <c r="N34" s="156">
        <f>M34</f>
        <v/>
      </c>
      <c r="O34" s="156">
        <f>N34</f>
        <v/>
      </c>
      <c r="P34" s="156">
        <f>O34</f>
        <v/>
      </c>
      <c r="Q34" s="156">
        <f>SUM(E34:P34)</f>
        <v/>
      </c>
    </row>
    <row r="35" outlineLevel="1" ht="12.75" customHeight="1" s="131">
      <c r="A35" s="137" t="n"/>
      <c r="B35" s="137">
        <f>'3. Fixed Operating Expenses'!B12</f>
        <v/>
      </c>
      <c r="C35" s="137" t="n"/>
      <c r="D35" s="145" t="n"/>
      <c r="E35" s="156">
        <f>'3. Fixed Operating Expenses'!G12</f>
        <v/>
      </c>
      <c r="F35" s="156">
        <f>E35</f>
        <v/>
      </c>
      <c r="G35" s="156">
        <f>F35</f>
        <v/>
      </c>
      <c r="H35" s="156">
        <f>G35</f>
        <v/>
      </c>
      <c r="I35" s="156">
        <f>H35</f>
        <v/>
      </c>
      <c r="J35" s="156">
        <f>I35</f>
        <v/>
      </c>
      <c r="K35" s="156">
        <f>J35</f>
        <v/>
      </c>
      <c r="L35" s="156">
        <f>K35</f>
        <v/>
      </c>
      <c r="M35" s="156">
        <f>L35</f>
        <v/>
      </c>
      <c r="N35" s="156">
        <f>M35</f>
        <v/>
      </c>
      <c r="O35" s="156">
        <f>N35</f>
        <v/>
      </c>
      <c r="P35" s="156">
        <f>O35</f>
        <v/>
      </c>
      <c r="Q35" s="156">
        <f>SUM(E35:P35)</f>
        <v/>
      </c>
    </row>
    <row r="36" outlineLevel="1" ht="12.75" customHeight="1" s="131">
      <c r="A36" s="137" t="n"/>
      <c r="B36" s="137">
        <f>'3. Fixed Operating Expenses'!B13</f>
        <v/>
      </c>
      <c r="C36" s="137" t="n"/>
      <c r="D36" s="145" t="n"/>
      <c r="E36" s="156">
        <f>'3. Fixed Operating Expenses'!G13</f>
        <v/>
      </c>
      <c r="F36" s="156">
        <f>E36</f>
        <v/>
      </c>
      <c r="G36" s="156">
        <f>F36</f>
        <v/>
      </c>
      <c r="H36" s="156">
        <f>G36</f>
        <v/>
      </c>
      <c r="I36" s="156">
        <f>H36</f>
        <v/>
      </c>
      <c r="J36" s="156">
        <f>I36</f>
        <v/>
      </c>
      <c r="K36" s="156">
        <f>J36</f>
        <v/>
      </c>
      <c r="L36" s="156">
        <f>K36</f>
        <v/>
      </c>
      <c r="M36" s="156">
        <f>L36</f>
        <v/>
      </c>
      <c r="N36" s="156">
        <f>M36</f>
        <v/>
      </c>
      <c r="O36" s="156">
        <f>N36</f>
        <v/>
      </c>
      <c r="P36" s="156">
        <f>O36</f>
        <v/>
      </c>
      <c r="Q36" s="156">
        <f>SUM(E36:P36)</f>
        <v/>
      </c>
    </row>
    <row r="37" outlineLevel="1" ht="12.75" customHeight="1" s="131">
      <c r="A37" s="137" t="n"/>
      <c r="B37" s="137">
        <f>'3. Fixed Operating Expenses'!B14</f>
        <v/>
      </c>
      <c r="C37" s="137" t="n"/>
      <c r="D37" s="145" t="n"/>
      <c r="E37" s="156">
        <f>'3. Fixed Operating Expenses'!G14</f>
        <v/>
      </c>
      <c r="F37" s="156">
        <f>E37</f>
        <v/>
      </c>
      <c r="G37" s="156">
        <f>F37</f>
        <v/>
      </c>
      <c r="H37" s="156">
        <f>G37</f>
        <v/>
      </c>
      <c r="I37" s="156">
        <f>H37</f>
        <v/>
      </c>
      <c r="J37" s="156">
        <f>I37</f>
        <v/>
      </c>
      <c r="K37" s="156">
        <f>J37</f>
        <v/>
      </c>
      <c r="L37" s="156">
        <f>K37</f>
        <v/>
      </c>
      <c r="M37" s="156">
        <f>L37</f>
        <v/>
      </c>
      <c r="N37" s="156">
        <f>M37</f>
        <v/>
      </c>
      <c r="O37" s="156">
        <f>N37</f>
        <v/>
      </c>
      <c r="P37" s="156">
        <f>O37</f>
        <v/>
      </c>
      <c r="Q37" s="156">
        <f>SUM(E37:P37)</f>
        <v/>
      </c>
    </row>
    <row r="38" outlineLevel="1" ht="12.75" customHeight="1" s="131">
      <c r="A38" s="137" t="n"/>
      <c r="B38" s="137">
        <f>'3. Fixed Operating Expenses'!B15</f>
        <v/>
      </c>
      <c r="C38" s="137" t="n"/>
      <c r="D38" s="145" t="n"/>
      <c r="E38" s="156">
        <f>'3. Fixed Operating Expenses'!G15</f>
        <v/>
      </c>
      <c r="F38" s="156">
        <f>E38</f>
        <v/>
      </c>
      <c r="G38" s="156">
        <f>F38</f>
        <v/>
      </c>
      <c r="H38" s="156">
        <f>G38</f>
        <v/>
      </c>
      <c r="I38" s="156">
        <f>H38</f>
        <v/>
      </c>
      <c r="J38" s="156">
        <f>I38</f>
        <v/>
      </c>
      <c r="K38" s="156">
        <f>J38</f>
        <v/>
      </c>
      <c r="L38" s="156">
        <f>K38</f>
        <v/>
      </c>
      <c r="M38" s="156">
        <f>L38</f>
        <v/>
      </c>
      <c r="N38" s="156">
        <f>M38</f>
        <v/>
      </c>
      <c r="O38" s="156">
        <f>N38</f>
        <v/>
      </c>
      <c r="P38" s="156">
        <f>O38</f>
        <v/>
      </c>
      <c r="Q38" s="156">
        <f>SUM(E38:P38)</f>
        <v/>
      </c>
    </row>
    <row r="39" outlineLevel="1" ht="12.75" customHeight="1" s="131">
      <c r="A39" s="137" t="n"/>
      <c r="B39" s="137">
        <f>'3. Fixed Operating Expenses'!B16</f>
        <v/>
      </c>
      <c r="C39" s="137" t="n"/>
      <c r="D39" s="145" t="n"/>
      <c r="E39" s="156">
        <f>'3. Fixed Operating Expenses'!G16</f>
        <v/>
      </c>
      <c r="F39" s="156">
        <f>E39</f>
        <v/>
      </c>
      <c r="G39" s="156">
        <f>F39</f>
        <v/>
      </c>
      <c r="H39" s="156">
        <f>G39</f>
        <v/>
      </c>
      <c r="I39" s="156">
        <f>H39</f>
        <v/>
      </c>
      <c r="J39" s="156">
        <f>I39</f>
        <v/>
      </c>
      <c r="K39" s="156">
        <f>J39</f>
        <v/>
      </c>
      <c r="L39" s="156">
        <f>K39</f>
        <v/>
      </c>
      <c r="M39" s="156">
        <f>L39</f>
        <v/>
      </c>
      <c r="N39" s="156">
        <f>M39</f>
        <v/>
      </c>
      <c r="O39" s="156">
        <f>N39</f>
        <v/>
      </c>
      <c r="P39" s="156">
        <f>O39</f>
        <v/>
      </c>
      <c r="Q39" s="156">
        <f>SUM(E39:P39)</f>
        <v/>
      </c>
    </row>
    <row r="40" outlineLevel="1" ht="12.75" customHeight="1" s="131">
      <c r="A40" s="137" t="n"/>
      <c r="B40" s="137">
        <f>'3. Fixed Operating Expenses'!B17</f>
        <v/>
      </c>
      <c r="C40" s="137" t="n"/>
      <c r="D40" s="145" t="n"/>
      <c r="E40" s="156">
        <f>'3. Fixed Operating Expenses'!G17</f>
        <v/>
      </c>
      <c r="F40" s="156">
        <f>E40</f>
        <v/>
      </c>
      <c r="G40" s="156">
        <f>F40</f>
        <v/>
      </c>
      <c r="H40" s="156">
        <f>G40</f>
        <v/>
      </c>
      <c r="I40" s="156">
        <f>H40</f>
        <v/>
      </c>
      <c r="J40" s="156">
        <f>I40</f>
        <v/>
      </c>
      <c r="K40" s="156">
        <f>J40</f>
        <v/>
      </c>
      <c r="L40" s="156">
        <f>K40</f>
        <v/>
      </c>
      <c r="M40" s="156">
        <f>L40</f>
        <v/>
      </c>
      <c r="N40" s="156">
        <f>M40</f>
        <v/>
      </c>
      <c r="O40" s="156">
        <f>N40</f>
        <v/>
      </c>
      <c r="P40" s="156">
        <f>O40</f>
        <v/>
      </c>
      <c r="Q40" s="156">
        <f>SUM(E40:P40)</f>
        <v/>
      </c>
    </row>
    <row r="41" outlineLevel="1" ht="12.75" customHeight="1" s="131">
      <c r="A41" s="137" t="n"/>
      <c r="B41" s="137">
        <f>'3. Fixed Operating Expenses'!B18</f>
        <v/>
      </c>
      <c r="C41" s="137" t="n"/>
      <c r="D41" s="145" t="n"/>
      <c r="E41" s="156">
        <f>'3. Fixed Operating Expenses'!G18</f>
        <v/>
      </c>
      <c r="F41" s="156">
        <f>E41</f>
        <v/>
      </c>
      <c r="G41" s="156">
        <f>F41</f>
        <v/>
      </c>
      <c r="H41" s="156">
        <f>G41</f>
        <v/>
      </c>
      <c r="I41" s="156">
        <f>H41</f>
        <v/>
      </c>
      <c r="J41" s="156">
        <f>I41</f>
        <v/>
      </c>
      <c r="K41" s="156">
        <f>J41</f>
        <v/>
      </c>
      <c r="L41" s="156">
        <f>K41</f>
        <v/>
      </c>
      <c r="M41" s="156">
        <f>L41</f>
        <v/>
      </c>
      <c r="N41" s="156">
        <f>M41</f>
        <v/>
      </c>
      <c r="O41" s="156">
        <f>N41</f>
        <v/>
      </c>
      <c r="P41" s="156">
        <f>O41</f>
        <v/>
      </c>
      <c r="Q41" s="156">
        <f>SUM(E41:P41)</f>
        <v/>
      </c>
    </row>
    <row r="42" outlineLevel="1" ht="12.75" customHeight="1" s="131">
      <c r="A42" s="137" t="n"/>
      <c r="B42" s="137">
        <f>'3. Fixed Operating Expenses'!B19</f>
        <v/>
      </c>
      <c r="C42" s="137" t="n"/>
      <c r="D42" s="145" t="n"/>
      <c r="E42" s="156">
        <f>'3. Fixed Operating Expenses'!G19</f>
        <v/>
      </c>
      <c r="F42" s="156">
        <f>E42</f>
        <v/>
      </c>
      <c r="G42" s="156">
        <f>F42</f>
        <v/>
      </c>
      <c r="H42" s="156">
        <f>G42</f>
        <v/>
      </c>
      <c r="I42" s="156">
        <f>H42</f>
        <v/>
      </c>
      <c r="J42" s="156">
        <f>I42</f>
        <v/>
      </c>
      <c r="K42" s="156">
        <f>J42</f>
        <v/>
      </c>
      <c r="L42" s="156">
        <f>K42</f>
        <v/>
      </c>
      <c r="M42" s="156">
        <f>L42</f>
        <v/>
      </c>
      <c r="N42" s="156">
        <f>M42</f>
        <v/>
      </c>
      <c r="O42" s="156">
        <f>N42</f>
        <v/>
      </c>
      <c r="P42" s="156">
        <f>O42</f>
        <v/>
      </c>
      <c r="Q42" s="156">
        <f>SUM(E42:P42)</f>
        <v/>
      </c>
    </row>
    <row r="43" outlineLevel="1" ht="12.75" customHeight="1" s="131">
      <c r="A43" s="137" t="n"/>
      <c r="B43" s="137">
        <f>'3. Fixed Operating Expenses'!B20</f>
        <v/>
      </c>
      <c r="C43" s="137" t="n"/>
      <c r="D43" s="145" t="n"/>
      <c r="E43" s="156">
        <f>'3. Fixed Operating Expenses'!G20</f>
        <v/>
      </c>
      <c r="F43" s="156">
        <f>E43</f>
        <v/>
      </c>
      <c r="G43" s="156">
        <f>F43</f>
        <v/>
      </c>
      <c r="H43" s="156">
        <f>G43</f>
        <v/>
      </c>
      <c r="I43" s="156">
        <f>H43</f>
        <v/>
      </c>
      <c r="J43" s="156">
        <f>I43</f>
        <v/>
      </c>
      <c r="K43" s="156">
        <f>J43</f>
        <v/>
      </c>
      <c r="L43" s="156">
        <f>K43</f>
        <v/>
      </c>
      <c r="M43" s="156">
        <f>L43</f>
        <v/>
      </c>
      <c r="N43" s="156">
        <f>M43</f>
        <v/>
      </c>
      <c r="O43" s="156">
        <f>N43</f>
        <v/>
      </c>
      <c r="P43" s="156">
        <f>O43</f>
        <v/>
      </c>
      <c r="Q43" s="156">
        <f>SUM(E43:P43)</f>
        <v/>
      </c>
    </row>
    <row r="44" outlineLevel="1" ht="12.75" customHeight="1" s="131">
      <c r="A44" s="137" t="n"/>
      <c r="B44" s="137">
        <f>'3. Fixed Operating Expenses'!B21</f>
        <v/>
      </c>
      <c r="C44" s="137" t="n"/>
      <c r="D44" s="145" t="n"/>
      <c r="E44" s="156">
        <f>'3. Fixed Operating Expenses'!G21</f>
        <v/>
      </c>
      <c r="F44" s="156">
        <f>E44</f>
        <v/>
      </c>
      <c r="G44" s="156">
        <f>F44</f>
        <v/>
      </c>
      <c r="H44" s="156">
        <f>G44</f>
        <v/>
      </c>
      <c r="I44" s="156">
        <f>H44</f>
        <v/>
      </c>
      <c r="J44" s="156">
        <f>I44</f>
        <v/>
      </c>
      <c r="K44" s="156">
        <f>J44</f>
        <v/>
      </c>
      <c r="L44" s="156">
        <f>K44</f>
        <v/>
      </c>
      <c r="M44" s="156">
        <f>L44</f>
        <v/>
      </c>
      <c r="N44" s="156">
        <f>M44</f>
        <v/>
      </c>
      <c r="O44" s="156">
        <f>N44</f>
        <v/>
      </c>
      <c r="P44" s="156">
        <f>O44</f>
        <v/>
      </c>
      <c r="Q44" s="156">
        <f>SUM(E44:P44)</f>
        <v/>
      </c>
    </row>
    <row r="45" outlineLevel="1" ht="12.75" customHeight="1" s="131">
      <c r="A45" s="137" t="n"/>
      <c r="B45" s="137">
        <f>'3. Fixed Operating Expenses'!B22</f>
        <v/>
      </c>
      <c r="C45" s="137" t="n"/>
      <c r="D45" s="145" t="n"/>
      <c r="E45" s="156">
        <f>'3. Fixed Operating Expenses'!G22</f>
        <v/>
      </c>
      <c r="F45" s="156">
        <f>E45</f>
        <v/>
      </c>
      <c r="G45" s="156">
        <f>F45</f>
        <v/>
      </c>
      <c r="H45" s="156">
        <f>G45</f>
        <v/>
      </c>
      <c r="I45" s="156">
        <f>H45</f>
        <v/>
      </c>
      <c r="J45" s="156">
        <f>I45</f>
        <v/>
      </c>
      <c r="K45" s="156">
        <f>J45</f>
        <v/>
      </c>
      <c r="L45" s="156">
        <f>K45</f>
        <v/>
      </c>
      <c r="M45" s="156">
        <f>L45</f>
        <v/>
      </c>
      <c r="N45" s="156">
        <f>M45</f>
        <v/>
      </c>
      <c r="O45" s="156">
        <f>N45</f>
        <v/>
      </c>
      <c r="P45" s="156">
        <f>O45</f>
        <v/>
      </c>
      <c r="Q45" s="156">
        <f>SUM(E45:P45)</f>
        <v/>
      </c>
    </row>
    <row r="46" outlineLevel="1" ht="12.75" customHeight="1" s="131">
      <c r="A46" s="137" t="n"/>
      <c r="B46" s="137">
        <f>'3. Fixed Operating Expenses'!B23</f>
        <v/>
      </c>
      <c r="C46" s="137" t="n"/>
      <c r="D46" s="145" t="n"/>
      <c r="E46" s="156">
        <f>'3. Fixed Operating Expenses'!G23</f>
        <v/>
      </c>
      <c r="F46" s="156">
        <f>E46</f>
        <v/>
      </c>
      <c r="G46" s="156">
        <f>F46</f>
        <v/>
      </c>
      <c r="H46" s="156">
        <f>G46</f>
        <v/>
      </c>
      <c r="I46" s="156">
        <f>H46</f>
        <v/>
      </c>
      <c r="J46" s="156">
        <f>I46</f>
        <v/>
      </c>
      <c r="K46" s="156">
        <f>J46</f>
        <v/>
      </c>
      <c r="L46" s="156">
        <f>K46</f>
        <v/>
      </c>
      <c r="M46" s="156">
        <f>L46</f>
        <v/>
      </c>
      <c r="N46" s="156">
        <f>M46</f>
        <v/>
      </c>
      <c r="O46" s="156">
        <f>N46</f>
        <v/>
      </c>
      <c r="P46" s="156">
        <f>O46</f>
        <v/>
      </c>
      <c r="Q46" s="156">
        <f>SUM(E46:P46)</f>
        <v/>
      </c>
    </row>
    <row r="47" outlineLevel="1" ht="12.75" customHeight="1" s="131">
      <c r="A47" s="137" t="n"/>
      <c r="B47" s="137">
        <f>'3. Fixed Operating Expenses'!B24</f>
        <v/>
      </c>
      <c r="C47" s="137" t="n"/>
      <c r="D47" s="145" t="n"/>
      <c r="E47" s="156">
        <f>'3. Fixed Operating Expenses'!G24</f>
        <v/>
      </c>
      <c r="F47" s="156">
        <f>E47</f>
        <v/>
      </c>
      <c r="G47" s="156">
        <f>F47</f>
        <v/>
      </c>
      <c r="H47" s="156">
        <f>G47</f>
        <v/>
      </c>
      <c r="I47" s="156">
        <f>H47</f>
        <v/>
      </c>
      <c r="J47" s="156">
        <f>I47</f>
        <v/>
      </c>
      <c r="K47" s="156">
        <f>J47</f>
        <v/>
      </c>
      <c r="L47" s="156">
        <f>K47</f>
        <v/>
      </c>
      <c r="M47" s="156">
        <f>L47</f>
        <v/>
      </c>
      <c r="N47" s="156">
        <f>M47</f>
        <v/>
      </c>
      <c r="O47" s="156">
        <f>N47</f>
        <v/>
      </c>
      <c r="P47" s="156">
        <f>O47</f>
        <v/>
      </c>
      <c r="Q47" s="156">
        <f>SUM(E47:P47)</f>
        <v/>
      </c>
    </row>
    <row r="48" outlineLevel="1" ht="12.75" customHeight="1" s="131">
      <c r="A48" s="137" t="n"/>
      <c r="B48" s="137">
        <f>'3. Fixed Operating Expenses'!B25</f>
        <v/>
      </c>
      <c r="C48" s="137" t="n"/>
      <c r="D48" s="145" t="n"/>
      <c r="E48" s="156">
        <f>'3. Fixed Operating Expenses'!G25</f>
        <v/>
      </c>
      <c r="F48" s="156">
        <f>E48</f>
        <v/>
      </c>
      <c r="G48" s="156">
        <f>F48</f>
        <v/>
      </c>
      <c r="H48" s="156">
        <f>G48</f>
        <v/>
      </c>
      <c r="I48" s="156">
        <f>H48</f>
        <v/>
      </c>
      <c r="J48" s="156">
        <f>I48</f>
        <v/>
      </c>
      <c r="K48" s="156">
        <f>J48</f>
        <v/>
      </c>
      <c r="L48" s="156">
        <f>K48</f>
        <v/>
      </c>
      <c r="M48" s="156">
        <f>L48</f>
        <v/>
      </c>
      <c r="N48" s="156">
        <f>M48</f>
        <v/>
      </c>
      <c r="O48" s="156">
        <f>N48</f>
        <v/>
      </c>
      <c r="P48" s="156">
        <f>O48</f>
        <v/>
      </c>
      <c r="Q48" s="156">
        <f>SUM(E48:P48)</f>
        <v/>
      </c>
    </row>
    <row r="49" outlineLevel="1" ht="12.75" customHeight="1" s="131">
      <c r="A49" s="137" t="n"/>
      <c r="B49" s="137">
        <f>'3. Fixed Operating Expenses'!B26</f>
        <v/>
      </c>
      <c r="C49" s="137" t="n"/>
      <c r="D49" s="145" t="n"/>
      <c r="E49" s="156">
        <f>'3. Fixed Operating Expenses'!G26</f>
        <v/>
      </c>
      <c r="F49" s="156">
        <f>E49</f>
        <v/>
      </c>
      <c r="G49" s="156">
        <f>F49</f>
        <v/>
      </c>
      <c r="H49" s="156">
        <f>G49</f>
        <v/>
      </c>
      <c r="I49" s="156">
        <f>H49</f>
        <v/>
      </c>
      <c r="J49" s="156">
        <f>I49</f>
        <v/>
      </c>
      <c r="K49" s="156">
        <f>J49</f>
        <v/>
      </c>
      <c r="L49" s="156">
        <f>K49</f>
        <v/>
      </c>
      <c r="M49" s="156">
        <f>L49</f>
        <v/>
      </c>
      <c r="N49" s="156">
        <f>M49</f>
        <v/>
      </c>
      <c r="O49" s="156">
        <f>N49</f>
        <v/>
      </c>
      <c r="P49" s="156">
        <f>O49</f>
        <v/>
      </c>
      <c r="Q49" s="156">
        <f>SUM(E49:P49)</f>
        <v/>
      </c>
    </row>
    <row r="50" outlineLevel="1" ht="12.75" customHeight="1" s="131">
      <c r="A50" s="137" t="n"/>
      <c r="B50" s="137">
        <f>'3. Fixed Operating Expenses'!B27</f>
        <v/>
      </c>
      <c r="C50" s="137" t="n"/>
      <c r="D50" s="145" t="n"/>
      <c r="E50" s="156">
        <f>'3. Fixed Operating Expenses'!G27</f>
        <v/>
      </c>
      <c r="F50" s="156">
        <f>E50</f>
        <v/>
      </c>
      <c r="G50" s="156">
        <f>F50</f>
        <v/>
      </c>
      <c r="H50" s="156">
        <f>G50</f>
        <v/>
      </c>
      <c r="I50" s="156">
        <f>H50</f>
        <v/>
      </c>
      <c r="J50" s="156">
        <f>I50</f>
        <v/>
      </c>
      <c r="K50" s="156">
        <f>J50</f>
        <v/>
      </c>
      <c r="L50" s="156">
        <f>K50</f>
        <v/>
      </c>
      <c r="M50" s="156">
        <f>L50</f>
        <v/>
      </c>
      <c r="N50" s="156">
        <f>M50</f>
        <v/>
      </c>
      <c r="O50" s="156">
        <f>N50</f>
        <v/>
      </c>
      <c r="P50" s="156">
        <f>O50</f>
        <v/>
      </c>
      <c r="Q50" s="156">
        <f>SUM(E50:P50)</f>
        <v/>
      </c>
    </row>
    <row r="51" outlineLevel="1" ht="12.75" customHeight="1" s="131">
      <c r="A51" s="137" t="n"/>
      <c r="B51" s="137">
        <f>'3. Fixed Operating Expenses'!B28</f>
        <v/>
      </c>
      <c r="C51" s="137" t="n"/>
      <c r="D51" s="145" t="n"/>
      <c r="E51" s="156">
        <f>'3. Fixed Operating Expenses'!G28</f>
        <v/>
      </c>
      <c r="F51" s="156">
        <f>E51</f>
        <v/>
      </c>
      <c r="G51" s="156">
        <f>F51</f>
        <v/>
      </c>
      <c r="H51" s="156">
        <f>G51</f>
        <v/>
      </c>
      <c r="I51" s="156">
        <f>H51</f>
        <v/>
      </c>
      <c r="J51" s="156">
        <f>I51</f>
        <v/>
      </c>
      <c r="K51" s="156">
        <f>J51</f>
        <v/>
      </c>
      <c r="L51" s="156">
        <f>K51</f>
        <v/>
      </c>
      <c r="M51" s="156">
        <f>L51</f>
        <v/>
      </c>
      <c r="N51" s="156">
        <f>M51</f>
        <v/>
      </c>
      <c r="O51" s="156">
        <f>N51</f>
        <v/>
      </c>
      <c r="P51" s="156">
        <f>O51</f>
        <v/>
      </c>
      <c r="Q51" s="156">
        <f>SUM(E51:P51)</f>
        <v/>
      </c>
    </row>
    <row r="52" outlineLevel="1" ht="12.75" customHeight="1" s="131">
      <c r="A52" s="137" t="n"/>
      <c r="B52" s="137">
        <f>'3. Fixed Operating Expenses'!B29</f>
        <v/>
      </c>
      <c r="C52" s="137" t="n"/>
      <c r="D52" s="145" t="n"/>
      <c r="E52" s="156">
        <f>'3. Fixed Operating Expenses'!G29</f>
        <v/>
      </c>
      <c r="F52" s="156">
        <f>E52</f>
        <v/>
      </c>
      <c r="G52" s="156">
        <f>F52</f>
        <v/>
      </c>
      <c r="H52" s="156">
        <f>G52</f>
        <v/>
      </c>
      <c r="I52" s="156">
        <f>H52</f>
        <v/>
      </c>
      <c r="J52" s="156">
        <f>I52</f>
        <v/>
      </c>
      <c r="K52" s="156">
        <f>J52</f>
        <v/>
      </c>
      <c r="L52" s="156">
        <f>K52</f>
        <v/>
      </c>
      <c r="M52" s="156">
        <f>L52</f>
        <v/>
      </c>
      <c r="N52" s="156">
        <f>M52</f>
        <v/>
      </c>
      <c r="O52" s="156">
        <f>N52</f>
        <v/>
      </c>
      <c r="P52" s="156">
        <f>O52</f>
        <v/>
      </c>
      <c r="Q52" s="156">
        <f>SUM(E52:P52)</f>
        <v/>
      </c>
    </row>
    <row r="53" outlineLevel="1" ht="12.75" customHeight="1" s="131">
      <c r="A53" s="137" t="n"/>
      <c r="B53" s="137">
        <f>'3. Fixed Operating Expenses'!B30</f>
        <v/>
      </c>
      <c r="C53" s="137" t="n"/>
      <c r="D53" s="145" t="n"/>
      <c r="E53" s="162">
        <f>'3. Fixed Operating Expenses'!G30</f>
        <v/>
      </c>
      <c r="F53" s="162">
        <f>E53</f>
        <v/>
      </c>
      <c r="G53" s="162">
        <f>F53</f>
        <v/>
      </c>
      <c r="H53" s="162">
        <f>G53</f>
        <v/>
      </c>
      <c r="I53" s="162">
        <f>H53</f>
        <v/>
      </c>
      <c r="J53" s="162">
        <f>I53</f>
        <v/>
      </c>
      <c r="K53" s="162">
        <f>J53</f>
        <v/>
      </c>
      <c r="L53" s="162">
        <f>K53</f>
        <v/>
      </c>
      <c r="M53" s="162">
        <f>L53</f>
        <v/>
      </c>
      <c r="N53" s="162">
        <f>M53</f>
        <v/>
      </c>
      <c r="O53" s="162">
        <f>N53</f>
        <v/>
      </c>
      <c r="P53" s="162">
        <f>O53</f>
        <v/>
      </c>
      <c r="Q53" s="162">
        <f>SUM(E53:P53)</f>
        <v/>
      </c>
    </row>
    <row r="54" ht="12.75" customHeight="1" s="131">
      <c r="A54" s="137" t="inlineStr">
        <is>
          <t>Total Fixed Business Expenses</t>
        </is>
      </c>
      <c r="B54" s="137" t="n"/>
      <c r="C54" s="137" t="n"/>
      <c r="D54" s="145" t="n"/>
      <c r="E54" s="156">
        <f>SUM(E34:E53)</f>
        <v/>
      </c>
      <c r="F54" s="156">
        <f>SUM(F34:F53)</f>
        <v/>
      </c>
      <c r="G54" s="156">
        <f>SUM(G34:G53)</f>
        <v/>
      </c>
      <c r="H54" s="156">
        <f>SUM(H34:H53)</f>
        <v/>
      </c>
      <c r="I54" s="156">
        <f>SUM(I34:I53)</f>
        <v/>
      </c>
      <c r="J54" s="156">
        <f>SUM(J34:J53)</f>
        <v/>
      </c>
      <c r="K54" s="156">
        <f>SUM(K34:K53)</f>
        <v/>
      </c>
      <c r="L54" s="156">
        <f>SUM(L34:L53)</f>
        <v/>
      </c>
      <c r="M54" s="156">
        <f>SUM(M34:M53)</f>
        <v/>
      </c>
      <c r="N54" s="156">
        <f>SUM(N34:N53)</f>
        <v/>
      </c>
      <c r="O54" s="156">
        <f>SUM(O34:O53)</f>
        <v/>
      </c>
      <c r="P54" s="156">
        <f>SUM(P34:P53)</f>
        <v/>
      </c>
      <c r="Q54" s="156">
        <f>SUM(Q34:Q53)</f>
        <v/>
      </c>
    </row>
    <row r="55" ht="12.75" customHeight="1" s="131">
      <c r="A55" s="137" t="n"/>
      <c r="B55" s="137" t="n"/>
      <c r="C55" s="137" t="n"/>
      <c r="D55" s="145" t="n"/>
      <c r="E55" s="156" t="n"/>
      <c r="F55" s="156" t="n"/>
      <c r="G55" s="156" t="n"/>
      <c r="H55" s="156" t="n"/>
      <c r="I55" s="156" t="n"/>
      <c r="J55" s="156" t="n"/>
      <c r="K55" s="156" t="n"/>
      <c r="L55" s="156" t="n"/>
      <c r="M55" s="156" t="n"/>
      <c r="N55" s="156" t="n"/>
      <c r="O55" s="156" t="n"/>
      <c r="P55" s="156" t="n"/>
      <c r="Q55" s="156" t="n"/>
    </row>
    <row r="56" hidden="1" outlineLevel="1" ht="12.75" customHeight="1" s="131">
      <c r="A56" s="137" t="inlineStr">
        <is>
          <t>Other Expenses</t>
        </is>
      </c>
      <c r="B56" s="137" t="n"/>
      <c r="C56" s="137" t="n"/>
      <c r="D56" s="145" t="n"/>
      <c r="E56" s="156" t="n"/>
      <c r="F56" s="156" t="n"/>
      <c r="G56" s="156" t="n"/>
      <c r="H56" s="156" t="n"/>
      <c r="I56" s="156" t="n"/>
      <c r="J56" s="156" t="n"/>
      <c r="K56" s="156" t="n"/>
      <c r="L56" s="156" t="n"/>
      <c r="M56" s="156" t="n"/>
      <c r="N56" s="156" t="n"/>
      <c r="O56" s="156" t="n"/>
      <c r="P56" s="156" t="n"/>
      <c r="Q56" s="156" t="n"/>
    </row>
    <row r="57" hidden="1" outlineLevel="1" ht="12.75" customHeight="1" s="131">
      <c r="A57" s="137" t="n"/>
      <c r="B57" s="137" t="inlineStr">
        <is>
          <t>Amortized Start-up Expenses</t>
        </is>
      </c>
      <c r="C57" s="137" t="n"/>
      <c r="D57" s="145" t="n"/>
      <c r="E57" s="156">
        <f>IF('6. Cash Receipts-Disbursements'!$G$28&gt;0,'6. Cash Receipts-Disbursements'!$K$28,0)</f>
        <v/>
      </c>
      <c r="F57" s="156">
        <f>IF('6. Cash Receipts-Disbursements'!$G$28&gt;0,'6. Cash Receipts-Disbursements'!$K$28,0)</f>
        <v/>
      </c>
      <c r="G57" s="156">
        <f>IF('6. Cash Receipts-Disbursements'!$G$28&gt;0,'6. Cash Receipts-Disbursements'!$K$28,0)</f>
        <v/>
      </c>
      <c r="H57" s="156">
        <f>IF('6. Cash Receipts-Disbursements'!$G$28&gt;0,'6. Cash Receipts-Disbursements'!$K$28,0)</f>
        <v/>
      </c>
      <c r="I57" s="156">
        <f>IF('6. Cash Receipts-Disbursements'!$G$28&gt;0,'6. Cash Receipts-Disbursements'!$K$28,0)</f>
        <v/>
      </c>
      <c r="J57" s="156">
        <f>IF('6. Cash Receipts-Disbursements'!$G$28&gt;0,'6. Cash Receipts-Disbursements'!$K$28,0)</f>
        <v/>
      </c>
      <c r="K57" s="156">
        <f>IF('6. Cash Receipts-Disbursements'!$G$28&gt;0,'6. Cash Receipts-Disbursements'!$K$28,0)</f>
        <v/>
      </c>
      <c r="L57" s="156">
        <f>IF('6. Cash Receipts-Disbursements'!$G$28&gt;0,'6. Cash Receipts-Disbursements'!$K$28,0)</f>
        <v/>
      </c>
      <c r="M57" s="156">
        <f>IF('6. Cash Receipts-Disbursements'!$G$28&gt;0,'6. Cash Receipts-Disbursements'!$K$28,0)</f>
        <v/>
      </c>
      <c r="N57" s="156">
        <f>IF('6. Cash Receipts-Disbursements'!$G$28&gt;0,'6. Cash Receipts-Disbursements'!$K$28,0)</f>
        <v/>
      </c>
      <c r="O57" s="156">
        <f>IF('6. Cash Receipts-Disbursements'!$G$28&gt;0,'6. Cash Receipts-Disbursements'!$K$28,0)</f>
        <v/>
      </c>
      <c r="P57" s="156">
        <f>IF('6. Cash Receipts-Disbursements'!$G$28&gt;0,'6. Cash Receipts-Disbursements'!$K$28,0)</f>
        <v/>
      </c>
      <c r="Q57" s="156">
        <f>SUM(E57:P57)</f>
        <v/>
      </c>
    </row>
    <row r="58" hidden="1" outlineLevel="1" ht="12.75" customHeight="1" s="131">
      <c r="A58" s="137" t="n"/>
      <c r="B58" s="137" t="inlineStr">
        <is>
          <t>Depreciation</t>
        </is>
      </c>
      <c r="C58" s="137" t="n"/>
      <c r="D58" s="145" t="n"/>
      <c r="E58" s="156">
        <f>'3. Fixed Operating Expenses'!G34</f>
        <v/>
      </c>
      <c r="F58" s="156">
        <f>E58</f>
        <v/>
      </c>
      <c r="G58" s="156">
        <f>F58</f>
        <v/>
      </c>
      <c r="H58" s="156">
        <f>G58</f>
        <v/>
      </c>
      <c r="I58" s="156">
        <f>H58</f>
        <v/>
      </c>
      <c r="J58" s="156">
        <f>I58</f>
        <v/>
      </c>
      <c r="K58" s="156">
        <f>J58</f>
        <v/>
      </c>
      <c r="L58" s="156">
        <f>K58</f>
        <v/>
      </c>
      <c r="M58" s="156">
        <f>L58</f>
        <v/>
      </c>
      <c r="N58" s="156">
        <f>M58</f>
        <v/>
      </c>
      <c r="O58" s="156">
        <f>N58</f>
        <v/>
      </c>
      <c r="P58" s="156">
        <f>O58</f>
        <v/>
      </c>
      <c r="Q58" s="156">
        <f>SUM(E58:P58)</f>
        <v/>
      </c>
    </row>
    <row r="59" hidden="1" outlineLevel="1" ht="12.75" customHeight="1" s="131">
      <c r="A59" s="137" t="n"/>
      <c r="B59" s="137" t="inlineStr">
        <is>
          <t>Interest</t>
        </is>
      </c>
      <c r="C59" s="137" t="n"/>
      <c r="D59" s="145" t="n"/>
      <c r="E59" s="156" t="n"/>
      <c r="F59" s="156" t="n"/>
      <c r="G59" s="156" t="n"/>
      <c r="H59" s="156" t="n"/>
      <c r="I59" s="156" t="n"/>
      <c r="J59" s="156" t="n"/>
      <c r="K59" s="156" t="n"/>
      <c r="L59" s="156" t="n"/>
      <c r="M59" s="156" t="n"/>
      <c r="N59" s="156" t="n"/>
      <c r="O59" s="156" t="n"/>
      <c r="P59" s="156" t="n"/>
      <c r="Q59" s="156" t="n"/>
    </row>
    <row r="60" hidden="1" outlineLevel="1" ht="12.75" customHeight="1" s="131">
      <c r="A60" s="137" t="n"/>
      <c r="B60" s="137" t="n"/>
      <c r="C60" s="137" t="inlineStr">
        <is>
          <t>Commercial Loan</t>
        </is>
      </c>
      <c r="D60" s="145" t="n"/>
      <c r="E60" s="156">
        <f>'20. Amoritization Schedule'!G15</f>
        <v/>
      </c>
      <c r="F60" s="156">
        <f>'20. Amoritization Schedule'!H15</f>
        <v/>
      </c>
      <c r="G60" s="156">
        <f>'20. Amoritization Schedule'!I15</f>
        <v/>
      </c>
      <c r="H60" s="156">
        <f>'20. Amoritization Schedule'!J15</f>
        <v/>
      </c>
      <c r="I60" s="156">
        <f>'20. Amoritization Schedule'!K15</f>
        <v/>
      </c>
      <c r="J60" s="156">
        <f>'20. Amoritization Schedule'!L15</f>
        <v/>
      </c>
      <c r="K60" s="156">
        <f>'20. Amoritization Schedule'!M15</f>
        <v/>
      </c>
      <c r="L60" s="156">
        <f>'20. Amoritization Schedule'!N15</f>
        <v/>
      </c>
      <c r="M60" s="156">
        <f>'20. Amoritization Schedule'!O15</f>
        <v/>
      </c>
      <c r="N60" s="156">
        <f>'20. Amoritization Schedule'!P15</f>
        <v/>
      </c>
      <c r="O60" s="156">
        <f>'20. Amoritization Schedule'!Q15</f>
        <v/>
      </c>
      <c r="P60" s="156">
        <f>'20. Amoritization Schedule'!R15</f>
        <v/>
      </c>
      <c r="Q60" s="156">
        <f>SUM(E60:P60)</f>
        <v/>
      </c>
    </row>
    <row r="61" hidden="1" outlineLevel="1" ht="12.75" customHeight="1" s="131">
      <c r="A61" s="137" t="n"/>
      <c r="B61" s="137" t="n"/>
      <c r="C61" s="137" t="inlineStr">
        <is>
          <t>Commercial Mortgage</t>
        </is>
      </c>
      <c r="D61" s="145" t="n"/>
      <c r="E61" s="156">
        <f>'20. Amoritization Schedule'!G35</f>
        <v/>
      </c>
      <c r="F61" s="156">
        <f>'20. Amoritization Schedule'!H35</f>
        <v/>
      </c>
      <c r="G61" s="156">
        <f>'20. Amoritization Schedule'!I35</f>
        <v/>
      </c>
      <c r="H61" s="156">
        <f>'20. Amoritization Schedule'!J35</f>
        <v/>
      </c>
      <c r="I61" s="156">
        <f>'20. Amoritization Schedule'!K35</f>
        <v/>
      </c>
      <c r="J61" s="156">
        <f>'20. Amoritization Schedule'!L35</f>
        <v/>
      </c>
      <c r="K61" s="156">
        <f>'20. Amoritization Schedule'!M35</f>
        <v/>
      </c>
      <c r="L61" s="156">
        <f>'20. Amoritization Schedule'!N35</f>
        <v/>
      </c>
      <c r="M61" s="156">
        <f>'20. Amoritization Schedule'!O35</f>
        <v/>
      </c>
      <c r="N61" s="156">
        <f>'20. Amoritization Schedule'!P35</f>
        <v/>
      </c>
      <c r="O61" s="156">
        <f>'20. Amoritization Schedule'!Q35</f>
        <v/>
      </c>
      <c r="P61" s="156">
        <f>'20. Amoritization Schedule'!R35</f>
        <v/>
      </c>
      <c r="Q61" s="156">
        <f>SUM(E61:P61)</f>
        <v/>
      </c>
    </row>
    <row r="62" hidden="1" outlineLevel="1" ht="12.75" customHeight="1" s="131">
      <c r="A62" s="137" t="n"/>
      <c r="B62" s="137" t="n"/>
      <c r="C62" s="137" t="inlineStr">
        <is>
          <t>Line of Credit</t>
        </is>
      </c>
      <c r="D62" s="145" t="n"/>
      <c r="E62" s="156">
        <f>'9. Cash Flow Statement'!E26</f>
        <v/>
      </c>
      <c r="F62" s="156">
        <f>'9. Cash Flow Statement'!F26</f>
        <v/>
      </c>
      <c r="G62" s="156">
        <f>'9. Cash Flow Statement'!G26</f>
        <v/>
      </c>
      <c r="H62" s="156">
        <f>'9. Cash Flow Statement'!H26</f>
        <v/>
      </c>
      <c r="I62" s="156">
        <f>'9. Cash Flow Statement'!I26</f>
        <v/>
      </c>
      <c r="J62" s="156">
        <f>'9. Cash Flow Statement'!J26</f>
        <v/>
      </c>
      <c r="K62" s="156">
        <f>'9. Cash Flow Statement'!K26</f>
        <v/>
      </c>
      <c r="L62" s="156">
        <f>'9. Cash Flow Statement'!L26</f>
        <v/>
      </c>
      <c r="M62" s="156">
        <f>'9. Cash Flow Statement'!M26</f>
        <v/>
      </c>
      <c r="N62" s="156">
        <f>'9. Cash Flow Statement'!N26</f>
        <v/>
      </c>
      <c r="O62" s="156">
        <f>'9. Cash Flow Statement'!O26</f>
        <v/>
      </c>
      <c r="P62" s="156">
        <f>'9. Cash Flow Statement'!P26</f>
        <v/>
      </c>
      <c r="Q62" s="156">
        <f>SUM(E62:P62)</f>
        <v/>
      </c>
    </row>
    <row r="63" hidden="1" outlineLevel="1" ht="12.75" customHeight="1" s="131">
      <c r="A63" s="137" t="n"/>
      <c r="B63" s="137" t="inlineStr">
        <is>
          <t>Taxes</t>
        </is>
      </c>
      <c r="C63" s="137" t="n"/>
      <c r="D63" s="145" t="n"/>
      <c r="E63" s="162">
        <f>IF(E71&gt;0,(E70)*'6. Cash Receipts-Disbursements'!G25,0)</f>
        <v/>
      </c>
      <c r="F63" s="162">
        <f>IF(F71&gt;0,IF(E71&lt;0,(F70-ABS(E71))*'6. Cash Receipts-Disbursements'!$G$25,'8. Income Statement'!F70*'6. Cash Receipts-Disbursements'!$G$25),IF('8. Income Statement'!E71&gt;0,-('8. Income Statement'!E71*'6. Cash Receipts-Disbursements'!$G$25),0))</f>
        <v/>
      </c>
      <c r="G63" s="162">
        <f>IF(G71&gt;0,IF(F71&lt;0,(G70-ABS(F71))*'6. Cash Receipts-Disbursements'!$G$25,'8. Income Statement'!G70*'6. Cash Receipts-Disbursements'!$G$25),IF('8. Income Statement'!F71&gt;0,-('8. Income Statement'!F71*'6. Cash Receipts-Disbursements'!$G$25),0))</f>
        <v/>
      </c>
      <c r="H63" s="162">
        <f>IF(H71&gt;0,IF(G71&lt;0,(H70-ABS(G71))*'6. Cash Receipts-Disbursements'!$G$25,'8. Income Statement'!H70*'6. Cash Receipts-Disbursements'!$G$25),IF('8. Income Statement'!G71&gt;0,-('8. Income Statement'!G71*'6. Cash Receipts-Disbursements'!$G$25),0))</f>
        <v/>
      </c>
      <c r="I63" s="162">
        <f>IF(I71&gt;0,IF(H71&lt;0,(I70-ABS(H71))*'6. Cash Receipts-Disbursements'!$G$25,'8. Income Statement'!I70*'6. Cash Receipts-Disbursements'!$G$25),IF('8. Income Statement'!H71&gt;0,-('8. Income Statement'!H71*'6. Cash Receipts-Disbursements'!$G$25),0))</f>
        <v/>
      </c>
      <c r="J63" s="162">
        <f>IF(J71&gt;0,IF(I71&lt;0,(J70-ABS(I71))*'6. Cash Receipts-Disbursements'!$G$25,'8. Income Statement'!J70*'6. Cash Receipts-Disbursements'!$G$25),IF('8. Income Statement'!I71&gt;0,-('8. Income Statement'!I71*'6. Cash Receipts-Disbursements'!$G$25),0))</f>
        <v/>
      </c>
      <c r="K63" s="162">
        <f>IF(K71&gt;0,IF(J71&lt;0,(K70-ABS(J71))*'6. Cash Receipts-Disbursements'!$G$25,'8. Income Statement'!K70*'6. Cash Receipts-Disbursements'!$G$25),IF('8. Income Statement'!J71&gt;0,-('8. Income Statement'!J71*'6. Cash Receipts-Disbursements'!$G$25),0))</f>
        <v/>
      </c>
      <c r="L63" s="162">
        <f>IF(L71&gt;0,IF(K71&lt;0,(L70-ABS(K71))*'6. Cash Receipts-Disbursements'!$G$25,'8. Income Statement'!L70*'6. Cash Receipts-Disbursements'!$G$25),IF('8. Income Statement'!K71&gt;0,-('8. Income Statement'!K71*'6. Cash Receipts-Disbursements'!$G$25),0))</f>
        <v/>
      </c>
      <c r="M63" s="162">
        <f>IF(M71&gt;0,IF(L71&lt;0,(M70-ABS(L71))*'6. Cash Receipts-Disbursements'!$G$25,'8. Income Statement'!M70*'6. Cash Receipts-Disbursements'!$G$25),IF('8. Income Statement'!L71&gt;0,-('8. Income Statement'!L71*'6. Cash Receipts-Disbursements'!$G$25),0))</f>
        <v/>
      </c>
      <c r="N63" s="162">
        <f>IF(N71&gt;0,IF(M71&lt;0,(N70-ABS(M71))*'6. Cash Receipts-Disbursements'!$G$25,'8. Income Statement'!N70*'6. Cash Receipts-Disbursements'!$G$25),IF('8. Income Statement'!M71&gt;0,-('8. Income Statement'!M71*'6. Cash Receipts-Disbursements'!$G$25),0))</f>
        <v/>
      </c>
      <c r="O63" s="162">
        <f>IF(O71&gt;0,IF(N71&lt;0,(O70-ABS(N71))*'6. Cash Receipts-Disbursements'!$G$25,'8. Income Statement'!O70*'6. Cash Receipts-Disbursements'!$G$25),IF('8. Income Statement'!N71&gt;0,-('8. Income Statement'!N71*'6. Cash Receipts-Disbursements'!$G$25),0))</f>
        <v/>
      </c>
      <c r="P63" s="162">
        <f>IF(P71&gt;0,IF(O71&lt;0,(P70-ABS(O71))*'6. Cash Receipts-Disbursements'!$G$25,'8. Income Statement'!P70*'6. Cash Receipts-Disbursements'!$G$25),IF('8. Income Statement'!O71&gt;0,-('8. Income Statement'!O71*'6. Cash Receipts-Disbursements'!$G$25),0))</f>
        <v/>
      </c>
      <c r="Q63" s="162">
        <f>SUM(E63:P63)</f>
        <v/>
      </c>
    </row>
    <row r="64" ht="12.75" customHeight="1" s="131">
      <c r="A64" s="137" t="inlineStr">
        <is>
          <t>Total Other Expenses</t>
        </is>
      </c>
      <c r="B64" s="137" t="n"/>
      <c r="C64" s="137" t="n"/>
      <c r="D64" s="145" t="n"/>
      <c r="E64" s="156">
        <f>SUM(E57:E63)</f>
        <v/>
      </c>
      <c r="F64" s="156">
        <f>SUM(F57:F63)</f>
        <v/>
      </c>
      <c r="G64" s="156">
        <f>SUM(G57:G63)</f>
        <v/>
      </c>
      <c r="H64" s="156">
        <f>SUM(H57:H63)</f>
        <v/>
      </c>
      <c r="I64" s="156">
        <f>SUM(I57:I63)</f>
        <v/>
      </c>
      <c r="J64" s="156">
        <f>SUM(J57:J63)</f>
        <v/>
      </c>
      <c r="K64" s="156">
        <f>SUM(K57:K63)</f>
        <v/>
      </c>
      <c r="L64" s="156">
        <f>SUM(L57:L63)</f>
        <v/>
      </c>
      <c r="M64" s="156">
        <f>SUM(M57:M63)</f>
        <v/>
      </c>
      <c r="N64" s="156">
        <f>SUM(N57:N63)</f>
        <v/>
      </c>
      <c r="O64" s="156">
        <f>SUM(O57:O63)</f>
        <v/>
      </c>
      <c r="P64" s="156">
        <f>SUM(P57:P63)</f>
        <v/>
      </c>
      <c r="Q64" s="156">
        <f>SUM(Q57:Q63)</f>
        <v/>
      </c>
    </row>
    <row r="65" ht="12.75" customHeight="1" s="131">
      <c r="A65" s="137" t="n"/>
      <c r="B65" s="137" t="n"/>
      <c r="C65" s="137" t="n"/>
      <c r="D65" s="145" t="n"/>
      <c r="E65" s="162" t="n"/>
      <c r="F65" s="162" t="n"/>
      <c r="G65" s="162" t="n"/>
      <c r="H65" s="162" t="n"/>
      <c r="I65" s="162" t="n"/>
      <c r="J65" s="162" t="n"/>
      <c r="K65" s="162" t="n"/>
      <c r="L65" s="162" t="n"/>
      <c r="M65" s="162" t="n"/>
      <c r="N65" s="162" t="n"/>
      <c r="O65" s="162" t="n"/>
      <c r="P65" s="162" t="n"/>
      <c r="Q65" s="162" t="n"/>
    </row>
    <row r="66" ht="15.95" customHeight="1" s="131">
      <c r="A66" s="137" t="inlineStr">
        <is>
          <t>Net Income</t>
        </is>
      </c>
      <c r="B66" s="137" t="n"/>
      <c r="C66" s="137" t="n"/>
      <c r="D66" s="145" t="n"/>
      <c r="E66" s="219">
        <f>E22-E31-E54-E64</f>
        <v/>
      </c>
      <c r="F66" s="219">
        <f>F22-F31-F54-F64</f>
        <v/>
      </c>
      <c r="G66" s="219">
        <f>G22-G31-G54-G64</f>
        <v/>
      </c>
      <c r="H66" s="219">
        <f>H22-H31-H54-H64</f>
        <v/>
      </c>
      <c r="I66" s="219">
        <f>I22-I31-I54-I64</f>
        <v/>
      </c>
      <c r="J66" s="219">
        <f>J22-J31-J54-J64</f>
        <v/>
      </c>
      <c r="K66" s="219">
        <f>K22-K31-K54-K64</f>
        <v/>
      </c>
      <c r="L66" s="219">
        <f>L22-L31-L54-L64</f>
        <v/>
      </c>
      <c r="M66" s="219">
        <f>M22-M31-M54-M64</f>
        <v/>
      </c>
      <c r="N66" s="219">
        <f>N22-N31-N54-N64</f>
        <v/>
      </c>
      <c r="O66" s="219">
        <f>O22-O31-O54-O64</f>
        <v/>
      </c>
      <c r="P66" s="219">
        <f>P22-P31-P54-P64</f>
        <v/>
      </c>
      <c r="Q66" s="219">
        <f>Q22-Q31-Q54-Q64</f>
        <v/>
      </c>
    </row>
    <row r="67" ht="12.75" customHeight="1" s="131">
      <c r="A67" s="137" t="n"/>
      <c r="B67" s="137" t="n"/>
      <c r="C67" s="137" t="n"/>
      <c r="D67" s="145" t="n"/>
      <c r="E67" s="145" t="n"/>
      <c r="F67" s="145" t="n"/>
      <c r="G67" s="145" t="n"/>
      <c r="H67" s="145" t="n"/>
      <c r="I67" s="145" t="n"/>
      <c r="J67" s="145" t="n"/>
      <c r="K67" s="145" t="n"/>
      <c r="L67" s="145" t="n"/>
      <c r="M67" s="145" t="n"/>
      <c r="N67" s="145" t="n"/>
      <c r="O67" s="145" t="n"/>
      <c r="P67" s="145" t="n"/>
      <c r="Q67" s="145" t="n"/>
    </row>
    <row r="68" ht="12.75" customHeight="1" s="131">
      <c r="A68" s="137" t="n"/>
      <c r="B68" s="137" t="n"/>
      <c r="C68" s="137" t="n"/>
      <c r="D68" s="145" t="n"/>
      <c r="E68" s="145" t="n"/>
      <c r="F68" s="145" t="n"/>
      <c r="G68" s="145" t="n"/>
      <c r="H68" s="145" t="n"/>
      <c r="I68" s="145" t="n"/>
      <c r="J68" s="145" t="n"/>
      <c r="K68" s="145" t="n"/>
      <c r="L68" s="145" t="n"/>
      <c r="M68" s="145" t="n"/>
      <c r="N68" s="145" t="n"/>
      <c r="O68" s="145" t="n"/>
      <c r="P68" s="145" t="n"/>
      <c r="Q68" s="182" t="n"/>
    </row>
    <row r="69" ht="12.75" customHeight="1" s="131">
      <c r="A69" s="137" t="n"/>
      <c r="B69" s="137" t="n"/>
      <c r="C69" s="137" t="n"/>
      <c r="D69" s="145" t="n"/>
      <c r="E69" s="145" t="n"/>
      <c r="F69" s="145" t="n"/>
      <c r="G69" s="145" t="n"/>
      <c r="H69" s="145" t="n"/>
      <c r="I69" s="145" t="n"/>
      <c r="J69" s="145" t="n"/>
      <c r="K69" s="145" t="n"/>
      <c r="L69" s="145" t="n"/>
      <c r="M69" s="145" t="n"/>
      <c r="N69" s="145" t="n"/>
      <c r="O69" s="145" t="n"/>
      <c r="P69" s="145" t="n"/>
      <c r="Q69" s="145" t="n"/>
    </row>
    <row r="70" ht="12.75" customHeight="1" s="131">
      <c r="A70" s="137" t="n"/>
      <c r="B70" s="137" t="n"/>
      <c r="C70" s="137" t="n"/>
      <c r="D70" s="145" t="n"/>
      <c r="E70" s="220">
        <f>E22-E31-E54-E58-E60-E61-E62</f>
        <v/>
      </c>
      <c r="F70" s="220">
        <f>F22-F31-F54-F58-F60-F61-F62</f>
        <v/>
      </c>
      <c r="G70" s="220">
        <f>G22-G31-G54-G58-G60-G61-G62</f>
        <v/>
      </c>
      <c r="H70" s="220">
        <f>H22-H31-H54-H58-H60-H61-H62</f>
        <v/>
      </c>
      <c r="I70" s="220">
        <f>I22-I31-I54-I58-I60-I61-I62</f>
        <v/>
      </c>
      <c r="J70" s="220">
        <f>J22-J31-J54-J58-J60-J61-J62</f>
        <v/>
      </c>
      <c r="K70" s="220">
        <f>K22-K31-K54-K58-K60-K61-K62</f>
        <v/>
      </c>
      <c r="L70" s="220">
        <f>L22-L31-L54-L58-L60-L61-L62</f>
        <v/>
      </c>
      <c r="M70" s="220">
        <f>M22-M31-M54-M58-M60-M61-M62</f>
        <v/>
      </c>
      <c r="N70" s="220">
        <f>N22-N31-N54-N58-N60-N61-N62</f>
        <v/>
      </c>
      <c r="O70" s="220">
        <f>O22-O31-O54-O58-O60-O61-O62</f>
        <v/>
      </c>
      <c r="P70" s="220">
        <f>P22-P31-P54-P58-P60-P61-P62</f>
        <v/>
      </c>
      <c r="Q70" s="145" t="n"/>
    </row>
    <row r="71" ht="12.75" customHeight="1" s="131">
      <c r="A71" s="137" t="n"/>
      <c r="B71" s="137" t="n"/>
      <c r="C71" s="137" t="n"/>
      <c r="D71" s="145" t="n"/>
      <c r="E71" s="220">
        <f>E70</f>
        <v/>
      </c>
      <c r="F71" s="220">
        <f>E71+F70</f>
        <v/>
      </c>
      <c r="G71" s="220">
        <f>F71+G70</f>
        <v/>
      </c>
      <c r="H71" s="220">
        <f>G71+H70</f>
        <v/>
      </c>
      <c r="I71" s="220">
        <f>H71+I70</f>
        <v/>
      </c>
      <c r="J71" s="220">
        <f>I71+J70</f>
        <v/>
      </c>
      <c r="K71" s="220">
        <f>J71+K70</f>
        <v/>
      </c>
      <c r="L71" s="220">
        <f>K71+L70</f>
        <v/>
      </c>
      <c r="M71" s="220">
        <f>L71+M70</f>
        <v/>
      </c>
      <c r="N71" s="220">
        <f>M71+N70</f>
        <v/>
      </c>
      <c r="O71" s="220">
        <f>N71+O70</f>
        <v/>
      </c>
      <c r="P71" s="220">
        <f>O71+P70</f>
        <v/>
      </c>
      <c r="Q71" s="145" t="n"/>
    </row>
    <row r="72" ht="12.75" customHeight="1" s="131">
      <c r="P72" s="221" t="n"/>
    </row>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Q6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E17" activeCellId="0" sqref="E17"/>
    </sheetView>
  </sheetViews>
  <sheetFormatPr baseColWidth="8" defaultColWidth="9.15234375" defaultRowHeight="12" zeroHeight="0" outlineLevelRow="0"/>
  <cols>
    <col width="2.99" customWidth="1" style="168" min="1" max="3"/>
    <col width="22.75" customWidth="1" style="130" min="4" max="4"/>
    <col width="10.72" customWidth="1" style="130" min="5" max="16"/>
    <col width="15.73" customWidth="1" style="130" min="17" max="17"/>
  </cols>
  <sheetData>
    <row r="1" ht="15.75" customHeight="1" s="131">
      <c r="A1" s="142">
        <f>'1. Required Start-Up Funds'!A1</f>
        <v/>
      </c>
    </row>
    <row r="2" ht="15.75" customHeight="1" s="131">
      <c r="A2" s="142" t="inlineStr">
        <is>
          <t>Projected Cash Flow Statement - Year One</t>
        </is>
      </c>
    </row>
    <row r="3" ht="12.75" customHeight="1" s="131">
      <c r="A3" s="137" t="n"/>
      <c r="B3" s="137" t="n"/>
      <c r="C3" s="137" t="n"/>
      <c r="D3" s="145" t="n"/>
      <c r="E3" s="145" t="n"/>
      <c r="F3" s="145" t="n"/>
      <c r="G3" s="145" t="n"/>
      <c r="H3" s="145" t="n"/>
      <c r="I3" s="145" t="n"/>
      <c r="J3" s="145" t="n"/>
      <c r="K3" s="145" t="n"/>
      <c r="L3" s="145" t="n"/>
      <c r="M3" s="145" t="n"/>
      <c r="N3" s="145" t="n"/>
      <c r="O3" s="145" t="n"/>
      <c r="P3" s="145" t="n"/>
      <c r="Q3" s="145" t="n"/>
    </row>
    <row r="4" ht="12.75" customHeight="1" s="131">
      <c r="A4" s="137" t="n"/>
      <c r="B4" s="137" t="n"/>
      <c r="C4" s="137" t="n"/>
      <c r="D4" s="145" t="n"/>
      <c r="E4" s="145" t="n"/>
      <c r="F4" s="145" t="n"/>
      <c r="G4" s="145" t="n"/>
      <c r="H4" s="145" t="n"/>
      <c r="I4" s="145" t="n"/>
      <c r="J4" s="145" t="n"/>
      <c r="K4" s="145" t="n"/>
      <c r="L4" s="145" t="n"/>
      <c r="M4" s="145" t="n"/>
      <c r="N4" s="145" t="n"/>
      <c r="O4" s="145" t="n"/>
      <c r="P4" s="145" t="n"/>
      <c r="Q4" s="145" t="n"/>
    </row>
    <row r="5" ht="12.75" customHeight="1" s="131">
      <c r="A5" s="137" t="n"/>
      <c r="B5" s="137" t="n"/>
      <c r="C5" s="137" t="n"/>
      <c r="D5" s="145" t="n"/>
      <c r="E5" s="145" t="n"/>
      <c r="F5" s="145" t="n"/>
      <c r="G5" s="145" t="n"/>
      <c r="H5" s="145" t="n"/>
      <c r="I5" s="145" t="n"/>
      <c r="J5" s="145" t="n"/>
      <c r="K5" s="145" t="n"/>
      <c r="L5" s="145" t="n"/>
      <c r="M5" s="145" t="n"/>
      <c r="N5" s="145" t="n"/>
      <c r="O5" s="145" t="n"/>
      <c r="P5" s="145" t="n"/>
      <c r="Q5" s="145" t="n"/>
    </row>
    <row r="6" ht="12.75" customHeight="1" s="131">
      <c r="A6" s="137" t="n"/>
      <c r="B6" s="137" t="n"/>
      <c r="C6" s="137" t="n"/>
      <c r="D6" s="145" t="n"/>
      <c r="E6" s="172">
        <f>'4. Projected Sales Forecast'!H6</f>
        <v/>
      </c>
      <c r="F6" s="172">
        <f>'4. Projected Sales Forecast'!I6</f>
        <v/>
      </c>
      <c r="G6" s="172">
        <f>'4. Projected Sales Forecast'!J6</f>
        <v/>
      </c>
      <c r="H6" s="172">
        <f>'4. Projected Sales Forecast'!K6</f>
        <v/>
      </c>
      <c r="I6" s="172">
        <f>'4. Projected Sales Forecast'!L6</f>
        <v/>
      </c>
      <c r="J6" s="172">
        <f>'4. Projected Sales Forecast'!M6</f>
        <v/>
      </c>
      <c r="K6" s="172">
        <f>'4. Projected Sales Forecast'!N6</f>
        <v/>
      </c>
      <c r="L6" s="172">
        <f>'4. Projected Sales Forecast'!O6</f>
        <v/>
      </c>
      <c r="M6" s="172">
        <f>'4. Projected Sales Forecast'!P6</f>
        <v/>
      </c>
      <c r="N6" s="172">
        <f>'4. Projected Sales Forecast'!Q6</f>
        <v/>
      </c>
      <c r="O6" s="172">
        <f>'4. Projected Sales Forecast'!R6</f>
        <v/>
      </c>
      <c r="P6" s="172">
        <f>'4. Projected Sales Forecast'!S6</f>
        <v/>
      </c>
      <c r="Q6" s="172" t="inlineStr">
        <is>
          <t>Totals</t>
        </is>
      </c>
    </row>
    <row r="7" ht="12.75" customHeight="1" s="131">
      <c r="A7" s="137" t="n"/>
      <c r="B7" s="137" t="n"/>
      <c r="C7" s="137" t="n"/>
      <c r="D7" s="145" t="n"/>
      <c r="E7" s="145" t="n"/>
      <c r="F7" s="145" t="n"/>
      <c r="G7" s="145" t="n"/>
      <c r="H7" s="145" t="n"/>
      <c r="I7" s="145" t="n"/>
      <c r="J7" s="145" t="n"/>
      <c r="K7" s="145" t="n"/>
      <c r="L7" s="145" t="n"/>
      <c r="M7" s="145" t="n"/>
      <c r="N7" s="145" t="n"/>
      <c r="O7" s="145" t="n"/>
      <c r="P7" s="145" t="n"/>
      <c r="Q7" s="145" t="n"/>
    </row>
    <row r="8" ht="12.75" customHeight="1" s="131">
      <c r="A8" s="137" t="inlineStr">
        <is>
          <t>Beginning Cash Balance</t>
        </is>
      </c>
      <c r="B8" s="137" t="n"/>
      <c r="C8" s="137" t="n"/>
      <c r="D8" s="145" t="n"/>
      <c r="E8" s="156">
        <f>'10. Balance Sheet'!F10</f>
        <v/>
      </c>
      <c r="F8" s="156">
        <f>E37</f>
        <v/>
      </c>
      <c r="G8" s="156">
        <f>F37</f>
        <v/>
      </c>
      <c r="H8" s="156">
        <f>G37</f>
        <v/>
      </c>
      <c r="I8" s="156">
        <f>H37</f>
        <v/>
      </c>
      <c r="J8" s="156">
        <f>I37</f>
        <v/>
      </c>
      <c r="K8" s="156">
        <f>J37</f>
        <v/>
      </c>
      <c r="L8" s="156">
        <f>K37</f>
        <v/>
      </c>
      <c r="M8" s="156">
        <f>L37</f>
        <v/>
      </c>
      <c r="N8" s="156">
        <f>M37</f>
        <v/>
      </c>
      <c r="O8" s="156">
        <f>N37</f>
        <v/>
      </c>
      <c r="P8" s="156">
        <f>O37</f>
        <v/>
      </c>
      <c r="Q8" s="156" t="n"/>
    </row>
    <row r="9" ht="12.75" customHeight="1" s="131">
      <c r="A9" s="137" t="n"/>
      <c r="B9" s="137" t="n"/>
      <c r="C9" s="137" t="n"/>
      <c r="D9" s="145" t="n"/>
      <c r="E9" s="156" t="n"/>
      <c r="F9" s="156" t="n"/>
      <c r="G9" s="156" t="n"/>
      <c r="H9" s="156" t="n"/>
      <c r="I9" s="156" t="n"/>
      <c r="J9" s="156" t="n"/>
      <c r="K9" s="156" t="n"/>
      <c r="L9" s="156" t="n"/>
      <c r="M9" s="156" t="n"/>
      <c r="N9" s="156" t="n"/>
      <c r="O9" s="156" t="n"/>
      <c r="P9" s="156" t="n"/>
      <c r="Q9" s="156" t="n"/>
    </row>
    <row r="10" ht="12.75" customHeight="1" s="131">
      <c r="A10" s="137" t="inlineStr">
        <is>
          <t>Cash Inflows</t>
        </is>
      </c>
      <c r="B10" s="137" t="n"/>
      <c r="C10" s="137" t="n"/>
      <c r="D10" s="145" t="n"/>
      <c r="E10" s="156" t="n"/>
      <c r="F10" s="156" t="n"/>
      <c r="G10" s="156" t="n"/>
      <c r="H10" s="156" t="n"/>
      <c r="I10" s="156" t="n"/>
      <c r="J10" s="156" t="n"/>
      <c r="K10" s="156" t="n"/>
      <c r="L10" s="156" t="n"/>
      <c r="M10" s="156" t="n"/>
      <c r="N10" s="156" t="n"/>
      <c r="O10" s="156" t="n"/>
      <c r="P10" s="156" t="n"/>
      <c r="Q10" s="156" t="n"/>
    </row>
    <row r="11" ht="12.75" customHeight="1" s="131">
      <c r="A11" s="137" t="n"/>
      <c r="B11" s="137" t="inlineStr">
        <is>
          <t>Income from Sales</t>
        </is>
      </c>
      <c r="C11" s="137" t="n"/>
      <c r="D11" s="145" t="n"/>
      <c r="E11" s="156">
        <f>'8. Income Statement'!E13*'6. Cash Receipts-Disbursements'!$G$8</f>
        <v/>
      </c>
      <c r="F11" s="156">
        <f>'8. Income Statement'!F13*'6. Cash Receipts-Disbursements'!$G$8</f>
        <v/>
      </c>
      <c r="G11" s="156">
        <f>'8. Income Statement'!G13*'6. Cash Receipts-Disbursements'!$G$8</f>
        <v/>
      </c>
      <c r="H11" s="156">
        <f>'8. Income Statement'!H13*'6. Cash Receipts-Disbursements'!$G$8</f>
        <v/>
      </c>
      <c r="I11" s="156">
        <f>'8. Income Statement'!I13*'6. Cash Receipts-Disbursements'!$G$8</f>
        <v/>
      </c>
      <c r="J11" s="156">
        <f>'8. Income Statement'!J13*'6. Cash Receipts-Disbursements'!$G$8</f>
        <v/>
      </c>
      <c r="K11" s="156">
        <f>'8. Income Statement'!K13*'6. Cash Receipts-Disbursements'!$G$8</f>
        <v/>
      </c>
      <c r="L11" s="156">
        <f>'8. Income Statement'!L13*'6. Cash Receipts-Disbursements'!$G$8</f>
        <v/>
      </c>
      <c r="M11" s="156">
        <f>'8. Income Statement'!M13*'6. Cash Receipts-Disbursements'!$G$8</f>
        <v/>
      </c>
      <c r="N11" s="156">
        <f>'8. Income Statement'!N13*'6. Cash Receipts-Disbursements'!$G$8</f>
        <v/>
      </c>
      <c r="O11" s="156">
        <f>'8. Income Statement'!O13*'6. Cash Receipts-Disbursements'!$G$8</f>
        <v/>
      </c>
      <c r="P11" s="156">
        <f>'8. Income Statement'!P13*'6. Cash Receipts-Disbursements'!$G$8</f>
        <v/>
      </c>
      <c r="Q11" s="156">
        <f>SUM(E11:P11)</f>
        <v/>
      </c>
    </row>
    <row r="12" ht="12.75" customHeight="1" s="131">
      <c r="A12" s="137" t="n"/>
      <c r="B12" s="137" t="inlineStr">
        <is>
          <t>Accounts Receivable</t>
        </is>
      </c>
      <c r="C12" s="137" t="n"/>
      <c r="D12" s="145" t="n"/>
      <c r="E12" s="162" t="n">
        <v>0</v>
      </c>
      <c r="F12" s="162">
        <f>'8. Income Statement'!E13*'6. Cash Receipts-Disbursements'!G9</f>
        <v/>
      </c>
      <c r="G12" s="162">
        <f>('8. Income Statement'!F13*'6. Cash Receipts-Disbursements'!$G$9)+('8. Income Statement'!E13*'6. Cash Receipts-Disbursements'!$G$10)</f>
        <v/>
      </c>
      <c r="H12" s="162">
        <f>('8. Income Statement'!G13*'6. Cash Receipts-Disbursements'!$G$9)+('8. Income Statement'!F13*'6. Cash Receipts-Disbursements'!$G$10)</f>
        <v/>
      </c>
      <c r="I12" s="162">
        <f>('8. Income Statement'!H13*'6. Cash Receipts-Disbursements'!$G$9)+('8. Income Statement'!G13*'6. Cash Receipts-Disbursements'!$G$10)</f>
        <v/>
      </c>
      <c r="J12" s="162">
        <f>('8. Income Statement'!I13*'6. Cash Receipts-Disbursements'!$G$9)+('8. Income Statement'!H13*'6. Cash Receipts-Disbursements'!$G$10)</f>
        <v/>
      </c>
      <c r="K12" s="162">
        <f>('8. Income Statement'!J13*'6. Cash Receipts-Disbursements'!$G$9)+('8. Income Statement'!I13*'6. Cash Receipts-Disbursements'!$G$10)</f>
        <v/>
      </c>
      <c r="L12" s="162">
        <f>('8. Income Statement'!K13*'6. Cash Receipts-Disbursements'!$G$9)+('8. Income Statement'!J13*'6. Cash Receipts-Disbursements'!$G$10)</f>
        <v/>
      </c>
      <c r="M12" s="162">
        <f>('8. Income Statement'!L13*'6. Cash Receipts-Disbursements'!$G$9)+('8. Income Statement'!K13*'6. Cash Receipts-Disbursements'!$G$10)</f>
        <v/>
      </c>
      <c r="N12" s="162">
        <f>('8. Income Statement'!M13*'6. Cash Receipts-Disbursements'!$G$9)+('8. Income Statement'!L13*'6. Cash Receipts-Disbursements'!$G$10)</f>
        <v/>
      </c>
      <c r="O12" s="162">
        <f>('8. Income Statement'!N13*'6. Cash Receipts-Disbursements'!$G$9)+('8. Income Statement'!M13*'6. Cash Receipts-Disbursements'!$G$10)</f>
        <v/>
      </c>
      <c r="P12" s="162">
        <f>('8. Income Statement'!O13*'6. Cash Receipts-Disbursements'!$G$9)+('8. Income Statement'!N13*'6. Cash Receipts-Disbursements'!$G$10)</f>
        <v/>
      </c>
      <c r="Q12" s="162">
        <f>SUM(E12:P12)</f>
        <v/>
      </c>
    </row>
    <row r="13" ht="12.75" customHeight="1" s="131">
      <c r="A13" s="137" t="inlineStr">
        <is>
          <t>Total Cash Inflows</t>
        </is>
      </c>
      <c r="B13" s="137" t="n"/>
      <c r="C13" s="137" t="n"/>
      <c r="D13" s="145" t="n"/>
      <c r="E13" s="156">
        <f>SUM(E11:E12)</f>
        <v/>
      </c>
      <c r="F13" s="156">
        <f>SUM(F11:F12)</f>
        <v/>
      </c>
      <c r="G13" s="156">
        <f>SUM(G11:G12)</f>
        <v/>
      </c>
      <c r="H13" s="156">
        <f>SUM(H11:H12)</f>
        <v/>
      </c>
      <c r="I13" s="156">
        <f>SUM(I11:I12)</f>
        <v/>
      </c>
      <c r="J13" s="156">
        <f>SUM(J11:J12)</f>
        <v/>
      </c>
      <c r="K13" s="156">
        <f>SUM(K11:K12)</f>
        <v/>
      </c>
      <c r="L13" s="156">
        <f>SUM(L11:L12)</f>
        <v/>
      </c>
      <c r="M13" s="156">
        <f>SUM(M11:M12)</f>
        <v/>
      </c>
      <c r="N13" s="156">
        <f>SUM(N11:N12)</f>
        <v/>
      </c>
      <c r="O13" s="156">
        <f>SUM(O11:O12)</f>
        <v/>
      </c>
      <c r="P13" s="156">
        <f>SUM(P11:P12)</f>
        <v/>
      </c>
      <c r="Q13" s="156">
        <f>SUM(Q11:Q12)</f>
        <v/>
      </c>
    </row>
    <row r="14" ht="12.75" customHeight="1" s="131">
      <c r="A14" s="137" t="n"/>
      <c r="B14" s="137" t="n"/>
      <c r="C14" s="137" t="n"/>
      <c r="D14" s="145" t="n"/>
      <c r="E14" s="156" t="n"/>
      <c r="F14" s="156" t="n"/>
      <c r="G14" s="156" t="n"/>
      <c r="H14" s="156" t="n"/>
      <c r="I14" s="156" t="n"/>
      <c r="J14" s="156" t="n"/>
      <c r="K14" s="156" t="n"/>
      <c r="L14" s="156" t="n"/>
      <c r="M14" s="156" t="n"/>
      <c r="N14" s="156" t="n"/>
      <c r="O14" s="156" t="n"/>
      <c r="P14" s="156" t="n"/>
      <c r="Q14" s="156" t="n"/>
    </row>
    <row r="15" ht="12.75" customHeight="1" s="131">
      <c r="A15" s="137" t="inlineStr">
        <is>
          <t>Cash Outflows</t>
        </is>
      </c>
      <c r="B15" s="137" t="n"/>
      <c r="C15" s="137" t="n"/>
      <c r="D15" s="145" t="n"/>
      <c r="E15" s="156" t="n"/>
      <c r="F15" s="156" t="n"/>
      <c r="G15" s="156" t="n"/>
      <c r="H15" s="156" t="n"/>
      <c r="I15" s="156" t="n"/>
      <c r="J15" s="156" t="n"/>
      <c r="K15" s="156" t="n"/>
      <c r="L15" s="156" t="n"/>
      <c r="M15" s="156" t="n"/>
      <c r="N15" s="156" t="n"/>
      <c r="O15" s="156" t="n"/>
      <c r="P15" s="156" t="n"/>
      <c r="Q15" s="156" t="n"/>
    </row>
    <row r="16" ht="12.75" customHeight="1" s="131">
      <c r="A16" s="137" t="n"/>
      <c r="B16" s="137" t="inlineStr">
        <is>
          <t>Investing Activities</t>
        </is>
      </c>
      <c r="C16" s="137" t="n"/>
      <c r="D16" s="145" t="n"/>
      <c r="E16" s="156" t="n"/>
      <c r="F16" s="156" t="n"/>
      <c r="G16" s="156" t="n"/>
      <c r="H16" s="156" t="n"/>
      <c r="I16" s="156" t="n"/>
      <c r="J16" s="156" t="n"/>
      <c r="K16" s="156" t="n"/>
      <c r="L16" s="156" t="n"/>
      <c r="M16" s="156" t="n"/>
      <c r="N16" s="156" t="n"/>
      <c r="O16" s="156" t="n"/>
      <c r="P16" s="156" t="n"/>
      <c r="Q16" s="156" t="n"/>
    </row>
    <row r="17" ht="12.75" customHeight="1" s="131">
      <c r="A17" s="137" t="n"/>
      <c r="B17" s="137" t="n"/>
      <c r="C17" s="137" t="inlineStr">
        <is>
          <t>New Capital Purchases</t>
        </is>
      </c>
      <c r="D17" s="145" t="n"/>
      <c r="E17" s="200" t="n">
        <v>0</v>
      </c>
      <c r="F17" s="200" t="n">
        <v>0</v>
      </c>
      <c r="G17" s="200" t="n">
        <v>0</v>
      </c>
      <c r="H17" s="200" t="n">
        <v>0</v>
      </c>
      <c r="I17" s="200" t="n">
        <v>0</v>
      </c>
      <c r="J17" s="200" t="n">
        <v>0</v>
      </c>
      <c r="K17" s="200" t="n">
        <v>0</v>
      </c>
      <c r="L17" s="200" t="n">
        <v>0</v>
      </c>
      <c r="M17" s="200" t="n">
        <v>0</v>
      </c>
      <c r="N17" s="200" t="n">
        <v>0</v>
      </c>
      <c r="O17" s="200" t="n">
        <v>0</v>
      </c>
      <c r="P17" s="200" t="n">
        <v>0</v>
      </c>
      <c r="Q17" s="156">
        <f>SUM(E17:P17)</f>
        <v/>
      </c>
    </row>
    <row r="18" ht="12.75" customHeight="1" s="131">
      <c r="A18" s="137" t="n"/>
      <c r="B18" s="137" t="n"/>
      <c r="C18" s="137" t="inlineStr">
        <is>
          <t>Inventory Purchases</t>
        </is>
      </c>
      <c r="D18" s="145" t="n"/>
      <c r="E18" s="200" t="n">
        <v>0</v>
      </c>
      <c r="F18" s="200" t="n">
        <v>0</v>
      </c>
      <c r="G18" s="200" t="n">
        <v>0</v>
      </c>
      <c r="H18" s="200" t="n">
        <v>0</v>
      </c>
      <c r="I18" s="200" t="n">
        <v>0</v>
      </c>
      <c r="J18" s="200" t="n">
        <v>0</v>
      </c>
      <c r="K18" s="200" t="n">
        <v>0</v>
      </c>
      <c r="L18" s="200" t="n">
        <v>0</v>
      </c>
      <c r="M18" s="200" t="n">
        <v>0</v>
      </c>
      <c r="N18" s="200" t="n">
        <v>0</v>
      </c>
      <c r="O18" s="200" t="n">
        <v>0</v>
      </c>
      <c r="P18" s="200" t="n">
        <v>0</v>
      </c>
      <c r="Q18" s="156">
        <f>SUM(E18:P18)</f>
        <v/>
      </c>
    </row>
    <row r="19" ht="12.75" customHeight="1" s="131">
      <c r="A19" s="137" t="n"/>
      <c r="B19" s="137" t="n"/>
      <c r="C19" s="137" t="inlineStr">
        <is>
          <t>Cost of Sales</t>
        </is>
      </c>
      <c r="D19" s="145" t="n"/>
      <c r="E19" s="156">
        <f>'8. Income Statement'!E20*'6. Cash Receipts-Disbursements'!G15</f>
        <v/>
      </c>
      <c r="F19" s="156">
        <f>('8. Income Statement'!F20*'6. Cash Receipts-Disbursements'!G15)+('8. Income Statement'!E20*'6. Cash Receipts-Disbursements'!G16)</f>
        <v/>
      </c>
      <c r="G19" s="156">
        <f>('8. Income Statement'!G20*'6. Cash Receipts-Disbursements'!$G$15)+('8. Income Statement'!F20*'6. Cash Receipts-Disbursements'!$G$16)+('8. Income Statement'!E20*'6. Cash Receipts-Disbursements'!$G$17)</f>
        <v/>
      </c>
      <c r="H19" s="156">
        <f>('8. Income Statement'!H20*'6. Cash Receipts-Disbursements'!$G$15)+('8. Income Statement'!G20*'6. Cash Receipts-Disbursements'!$G$16)+('8. Income Statement'!F20*'6. Cash Receipts-Disbursements'!$G$17)</f>
        <v/>
      </c>
      <c r="I19" s="156">
        <f>('8. Income Statement'!I20*'6. Cash Receipts-Disbursements'!$G$15)+('8. Income Statement'!H20*'6. Cash Receipts-Disbursements'!$G$16)+('8. Income Statement'!G20*'6. Cash Receipts-Disbursements'!$G$17)</f>
        <v/>
      </c>
      <c r="J19" s="156">
        <f>('8. Income Statement'!J20*'6. Cash Receipts-Disbursements'!$G$15)+('8. Income Statement'!I20*'6. Cash Receipts-Disbursements'!$G$16)+('8. Income Statement'!H20*'6. Cash Receipts-Disbursements'!$G$17)</f>
        <v/>
      </c>
      <c r="K19" s="156">
        <f>('8. Income Statement'!K20*'6. Cash Receipts-Disbursements'!$G$15)+('8. Income Statement'!J20*'6. Cash Receipts-Disbursements'!$G$16)+('8. Income Statement'!I20*'6. Cash Receipts-Disbursements'!$G$17)</f>
        <v/>
      </c>
      <c r="L19" s="156">
        <f>('8. Income Statement'!L20*'6. Cash Receipts-Disbursements'!$G$15)+('8. Income Statement'!K20*'6. Cash Receipts-Disbursements'!$G$16)+('8. Income Statement'!J20*'6. Cash Receipts-Disbursements'!$G$17)</f>
        <v/>
      </c>
      <c r="M19" s="156">
        <f>('8. Income Statement'!M20*'6. Cash Receipts-Disbursements'!$G$15)+('8. Income Statement'!L20*'6. Cash Receipts-Disbursements'!$G$16)+('8. Income Statement'!K20*'6. Cash Receipts-Disbursements'!$G$17)</f>
        <v/>
      </c>
      <c r="N19" s="156">
        <f>('8. Income Statement'!N20*'6. Cash Receipts-Disbursements'!$G$15)+('8. Income Statement'!M20*'6. Cash Receipts-Disbursements'!$G$16)+('8. Income Statement'!L20*'6. Cash Receipts-Disbursements'!$G$17)</f>
        <v/>
      </c>
      <c r="O19" s="156">
        <f>('8. Income Statement'!O20*'6. Cash Receipts-Disbursements'!$G$15)+('8. Income Statement'!N20*'6. Cash Receipts-Disbursements'!$G$16)+('8. Income Statement'!M20*'6. Cash Receipts-Disbursements'!$G$17)</f>
        <v/>
      </c>
      <c r="P19" s="156">
        <f>('8. Income Statement'!P20*'6. Cash Receipts-Disbursements'!$G$15)+('8. Income Statement'!O20*'6. Cash Receipts-Disbursements'!$G$16)+('8. Income Statement'!N20*'6. Cash Receipts-Disbursements'!$G$17)</f>
        <v/>
      </c>
      <c r="Q19" s="156">
        <f>SUM(E19:P19)</f>
        <v/>
      </c>
    </row>
    <row r="20" ht="12.75" customHeight="1" s="131">
      <c r="A20" s="137" t="n"/>
      <c r="B20" s="137" t="inlineStr">
        <is>
          <t>Operating Activities</t>
        </is>
      </c>
      <c r="C20" s="137" t="n"/>
      <c r="D20" s="145" t="n"/>
      <c r="E20" s="156" t="n"/>
      <c r="F20" s="156" t="n"/>
      <c r="G20" s="156" t="n"/>
      <c r="H20" s="156" t="n"/>
      <c r="I20" s="156" t="n"/>
      <c r="J20" s="156" t="n"/>
      <c r="K20" s="156" t="n"/>
      <c r="L20" s="156" t="n"/>
      <c r="M20" s="156" t="n"/>
      <c r="N20" s="156" t="n"/>
      <c r="O20" s="156" t="n"/>
      <c r="P20" s="156" t="n"/>
      <c r="Q20" s="156" t="n"/>
    </row>
    <row r="21" ht="12.75" customHeight="1" s="131">
      <c r="A21" s="137" t="n"/>
      <c r="B21" s="137" t="n"/>
      <c r="C21" s="137">
        <f>'8. Income Statement'!A24</f>
        <v/>
      </c>
      <c r="D21" s="145" t="n"/>
      <c r="E21" s="156">
        <f>'8. Income Statement'!E31</f>
        <v/>
      </c>
      <c r="F21" s="156">
        <f>'8. Income Statement'!F31</f>
        <v/>
      </c>
      <c r="G21" s="156">
        <f>'8. Income Statement'!G31</f>
        <v/>
      </c>
      <c r="H21" s="156">
        <f>'8. Income Statement'!H31</f>
        <v/>
      </c>
      <c r="I21" s="156">
        <f>'8. Income Statement'!I31</f>
        <v/>
      </c>
      <c r="J21" s="156">
        <f>'8. Income Statement'!J31</f>
        <v/>
      </c>
      <c r="K21" s="156">
        <f>'8. Income Statement'!K31</f>
        <v/>
      </c>
      <c r="L21" s="156">
        <f>'8. Income Statement'!L31</f>
        <v/>
      </c>
      <c r="M21" s="156">
        <f>'8. Income Statement'!M31</f>
        <v/>
      </c>
      <c r="N21" s="156">
        <f>'8. Income Statement'!N31</f>
        <v/>
      </c>
      <c r="O21" s="156">
        <f>'8. Income Statement'!O31</f>
        <v/>
      </c>
      <c r="P21" s="156">
        <f>'8. Income Statement'!P31</f>
        <v/>
      </c>
      <c r="Q21" s="156">
        <f>SUM(E21:P21)</f>
        <v/>
      </c>
    </row>
    <row r="22" ht="12.75" customHeight="1" s="131">
      <c r="A22" s="137" t="n"/>
      <c r="B22" s="137" t="n"/>
      <c r="C22" s="137">
        <f>'8. Income Statement'!A33</f>
        <v/>
      </c>
      <c r="D22" s="145" t="n"/>
      <c r="E22" s="156">
        <f>'8. Income Statement'!E54</f>
        <v/>
      </c>
      <c r="F22" s="156">
        <f>'8. Income Statement'!F54</f>
        <v/>
      </c>
      <c r="G22" s="156">
        <f>'8. Income Statement'!G54</f>
        <v/>
      </c>
      <c r="H22" s="156">
        <f>'8. Income Statement'!H54</f>
        <v/>
      </c>
      <c r="I22" s="156">
        <f>'8. Income Statement'!I54</f>
        <v/>
      </c>
      <c r="J22" s="156">
        <f>'8. Income Statement'!J54</f>
        <v/>
      </c>
      <c r="K22" s="156">
        <f>'8. Income Statement'!K54</f>
        <v/>
      </c>
      <c r="L22" s="156">
        <f>'8. Income Statement'!L54</f>
        <v/>
      </c>
      <c r="M22" s="156">
        <f>'8. Income Statement'!M54</f>
        <v/>
      </c>
      <c r="N22" s="156">
        <f>'8. Income Statement'!N54</f>
        <v/>
      </c>
      <c r="O22" s="156">
        <f>'8. Income Statement'!O54</f>
        <v/>
      </c>
      <c r="P22" s="156">
        <f>'8. Income Statement'!P54</f>
        <v/>
      </c>
      <c r="Q22" s="156">
        <f>SUM(E22:P22)</f>
        <v/>
      </c>
    </row>
    <row r="23" ht="12.75" customHeight="1" s="131">
      <c r="A23" s="137" t="n"/>
      <c r="B23" s="137" t="n"/>
      <c r="C23" s="137" t="inlineStr">
        <is>
          <t>Taxes</t>
        </is>
      </c>
      <c r="D23" s="145" t="n"/>
      <c r="E23" s="156" t="n">
        <v>0</v>
      </c>
      <c r="F23" s="156" t="n">
        <v>0</v>
      </c>
      <c r="G23" s="156">
        <f>SUM('8. Income Statement'!E63:G63)</f>
        <v/>
      </c>
      <c r="H23" s="156" t="n">
        <v>0</v>
      </c>
      <c r="I23" s="156" t="n">
        <v>0</v>
      </c>
      <c r="J23" s="156">
        <f>SUM('8. Income Statement'!H63:J63)</f>
        <v/>
      </c>
      <c r="K23" s="156" t="n">
        <v>0</v>
      </c>
      <c r="L23" s="156" t="n">
        <v>0</v>
      </c>
      <c r="M23" s="156">
        <f>SUM('8. Income Statement'!K63:M63)</f>
        <v/>
      </c>
      <c r="N23" s="156" t="n">
        <v>0</v>
      </c>
      <c r="O23" s="156" t="n">
        <v>0</v>
      </c>
      <c r="P23" s="156">
        <f>SUM('8. Income Statement'!N63:P63)</f>
        <v/>
      </c>
      <c r="Q23" s="156">
        <f>SUM(E23:P23)</f>
        <v/>
      </c>
    </row>
    <row r="24" ht="12.75" customHeight="1" s="131">
      <c r="A24" s="137" t="n"/>
      <c r="B24" s="137" t="inlineStr">
        <is>
          <t>Financing Activities</t>
        </is>
      </c>
      <c r="C24" s="137" t="n"/>
      <c r="D24" s="145" t="n"/>
      <c r="E24" s="156" t="n"/>
      <c r="F24" s="156" t="n"/>
      <c r="G24" s="156" t="n"/>
      <c r="H24" s="156" t="n"/>
      <c r="I24" s="156" t="n"/>
      <c r="J24" s="156" t="n"/>
      <c r="K24" s="156" t="n"/>
      <c r="L24" s="156" t="n"/>
      <c r="M24" s="156" t="n"/>
      <c r="N24" s="156" t="n"/>
      <c r="O24" s="156" t="n"/>
      <c r="P24" s="156" t="n"/>
      <c r="Q24" s="156">
        <f>SUM(E24:P24)</f>
        <v/>
      </c>
    </row>
    <row r="25" ht="12.75" customHeight="1" s="131">
      <c r="A25" s="137" t="n"/>
      <c r="B25" s="137" t="n"/>
      <c r="C25" s="137" t="inlineStr">
        <is>
          <t>Loan Payments</t>
        </is>
      </c>
      <c r="D25" s="145" t="n"/>
      <c r="E25" s="156">
        <f>'1. Required Start-Up Funds'!J42</f>
        <v/>
      </c>
      <c r="F25" s="156">
        <f>E25</f>
        <v/>
      </c>
      <c r="G25" s="156">
        <f>F25</f>
        <v/>
      </c>
      <c r="H25" s="156">
        <f>G25</f>
        <v/>
      </c>
      <c r="I25" s="156">
        <f>H25</f>
        <v/>
      </c>
      <c r="J25" s="156">
        <f>I25</f>
        <v/>
      </c>
      <c r="K25" s="156">
        <f>J25</f>
        <v/>
      </c>
      <c r="L25" s="156">
        <f>K25</f>
        <v/>
      </c>
      <c r="M25" s="156">
        <f>L25</f>
        <v/>
      </c>
      <c r="N25" s="156">
        <f>M25</f>
        <v/>
      </c>
      <c r="O25" s="156">
        <f>N25</f>
        <v/>
      </c>
      <c r="P25" s="156">
        <f>O25</f>
        <v/>
      </c>
      <c r="Q25" s="156">
        <f>SUM(E25:P25)</f>
        <v/>
      </c>
    </row>
    <row r="26" ht="12.75" customHeight="1" s="131">
      <c r="A26" s="137" t="n"/>
      <c r="B26" s="137" t="n"/>
      <c r="C26" s="137" t="inlineStr">
        <is>
          <t>Line of Credit Interest</t>
        </is>
      </c>
      <c r="D26" s="145" t="n"/>
      <c r="E26" s="156" t="n">
        <v>0</v>
      </c>
      <c r="F26" s="156">
        <f>('6. Cash Receipts-Disbursements'!$G$22/12)*E40</f>
        <v/>
      </c>
      <c r="G26" s="156">
        <f>('6. Cash Receipts-Disbursements'!$G$22/12)*F40</f>
        <v/>
      </c>
      <c r="H26" s="156">
        <f>('6. Cash Receipts-Disbursements'!$G$22/12)*G40</f>
        <v/>
      </c>
      <c r="I26" s="156">
        <f>('6. Cash Receipts-Disbursements'!$G$22/12)*H40</f>
        <v/>
      </c>
      <c r="J26" s="156">
        <f>('6. Cash Receipts-Disbursements'!$G$22/12)*I40</f>
        <v/>
      </c>
      <c r="K26" s="156">
        <f>('6. Cash Receipts-Disbursements'!$G$22/12)*J40</f>
        <v/>
      </c>
      <c r="L26" s="156">
        <f>('6. Cash Receipts-Disbursements'!$G$22/12)*K40</f>
        <v/>
      </c>
      <c r="M26" s="156">
        <f>('6. Cash Receipts-Disbursements'!$G$22/12)*L40</f>
        <v/>
      </c>
      <c r="N26" s="156">
        <f>('6. Cash Receipts-Disbursements'!$G$22/12)*M40</f>
        <v/>
      </c>
      <c r="O26" s="156">
        <f>('6. Cash Receipts-Disbursements'!$G$22/12)*N40</f>
        <v/>
      </c>
      <c r="P26" s="156">
        <f>('6. Cash Receipts-Disbursements'!$G$22/12)*O40</f>
        <v/>
      </c>
      <c r="Q26" s="156">
        <f>SUM(E26:P26)</f>
        <v/>
      </c>
    </row>
    <row r="27" ht="12.75" customHeight="1" s="131">
      <c r="A27" s="137" t="n"/>
      <c r="B27" s="137" t="n"/>
      <c r="C27" s="137" t="inlineStr">
        <is>
          <t>Line of Credit Repayments</t>
        </is>
      </c>
      <c r="D27" s="145" t="n"/>
      <c r="E27" s="200" t="n">
        <v>0</v>
      </c>
      <c r="F27" s="200" t="n">
        <v>0</v>
      </c>
      <c r="G27" s="200" t="n">
        <v>0</v>
      </c>
      <c r="H27" s="200" t="n">
        <v>0</v>
      </c>
      <c r="I27" s="200" t="n">
        <v>0</v>
      </c>
      <c r="J27" s="200" t="n">
        <v>0</v>
      </c>
      <c r="K27" s="200" t="n">
        <v>0</v>
      </c>
      <c r="L27" s="200" t="n">
        <v>0</v>
      </c>
      <c r="M27" s="200" t="n">
        <v>0</v>
      </c>
      <c r="N27" s="200" t="n">
        <v>0</v>
      </c>
      <c r="O27" s="200" t="n">
        <v>0</v>
      </c>
      <c r="P27" s="200" t="n">
        <v>0</v>
      </c>
      <c r="Q27" s="156">
        <f>SUM(E27:P27)</f>
        <v/>
      </c>
    </row>
    <row r="28" ht="12.75" customHeight="1" s="131">
      <c r="A28" s="137" t="n"/>
      <c r="B28" s="137" t="n"/>
      <c r="C28" s="137" t="inlineStr">
        <is>
          <t>Dividends Paid</t>
        </is>
      </c>
      <c r="D28" s="145" t="n"/>
      <c r="E28" s="222" t="n">
        <v>0</v>
      </c>
      <c r="F28" s="222" t="n">
        <v>0</v>
      </c>
      <c r="G28" s="222" t="n">
        <v>0</v>
      </c>
      <c r="H28" s="222" t="n">
        <v>0</v>
      </c>
      <c r="I28" s="222" t="n">
        <v>0</v>
      </c>
      <c r="J28" s="222" t="n">
        <v>0</v>
      </c>
      <c r="K28" s="222" t="n">
        <v>0</v>
      </c>
      <c r="L28" s="222" t="n">
        <v>0</v>
      </c>
      <c r="M28" s="222" t="n">
        <v>0</v>
      </c>
      <c r="N28" s="222" t="n">
        <v>0</v>
      </c>
      <c r="O28" s="222" t="n">
        <v>0</v>
      </c>
      <c r="P28" s="222" t="n">
        <v>0</v>
      </c>
      <c r="Q28" s="162">
        <f>SUM(E28:P28)</f>
        <v/>
      </c>
    </row>
    <row r="29" ht="12.75" customHeight="1" s="131">
      <c r="A29" s="137" t="inlineStr">
        <is>
          <t>Total Cash Outflows</t>
        </is>
      </c>
      <c r="B29" s="137" t="n"/>
      <c r="C29" s="137" t="n"/>
      <c r="D29" s="145" t="n"/>
      <c r="E29" s="156">
        <f>SUM(E17:E28)</f>
        <v/>
      </c>
      <c r="F29" s="156">
        <f>SUM(F17:F28)</f>
        <v/>
      </c>
      <c r="G29" s="156">
        <f>SUM(G17:G28)</f>
        <v/>
      </c>
      <c r="H29" s="156">
        <f>SUM(H17:H28)</f>
        <v/>
      </c>
      <c r="I29" s="156">
        <f>SUM(I17:I28)</f>
        <v/>
      </c>
      <c r="J29" s="156">
        <f>SUM(J17:J28)</f>
        <v/>
      </c>
      <c r="K29" s="156">
        <f>SUM(K17:K28)</f>
        <v/>
      </c>
      <c r="L29" s="156">
        <f>SUM(L17:L28)</f>
        <v/>
      </c>
      <c r="M29" s="156">
        <f>SUM(M17:M28)</f>
        <v/>
      </c>
      <c r="N29" s="156">
        <f>SUM(N17:N28)</f>
        <v/>
      </c>
      <c r="O29" s="156">
        <f>SUM(O17:O28)</f>
        <v/>
      </c>
      <c r="P29" s="156">
        <f>SUM(P17:P28)</f>
        <v/>
      </c>
      <c r="Q29" s="156">
        <f>SUM(Q17:Q28)</f>
        <v/>
      </c>
    </row>
    <row r="30" ht="12.75" customHeight="1" s="131">
      <c r="A30" s="137" t="n"/>
      <c r="B30" s="137" t="n"/>
      <c r="C30" s="137" t="n"/>
      <c r="D30" s="145" t="n"/>
      <c r="E30" s="156" t="n"/>
      <c r="F30" s="156" t="n"/>
      <c r="G30" s="156" t="n"/>
      <c r="H30" s="156" t="n"/>
      <c r="I30" s="156" t="n"/>
      <c r="J30" s="156" t="n"/>
      <c r="K30" s="156" t="n"/>
      <c r="L30" s="156" t="n"/>
      <c r="M30" s="156" t="n"/>
      <c r="N30" s="156" t="n"/>
      <c r="O30" s="156" t="n"/>
      <c r="P30" s="156" t="n"/>
      <c r="Q30" s="156" t="n"/>
    </row>
    <row r="31" ht="12.75" customHeight="1" s="131">
      <c r="A31" s="137" t="inlineStr">
        <is>
          <t>Cash Flow</t>
        </is>
      </c>
      <c r="B31" s="137" t="n"/>
      <c r="C31" s="137" t="n"/>
      <c r="D31" s="145" t="n"/>
      <c r="E31" s="156">
        <f>E13-E29</f>
        <v/>
      </c>
      <c r="F31" s="156">
        <f>F13-F29</f>
        <v/>
      </c>
      <c r="G31" s="156">
        <f>G13-G29</f>
        <v/>
      </c>
      <c r="H31" s="156">
        <f>H13-H29</f>
        <v/>
      </c>
      <c r="I31" s="156">
        <f>I13-I29</f>
        <v/>
      </c>
      <c r="J31" s="156">
        <f>J13-J29</f>
        <v/>
      </c>
      <c r="K31" s="156">
        <f>K13-K29</f>
        <v/>
      </c>
      <c r="L31" s="156">
        <f>L13-L29</f>
        <v/>
      </c>
      <c r="M31" s="156">
        <f>M13-M29</f>
        <v/>
      </c>
      <c r="N31" s="156">
        <f>N13-N29</f>
        <v/>
      </c>
      <c r="O31" s="156">
        <f>O13-O29</f>
        <v/>
      </c>
      <c r="P31" s="156">
        <f>P13-P29</f>
        <v/>
      </c>
      <c r="Q31" s="156">
        <f>Q13-Q29</f>
        <v/>
      </c>
    </row>
    <row r="32" ht="12.75" customHeight="1" s="131">
      <c r="A32" s="137" t="n"/>
      <c r="B32" s="137" t="n"/>
      <c r="C32" s="137" t="n"/>
      <c r="D32" s="145" t="n"/>
      <c r="E32" s="156" t="n"/>
      <c r="F32" s="156" t="n"/>
      <c r="G32" s="156" t="n"/>
      <c r="H32" s="156" t="n"/>
      <c r="I32" s="156" t="n"/>
      <c r="J32" s="156" t="n"/>
      <c r="K32" s="156" t="n"/>
      <c r="L32" s="156" t="n"/>
      <c r="M32" s="156" t="n"/>
      <c r="N32" s="156" t="n"/>
      <c r="O32" s="156" t="n"/>
      <c r="P32" s="156" t="n"/>
      <c r="Q32" s="156" t="n"/>
    </row>
    <row r="33" ht="12.75" customHeight="1" s="131">
      <c r="A33" s="137" t="inlineStr">
        <is>
          <t>Operating Cash Balance</t>
        </is>
      </c>
      <c r="B33" s="137" t="n"/>
      <c r="C33" s="137" t="n"/>
      <c r="D33" s="145" t="n"/>
      <c r="E33" s="162">
        <f>E8+E31</f>
        <v/>
      </c>
      <c r="F33" s="162">
        <f>F8+F31</f>
        <v/>
      </c>
      <c r="G33" s="162">
        <f>G8+G31</f>
        <v/>
      </c>
      <c r="H33" s="162">
        <f>H8+H31</f>
        <v/>
      </c>
      <c r="I33" s="162">
        <f>I8+I31</f>
        <v/>
      </c>
      <c r="J33" s="162">
        <f>J8+J31</f>
        <v/>
      </c>
      <c r="K33" s="162">
        <f>K8+K31</f>
        <v/>
      </c>
      <c r="L33" s="162">
        <f>L8+L31</f>
        <v/>
      </c>
      <c r="M33" s="162">
        <f>M8+M31</f>
        <v/>
      </c>
      <c r="N33" s="162">
        <f>N8+N31</f>
        <v/>
      </c>
      <c r="O33" s="162">
        <f>O8+O31</f>
        <v/>
      </c>
      <c r="P33" s="162">
        <f>P8+P31</f>
        <v/>
      </c>
      <c r="Q33" s="162" t="n"/>
    </row>
    <row r="34" ht="12.75" customHeight="1" s="131">
      <c r="A34" s="137" t="n"/>
      <c r="B34" s="137" t="n"/>
      <c r="C34" s="137" t="n"/>
      <c r="D34" s="145" t="n"/>
      <c r="E34" s="156" t="n"/>
      <c r="F34" s="156" t="n"/>
      <c r="G34" s="156" t="n"/>
      <c r="H34" s="156" t="n"/>
      <c r="I34" s="156" t="n"/>
      <c r="J34" s="156" t="n"/>
      <c r="K34" s="156" t="n"/>
      <c r="L34" s="156" t="n"/>
      <c r="M34" s="156" t="n"/>
      <c r="N34" s="156" t="n"/>
      <c r="O34" s="156" t="n"/>
      <c r="P34" s="156" t="n"/>
      <c r="Q34" s="156" t="n"/>
    </row>
    <row r="35" ht="12.75" customHeight="1" s="131">
      <c r="A35" s="137" t="inlineStr">
        <is>
          <t>Line of Credit Drawdowns</t>
        </is>
      </c>
      <c r="B35" s="137" t="n"/>
      <c r="C35" s="137" t="n"/>
      <c r="D35" s="145" t="n"/>
      <c r="E35" s="156">
        <f>IF((E33-'6. Cash Receipts-Disbursements'!$G$21)&lt;0,'6. Cash Receipts-Disbursements'!$G$21-'9. Cash Flow Statement'!E33,0)</f>
        <v/>
      </c>
      <c r="F35" s="156">
        <f>IF((F33-'6. Cash Receipts-Disbursements'!$G$21)&lt;0,'6. Cash Receipts-Disbursements'!$G$21-'9. Cash Flow Statement'!F33,0)</f>
        <v/>
      </c>
      <c r="G35" s="156">
        <f>IF((G33-'6. Cash Receipts-Disbursements'!$G$21)&lt;0,'6. Cash Receipts-Disbursements'!$G$21-'9. Cash Flow Statement'!G33,0)</f>
        <v/>
      </c>
      <c r="H35" s="156">
        <f>IF((H33-'6. Cash Receipts-Disbursements'!$G$21)&lt;0,'6. Cash Receipts-Disbursements'!$G$21-'9. Cash Flow Statement'!H33,0)</f>
        <v/>
      </c>
      <c r="I35" s="156">
        <f>IF((I33-'6. Cash Receipts-Disbursements'!$G$21)&lt;0,'6. Cash Receipts-Disbursements'!$G$21-'9. Cash Flow Statement'!I33,0)</f>
        <v/>
      </c>
      <c r="J35" s="156">
        <f>IF((J33-'6. Cash Receipts-Disbursements'!$G$21)&lt;0,'6. Cash Receipts-Disbursements'!$G$21-'9. Cash Flow Statement'!J33,0)</f>
        <v/>
      </c>
      <c r="K35" s="156">
        <f>IF((K33-'6. Cash Receipts-Disbursements'!$G$21)&lt;0,'6. Cash Receipts-Disbursements'!$G$21-'9. Cash Flow Statement'!K33,0)</f>
        <v/>
      </c>
      <c r="L35" s="156">
        <f>IF((L33-'6. Cash Receipts-Disbursements'!$G$21)&lt;0,'6. Cash Receipts-Disbursements'!$G$21-'9. Cash Flow Statement'!L33,0)</f>
        <v/>
      </c>
      <c r="M35" s="156">
        <f>IF((M33-'6. Cash Receipts-Disbursements'!$G$21)&lt;0,'6. Cash Receipts-Disbursements'!$G$21-'9. Cash Flow Statement'!M33,0)</f>
        <v/>
      </c>
      <c r="N35" s="156">
        <f>IF((N33-'6. Cash Receipts-Disbursements'!$G$21)&lt;0,'6. Cash Receipts-Disbursements'!$G$21-'9. Cash Flow Statement'!N33,0)</f>
        <v/>
      </c>
      <c r="O35" s="156">
        <f>IF((O33-'6. Cash Receipts-Disbursements'!$G$21)&lt;0,'6. Cash Receipts-Disbursements'!$G$21-'9. Cash Flow Statement'!O33,0)</f>
        <v/>
      </c>
      <c r="P35" s="156">
        <f>IF((P33-'6. Cash Receipts-Disbursements'!$G$21)&lt;0,'6. Cash Receipts-Disbursements'!$G$21-'9. Cash Flow Statement'!P33,0)</f>
        <v/>
      </c>
      <c r="Q35" s="156">
        <f>SUM(E35:P35)</f>
        <v/>
      </c>
    </row>
    <row r="36" ht="12.75" customHeight="1" s="131">
      <c r="A36" s="137" t="n"/>
      <c r="B36" s="137" t="n"/>
      <c r="C36" s="137" t="n"/>
      <c r="D36" s="145" t="n"/>
      <c r="E36" s="162" t="n"/>
      <c r="F36" s="162" t="n"/>
      <c r="G36" s="162" t="n"/>
      <c r="H36" s="162" t="n"/>
      <c r="I36" s="162" t="n"/>
      <c r="J36" s="162" t="n"/>
      <c r="K36" s="162" t="n"/>
      <c r="L36" s="162" t="n"/>
      <c r="M36" s="162" t="n"/>
      <c r="N36" s="162" t="n"/>
      <c r="O36" s="162" t="n"/>
      <c r="P36" s="162" t="n"/>
      <c r="Q36" s="162" t="n"/>
    </row>
    <row r="37" ht="15.95" customHeight="1" s="131">
      <c r="A37" s="137" t="inlineStr">
        <is>
          <t>Ending Cash Balance</t>
        </is>
      </c>
      <c r="B37" s="137" t="n"/>
      <c r="C37" s="137" t="n"/>
      <c r="D37" s="145" t="n"/>
      <c r="E37" s="184">
        <f>E33+E35</f>
        <v/>
      </c>
      <c r="F37" s="184">
        <f>F33+F35</f>
        <v/>
      </c>
      <c r="G37" s="184">
        <f>G33+G35</f>
        <v/>
      </c>
      <c r="H37" s="184">
        <f>H33+H35</f>
        <v/>
      </c>
      <c r="I37" s="184">
        <f>I33+I35</f>
        <v/>
      </c>
      <c r="J37" s="184">
        <f>J33+J35</f>
        <v/>
      </c>
      <c r="K37" s="184">
        <f>K33+K35</f>
        <v/>
      </c>
      <c r="L37" s="184">
        <f>L33+L35</f>
        <v/>
      </c>
      <c r="M37" s="184">
        <f>M33+M35</f>
        <v/>
      </c>
      <c r="N37" s="184">
        <f>N33+N35</f>
        <v/>
      </c>
      <c r="O37" s="184">
        <f>O33+O35</f>
        <v/>
      </c>
      <c r="P37" s="184">
        <f>P33+P35</f>
        <v/>
      </c>
      <c r="Q37" s="184" t="n"/>
    </row>
    <row r="38" ht="12.75" customHeight="1" s="131">
      <c r="A38" s="137" t="n"/>
      <c r="B38" s="137" t="n"/>
      <c r="C38" s="137" t="n"/>
      <c r="D38" s="145" t="n"/>
      <c r="E38" s="156" t="n"/>
      <c r="F38" s="156" t="n"/>
      <c r="G38" s="156" t="n"/>
      <c r="H38" s="156" t="n"/>
      <c r="I38" s="156" t="n"/>
      <c r="J38" s="156" t="n"/>
      <c r="K38" s="156" t="n"/>
      <c r="L38" s="156" t="n"/>
      <c r="M38" s="156" t="n"/>
      <c r="N38" s="156" t="n"/>
      <c r="O38" s="156" t="n"/>
      <c r="P38" s="156" t="n"/>
      <c r="Q38" s="156" t="n"/>
    </row>
    <row r="39" ht="12.75" customHeight="1" s="131">
      <c r="A39" s="137" t="n"/>
      <c r="B39" s="137" t="n"/>
      <c r="C39" s="137" t="n"/>
      <c r="D39" s="145" t="n"/>
      <c r="E39" s="156" t="n"/>
      <c r="F39" s="156" t="n"/>
      <c r="G39" s="156" t="n"/>
      <c r="H39" s="156" t="n"/>
      <c r="I39" s="156" t="n"/>
      <c r="J39" s="156" t="n"/>
      <c r="K39" s="156" t="n"/>
      <c r="L39" s="156" t="n"/>
      <c r="M39" s="156" t="n"/>
      <c r="N39" s="156" t="n"/>
      <c r="O39" s="156" t="n"/>
      <c r="P39" s="156" t="n"/>
      <c r="Q39" s="156" t="n"/>
    </row>
    <row r="40" ht="12.75" customHeight="1" s="131">
      <c r="A40" s="137" t="inlineStr">
        <is>
          <t>Line of Credit Balance</t>
        </is>
      </c>
      <c r="B40" s="137" t="n"/>
      <c r="C40" s="137" t="n"/>
      <c r="D40" s="145" t="n"/>
      <c r="E40" s="156">
        <f>E35</f>
        <v/>
      </c>
      <c r="F40" s="156">
        <f>E40+F35-F27</f>
        <v/>
      </c>
      <c r="G40" s="156">
        <f>F40+G35-G27</f>
        <v/>
      </c>
      <c r="H40" s="156">
        <f>G40+H35-H27</f>
        <v/>
      </c>
      <c r="I40" s="156">
        <f>H40+I35-I27</f>
        <v/>
      </c>
      <c r="J40" s="156">
        <f>I40+J35-J27</f>
        <v/>
      </c>
      <c r="K40" s="156">
        <f>J40+K35-K27</f>
        <v/>
      </c>
      <c r="L40" s="156">
        <f>K40+L35-L27</f>
        <v/>
      </c>
      <c r="M40" s="156">
        <f>L40+M35-M27</f>
        <v/>
      </c>
      <c r="N40" s="156">
        <f>M40+N35-N27</f>
        <v/>
      </c>
      <c r="O40" s="156">
        <f>N40+O35-O27</f>
        <v/>
      </c>
      <c r="P40" s="156">
        <f>O40+P35-P27</f>
        <v/>
      </c>
      <c r="Q40" s="156" t="n"/>
    </row>
    <row r="41" ht="12.75" customHeight="1" s="131">
      <c r="A41" s="137" t="n"/>
      <c r="B41" s="137" t="n"/>
      <c r="C41" s="137" t="n"/>
      <c r="D41" s="145" t="n"/>
      <c r="E41" s="145" t="n"/>
      <c r="F41" s="145" t="n"/>
      <c r="G41" s="145" t="n"/>
      <c r="H41" s="145" t="n"/>
      <c r="I41" s="145" t="n"/>
      <c r="J41" s="145" t="n"/>
      <c r="K41" s="145" t="n"/>
      <c r="L41" s="145" t="n"/>
      <c r="M41" s="145" t="n"/>
      <c r="N41" s="145" t="n"/>
      <c r="O41" s="145" t="n"/>
      <c r="P41" s="145" t="n"/>
      <c r="Q41" s="145" t="n"/>
    </row>
    <row r="42" ht="12.75" customHeight="1" s="131">
      <c r="A42" s="137" t="n"/>
      <c r="B42" s="137" t="n"/>
      <c r="C42" s="137" t="n"/>
      <c r="D42" s="145" t="n"/>
      <c r="E42" s="145" t="n"/>
      <c r="F42" s="145" t="n"/>
      <c r="G42" s="145" t="n"/>
      <c r="H42" s="145" t="n"/>
      <c r="I42" s="145" t="n"/>
      <c r="J42" s="145" t="n"/>
      <c r="K42" s="145" t="n"/>
      <c r="L42" s="145" t="n"/>
      <c r="M42" s="145" t="n"/>
      <c r="N42" s="145" t="n"/>
      <c r="O42" s="145" t="n"/>
      <c r="P42" s="145" t="n"/>
      <c r="Q42" s="145" t="n"/>
    </row>
    <row r="43" ht="12.75" customHeight="1" s="131">
      <c r="A43" s="137" t="n"/>
      <c r="B43" s="137" t="n"/>
      <c r="C43" s="137" t="n"/>
      <c r="D43" s="145" t="n"/>
      <c r="E43" s="145" t="n"/>
      <c r="F43" s="145" t="n"/>
      <c r="G43" s="145" t="n"/>
      <c r="H43" s="145" t="n"/>
      <c r="I43" s="145" t="n"/>
      <c r="J43" s="145" t="n"/>
      <c r="K43" s="145" t="n"/>
      <c r="L43" s="145" t="n"/>
      <c r="M43" s="145" t="n"/>
      <c r="N43" s="145" t="n"/>
      <c r="O43" s="145" t="n"/>
      <c r="P43" s="145" t="n"/>
      <c r="Q43" s="145" t="n"/>
    </row>
    <row r="44" ht="12.75" customHeight="1" s="131">
      <c r="A44" s="137" t="n"/>
      <c r="B44" s="137" t="n"/>
      <c r="C44" s="137" t="n"/>
      <c r="D44" s="145" t="n"/>
      <c r="E44" s="182" t="n"/>
      <c r="F44" s="145" t="n"/>
      <c r="G44" s="145" t="n"/>
      <c r="H44" s="145" t="n"/>
      <c r="I44" s="145" t="n"/>
      <c r="J44" s="145" t="n"/>
      <c r="K44" s="145" t="n"/>
      <c r="L44" s="145" t="n"/>
      <c r="M44" s="145" t="n"/>
      <c r="N44" s="145" t="n"/>
      <c r="O44" s="145" t="n"/>
      <c r="P44" s="145" t="n"/>
      <c r="Q44" s="145" t="n"/>
    </row>
    <row r="45" ht="12.75" customHeight="1" s="131">
      <c r="A45" s="137" t="n"/>
      <c r="B45" s="137" t="n"/>
      <c r="C45" s="137" t="n"/>
      <c r="D45" s="145" t="n"/>
      <c r="E45" s="145" t="n"/>
      <c r="F45" s="145" t="n"/>
      <c r="G45" s="145" t="n"/>
      <c r="H45" s="145" t="n"/>
      <c r="I45" s="145" t="n"/>
      <c r="J45" s="145" t="n"/>
      <c r="K45" s="145" t="n"/>
      <c r="L45" s="145" t="n"/>
      <c r="M45" s="145" t="n"/>
      <c r="N45" s="145" t="n"/>
      <c r="O45" s="145" t="n"/>
      <c r="P45" s="145" t="n"/>
      <c r="Q45" s="145" t="n"/>
    </row>
    <row r="46" ht="12.75" customHeight="1" s="131">
      <c r="A46" s="137" t="n"/>
      <c r="B46" s="137" t="n"/>
      <c r="C46" s="137" t="n"/>
      <c r="D46" s="145" t="n"/>
      <c r="E46" s="145" t="n"/>
      <c r="F46" s="145" t="n"/>
      <c r="G46" s="145" t="n"/>
      <c r="H46" s="145" t="n"/>
      <c r="I46" s="145" t="n"/>
      <c r="J46" s="145" t="n"/>
      <c r="K46" s="145" t="n"/>
      <c r="L46" s="145" t="n"/>
      <c r="M46" s="145" t="n"/>
      <c r="N46" s="145" t="n"/>
      <c r="O46" s="145" t="n"/>
      <c r="P46" s="145" t="n"/>
      <c r="Q46" s="145" t="n"/>
    </row>
    <row r="47" ht="12.75" customHeight="1" s="131">
      <c r="A47" s="137" t="n"/>
      <c r="B47" s="137" t="n"/>
      <c r="C47" s="137" t="n"/>
      <c r="D47" s="145" t="n"/>
      <c r="E47" s="145" t="n"/>
      <c r="F47" s="145" t="n"/>
      <c r="G47" s="145" t="n"/>
      <c r="H47" s="145" t="n"/>
      <c r="I47" s="145" t="n"/>
      <c r="J47" s="145" t="n"/>
      <c r="K47" s="145" t="n"/>
      <c r="L47" s="145" t="n"/>
      <c r="M47" s="145" t="n"/>
      <c r="N47" s="145" t="n"/>
      <c r="O47" s="145" t="n"/>
      <c r="P47" s="145" t="n"/>
      <c r="Q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c r="Q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c r="Q49" s="145" t="n"/>
    </row>
    <row r="50" ht="12.75" customHeight="1" s="131">
      <c r="A50" s="137" t="n"/>
      <c r="B50" s="137" t="n"/>
      <c r="C50" s="137" t="n"/>
      <c r="D50" s="145" t="n"/>
      <c r="E50" s="145" t="n"/>
      <c r="F50" s="145" t="n"/>
      <c r="G50" s="145" t="n"/>
      <c r="H50" s="145" t="n"/>
      <c r="I50" s="145" t="n"/>
      <c r="J50" s="145" t="n"/>
      <c r="K50" s="145" t="n"/>
      <c r="L50" s="145" t="n"/>
      <c r="M50" s="145" t="n"/>
      <c r="N50" s="145" t="n"/>
      <c r="O50" s="145" t="n"/>
      <c r="P50" s="145" t="n"/>
      <c r="Q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c r="Q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c r="Q52" s="145" t="n"/>
    </row>
    <row r="53" ht="12.75" customHeight="1" s="131"/>
    <row r="54" ht="12.75" customHeight="1" s="131">
      <c r="E54" s="130" t="n"/>
      <c r="F54" s="130" t="n"/>
      <c r="G54" s="130" t="n"/>
      <c r="H54" s="130" t="n"/>
      <c r="I54" s="130" t="n"/>
      <c r="J54" s="130" t="n"/>
      <c r="K54" s="130" t="n"/>
      <c r="L54" s="130" t="n"/>
      <c r="M54" s="130" t="n"/>
      <c r="N54" s="130" t="n"/>
      <c r="O54" s="130" t="n"/>
      <c r="P54" s="130" t="n"/>
      <c r="Q54" s="130" t="n"/>
    </row>
    <row r="55" ht="12.75" customHeight="1" s="131">
      <c r="E55" s="130" t="n"/>
      <c r="F55" s="130" t="n"/>
      <c r="G55" s="130" t="n"/>
      <c r="H55" s="130" t="n"/>
      <c r="I55" s="130" t="n"/>
      <c r="J55" s="130" t="n"/>
      <c r="K55" s="130" t="n"/>
      <c r="L55" s="130" t="n"/>
      <c r="M55" s="130" t="n"/>
      <c r="N55" s="130" t="n"/>
      <c r="O55" s="130" t="n"/>
      <c r="P55" s="130" t="n"/>
      <c r="Q55" s="130" t="n"/>
    </row>
    <row r="56" ht="12.75" customHeight="1" s="131">
      <c r="E56" s="130" t="n"/>
      <c r="F56" s="130" t="n"/>
      <c r="G56" s="130" t="n"/>
      <c r="H56" s="130" t="n"/>
      <c r="I56" s="130" t="n"/>
      <c r="J56" s="130" t="n"/>
      <c r="K56" s="130" t="n"/>
      <c r="L56" s="130" t="n"/>
      <c r="M56" s="130" t="n"/>
      <c r="N56" s="130" t="n"/>
      <c r="O56" s="130" t="n"/>
      <c r="P56" s="130" t="n"/>
      <c r="Q56" s="130" t="n"/>
    </row>
    <row r="57" ht="12.75" customHeight="1" s="131">
      <c r="D57" s="167" t="n"/>
      <c r="E57" s="130" t="n"/>
      <c r="F57" s="130" t="n"/>
      <c r="G57" s="130" t="n"/>
      <c r="H57" s="130" t="n"/>
      <c r="I57" s="130" t="n"/>
      <c r="J57" s="130" t="n"/>
      <c r="K57" s="130" t="n"/>
      <c r="L57" s="130" t="n"/>
      <c r="M57" s="130" t="n"/>
      <c r="N57" s="130" t="n"/>
      <c r="O57" s="130" t="n"/>
      <c r="P57" s="130" t="n"/>
      <c r="Q57" s="130" t="n"/>
    </row>
    <row r="58" ht="12.75" customHeight="1" s="131">
      <c r="D58" s="167" t="n"/>
      <c r="E58" s="130" t="n"/>
      <c r="F58" s="130" t="n"/>
      <c r="G58" s="130" t="n"/>
      <c r="H58" s="130" t="n"/>
      <c r="I58" s="130" t="n"/>
      <c r="J58" s="130" t="n"/>
      <c r="K58" s="130" t="n"/>
      <c r="L58" s="130" t="n"/>
      <c r="M58" s="130" t="n"/>
      <c r="N58" s="130" t="n"/>
      <c r="O58" s="130" t="n"/>
      <c r="P58" s="130" t="n"/>
      <c r="Q58" s="130" t="n"/>
    </row>
    <row r="59" ht="12.75" customHeight="1" s="131">
      <c r="D59" s="167" t="n"/>
      <c r="E59" s="130" t="n"/>
      <c r="F59" s="130" t="n"/>
      <c r="G59" s="130" t="n"/>
      <c r="H59" s="130" t="n"/>
      <c r="I59" s="130" t="n"/>
      <c r="J59" s="130" t="n"/>
      <c r="K59" s="130" t="n"/>
      <c r="L59" s="130" t="n"/>
      <c r="M59" s="130" t="n"/>
      <c r="N59" s="130" t="n"/>
      <c r="O59" s="130" t="n"/>
      <c r="P59" s="130" t="n"/>
      <c r="Q59" s="130" t="n"/>
    </row>
    <row r="60" ht="12.75" customHeight="1" s="131">
      <c r="D60" s="167" t="n"/>
      <c r="E60" s="130" t="n"/>
      <c r="F60" s="130" t="n"/>
      <c r="G60" s="130" t="n"/>
      <c r="H60" s="130" t="n"/>
      <c r="I60" s="130" t="n"/>
      <c r="J60" s="130" t="n"/>
      <c r="K60" s="130" t="n"/>
      <c r="L60" s="130" t="n"/>
      <c r="M60" s="130" t="n"/>
      <c r="N60" s="130" t="n"/>
      <c r="O60" s="130" t="n"/>
      <c r="P60" s="130" t="n"/>
      <c r="Q60" s="130" t="n"/>
    </row>
    <row r="61" ht="12.75" customHeight="1" s="131">
      <c r="D61" s="167" t="n"/>
      <c r="E61" s="130" t="n"/>
      <c r="F61" s="130" t="n"/>
      <c r="G61" s="130" t="n"/>
      <c r="H61" s="130" t="n"/>
      <c r="I61" s="130" t="n"/>
      <c r="J61" s="130" t="n"/>
      <c r="K61" s="130" t="n"/>
      <c r="L61" s="130" t="n"/>
      <c r="M61" s="130" t="n"/>
      <c r="N61" s="130" t="n"/>
      <c r="O61" s="130" t="n"/>
      <c r="P61" s="130" t="n"/>
      <c r="Q61" s="130" t="n"/>
    </row>
    <row r="62" ht="12.75" customHeight="1" s="131">
      <c r="E62" s="130" t="n"/>
      <c r="F62" s="130" t="n"/>
      <c r="G62" s="130" t="n"/>
      <c r="H62" s="130" t="n"/>
      <c r="I62" s="130" t="n"/>
      <c r="J62" s="130" t="n"/>
      <c r="K62" s="130" t="n"/>
      <c r="L62" s="130" t="n"/>
      <c r="M62" s="130" t="n"/>
      <c r="N62" s="130" t="n"/>
      <c r="O62" s="130" t="n"/>
      <c r="P62" s="130" t="n"/>
      <c r="Q62" s="130" t="n"/>
    </row>
    <row r="63" ht="12.75" customHeight="1" s="131">
      <c r="E63" s="130" t="n"/>
      <c r="F63" s="130" t="n"/>
      <c r="G63" s="130" t="n"/>
      <c r="H63" s="130" t="n"/>
      <c r="I63" s="130" t="n"/>
      <c r="J63" s="130" t="n"/>
      <c r="K63" s="130" t="n"/>
      <c r="L63" s="130" t="n"/>
      <c r="M63" s="130" t="n"/>
      <c r="N63" s="130" t="n"/>
      <c r="O63" s="130" t="n"/>
      <c r="P63" s="130" t="n"/>
      <c r="Q63" s="130" t="n"/>
    </row>
    <row r="64" ht="12.75" customHeight="1" s="131">
      <c r="E64" s="130" t="n"/>
      <c r="F64" s="130" t="n"/>
      <c r="G64" s="130" t="n"/>
      <c r="H64" s="130" t="n"/>
      <c r="I64" s="130" t="n"/>
      <c r="J64" s="130" t="n"/>
      <c r="K64" s="130" t="n"/>
      <c r="L64" s="130" t="n"/>
      <c r="M64" s="130" t="n"/>
      <c r="N64" s="130" t="n"/>
      <c r="O64" s="130" t="n"/>
      <c r="P64" s="130" t="n"/>
      <c r="Q64" s="130" t="n"/>
    </row>
    <row r="65" ht="12.75" customHeight="1" s="131">
      <c r="E65" s="130" t="n"/>
      <c r="F65" s="130" t="n"/>
      <c r="G65" s="130" t="n"/>
      <c r="H65" s="130" t="n"/>
      <c r="I65" s="130" t="n"/>
      <c r="J65" s="130" t="n"/>
      <c r="K65" s="130" t="n"/>
      <c r="L65" s="130" t="n"/>
      <c r="M65" s="130" t="n"/>
      <c r="N65" s="130" t="n"/>
      <c r="O65" s="130" t="n"/>
      <c r="P65" s="130" t="n"/>
      <c r="Q65" s="130" t="n"/>
    </row>
    <row r="66" ht="12.75" customHeight="1" s="131"/>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R66"/>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68" min="1" max="3"/>
    <col width="22.75" customWidth="1" style="130" min="4" max="4"/>
    <col width="10.72" customWidth="1" style="130" min="5" max="5"/>
    <col width="20.74" customWidth="1" style="130" min="6" max="6"/>
    <col width="8.720000000000001" customWidth="1" style="130" min="7" max="7"/>
    <col width="10.72" customWidth="1" style="130" min="8" max="8"/>
    <col width="20.74" customWidth="1" style="130" min="9" max="9"/>
    <col width="8.720000000000001" customWidth="1" style="130" min="10" max="10"/>
    <col width="10.72" customWidth="1" style="130" min="11" max="17"/>
    <col width="15.73" customWidth="1" style="130" min="18" max="18"/>
  </cols>
  <sheetData>
    <row r="1" ht="15.75" customHeight="1" s="131">
      <c r="A1" s="142">
        <f>'1. Required Start-Up Funds'!A1</f>
        <v/>
      </c>
    </row>
    <row r="2" ht="15.75" customHeight="1" s="131">
      <c r="A2" s="142" t="inlineStr">
        <is>
          <t>Balance Sheet - Year One</t>
        </is>
      </c>
    </row>
    <row r="3" ht="12.75" customHeight="1" s="131">
      <c r="A3" s="137" t="n"/>
      <c r="B3" s="137" t="n"/>
      <c r="C3" s="137" t="n"/>
      <c r="D3" s="145" t="n"/>
      <c r="E3" s="145" t="n"/>
      <c r="F3" s="145" t="n"/>
      <c r="G3" s="145" t="n"/>
      <c r="H3" s="145" t="n"/>
      <c r="I3" s="145" t="n"/>
      <c r="J3" s="145" t="n"/>
      <c r="K3" s="145" t="n"/>
      <c r="L3" s="145" t="n"/>
      <c r="M3" s="145" t="n"/>
      <c r="N3" s="145" t="n"/>
      <c r="O3" s="145" t="n"/>
      <c r="P3" s="145" t="n"/>
      <c r="Q3" s="167" t="n"/>
      <c r="R3" s="167" t="n"/>
    </row>
    <row r="4" ht="12.75" customHeight="1" s="131">
      <c r="A4" s="137" t="n"/>
      <c r="B4" s="137" t="n"/>
      <c r="C4" s="137" t="n"/>
      <c r="D4" s="145" t="n"/>
      <c r="E4" s="145" t="n"/>
      <c r="F4" s="145" t="n"/>
      <c r="G4" s="145" t="n"/>
      <c r="H4" s="145" t="n"/>
      <c r="I4" s="145" t="n"/>
      <c r="J4" s="145" t="n"/>
      <c r="K4" s="145" t="n"/>
      <c r="L4" s="145" t="n"/>
      <c r="M4" s="145" t="n"/>
      <c r="N4" s="145" t="n"/>
      <c r="O4" s="145" t="n"/>
      <c r="P4" s="145" t="n"/>
      <c r="Q4" s="167" t="n"/>
      <c r="R4" s="167" t="n"/>
    </row>
    <row r="5" ht="12.75" customHeight="1" s="131">
      <c r="A5" s="137" t="n"/>
      <c r="B5" s="137" t="n"/>
      <c r="C5" s="137" t="n"/>
      <c r="D5" s="145" t="n"/>
      <c r="E5" s="145" t="n"/>
      <c r="F5" s="145" t="n"/>
      <c r="G5" s="145" t="n"/>
      <c r="H5" s="145" t="n"/>
      <c r="I5" s="145" t="n"/>
      <c r="J5" s="145" t="n"/>
      <c r="K5" s="145" t="n"/>
      <c r="L5" s="145" t="n"/>
      <c r="M5" s="145" t="n"/>
      <c r="N5" s="145" t="n"/>
      <c r="O5" s="145" t="n"/>
      <c r="P5" s="145" t="n"/>
      <c r="Q5" s="167" t="n"/>
      <c r="R5" s="167" t="n"/>
    </row>
    <row r="6" ht="12.75" customHeight="1" s="131">
      <c r="A6" s="137" t="n"/>
      <c r="B6" s="137" t="n"/>
      <c r="C6" s="137" t="n"/>
      <c r="D6" s="145" t="n"/>
      <c r="E6" s="140" t="n"/>
      <c r="F6" s="172" t="inlineStr">
        <is>
          <t>Base Period</t>
        </is>
      </c>
      <c r="G6" s="171" t="n"/>
      <c r="H6" s="140" t="n"/>
      <c r="I6" s="172" t="inlineStr">
        <is>
          <t>End of Year One</t>
        </is>
      </c>
      <c r="J6" s="171" t="n"/>
      <c r="K6" s="140" t="n"/>
      <c r="L6" s="140" t="n"/>
      <c r="M6" s="140" t="n"/>
      <c r="N6" s="140" t="n"/>
      <c r="O6" s="140" t="n"/>
      <c r="P6" s="140" t="n"/>
      <c r="Q6" s="217" t="n"/>
      <c r="R6" s="217" t="n"/>
    </row>
    <row r="7" ht="12.75" customHeight="1" s="131">
      <c r="A7" s="137" t="n"/>
      <c r="B7" s="137" t="n"/>
      <c r="C7" s="137" t="n"/>
      <c r="D7" s="145" t="n"/>
      <c r="E7" s="145" t="n"/>
      <c r="F7" s="145" t="n"/>
      <c r="G7" s="145" t="n"/>
      <c r="H7" s="145" t="n"/>
      <c r="I7" s="145" t="n"/>
      <c r="J7" s="145" t="n"/>
      <c r="K7" s="145" t="n"/>
      <c r="L7" s="145" t="n"/>
      <c r="M7" s="145" t="n"/>
      <c r="N7" s="145" t="n"/>
      <c r="O7" s="145" t="n"/>
      <c r="P7" s="145" t="n"/>
      <c r="Q7" s="167" t="n"/>
      <c r="R7" s="167" t="n"/>
    </row>
    <row r="8" ht="12.75" customHeight="1" s="131">
      <c r="A8" s="137" t="inlineStr">
        <is>
          <t>Assets</t>
        </is>
      </c>
      <c r="B8" s="137" t="n"/>
      <c r="C8" s="137" t="n"/>
      <c r="D8" s="145" t="n"/>
      <c r="E8" s="145" t="n"/>
      <c r="F8" s="156" t="n"/>
      <c r="G8" s="156" t="n"/>
      <c r="H8" s="156" t="n"/>
      <c r="I8" s="156" t="n"/>
      <c r="J8" s="145" t="n"/>
      <c r="K8" s="145" t="n"/>
      <c r="L8" s="145" t="n"/>
      <c r="M8" s="145" t="n"/>
      <c r="N8" s="145" t="n"/>
      <c r="O8" s="145" t="n"/>
      <c r="P8" s="145" t="n"/>
      <c r="Q8" s="167" t="n"/>
      <c r="R8" s="167" t="n"/>
    </row>
    <row r="9" ht="12.75" customHeight="1" s="131">
      <c r="A9" s="137" t="n"/>
      <c r="B9" s="137" t="inlineStr">
        <is>
          <t>Current Assets</t>
        </is>
      </c>
      <c r="C9" s="137" t="n"/>
      <c r="D9" s="145" t="n"/>
      <c r="E9" s="145" t="n"/>
      <c r="F9" s="156" t="n"/>
      <c r="G9" s="156" t="n"/>
      <c r="H9" s="156" t="n"/>
      <c r="I9" s="156" t="n"/>
      <c r="J9" s="145" t="n"/>
      <c r="K9" s="145" t="n"/>
      <c r="L9" s="145" t="n"/>
      <c r="M9" s="145" t="n"/>
      <c r="N9" s="145" t="n"/>
      <c r="O9" s="145" t="n"/>
      <c r="P9" s="145" t="n"/>
      <c r="Q9" s="167" t="n"/>
      <c r="R9" s="167" t="n"/>
    </row>
    <row r="10" ht="12.75" customHeight="1" s="131">
      <c r="A10" s="137" t="n"/>
      <c r="B10" s="137" t="n"/>
      <c r="C10" s="137" t="inlineStr">
        <is>
          <t>Cash</t>
        </is>
      </c>
      <c r="D10" s="145" t="n"/>
      <c r="E10" s="145" t="n"/>
      <c r="F10" s="156">
        <f>'1. Required Start-Up Funds'!E28+'7. Beginning Balance Sheet'!F10</f>
        <v/>
      </c>
      <c r="G10" s="156" t="n"/>
      <c r="H10" s="156" t="n"/>
      <c r="I10" s="156">
        <f>'9. Cash Flow Statement'!P37</f>
        <v/>
      </c>
      <c r="J10" s="145" t="n"/>
      <c r="K10" s="145" t="n"/>
      <c r="L10" s="145" t="n"/>
      <c r="M10" s="145" t="n"/>
      <c r="N10" s="145" t="n"/>
      <c r="O10" s="145" t="n"/>
      <c r="P10" s="145" t="n"/>
      <c r="Q10" s="167" t="n"/>
      <c r="R10" s="167" t="n"/>
    </row>
    <row r="11" ht="12.75" customHeight="1" s="131">
      <c r="A11" s="137" t="n"/>
      <c r="B11" s="137" t="n"/>
      <c r="C11" s="137" t="inlineStr">
        <is>
          <t>Accounts Receivable</t>
        </is>
      </c>
      <c r="D11" s="145" t="n"/>
      <c r="E11" s="145" t="n"/>
      <c r="F11" s="156">
        <f>'7. Beginning Balance Sheet'!F11</f>
        <v/>
      </c>
      <c r="G11" s="156" t="n"/>
      <c r="H11" s="156" t="n"/>
      <c r="I11" s="156">
        <f>F11+'8. Income Statement'!Q13-'9. Cash Flow Statement'!Q13</f>
        <v/>
      </c>
      <c r="J11" s="145" t="n"/>
      <c r="K11" s="145" t="n"/>
      <c r="L11" s="145" t="n"/>
      <c r="M11" s="145" t="n"/>
      <c r="N11" s="145" t="n"/>
      <c r="O11" s="145" t="n"/>
      <c r="P11" s="145" t="n"/>
      <c r="Q11" s="167" t="n"/>
      <c r="R11" s="167" t="n"/>
    </row>
    <row r="12" ht="12.75" customHeight="1" s="131">
      <c r="A12" s="137" t="n"/>
      <c r="B12" s="137" t="n"/>
      <c r="C12" s="137" t="inlineStr">
        <is>
          <t>Inventory</t>
        </is>
      </c>
      <c r="D12" s="145" t="n"/>
      <c r="E12" s="145" t="n"/>
      <c r="F12" s="156">
        <f>'1. Required Start-Up Funds'!E20+'7. Beginning Balance Sheet'!F12</f>
        <v/>
      </c>
      <c r="G12" s="156" t="n"/>
      <c r="H12" s="156" t="n"/>
      <c r="I12" s="156">
        <f>F12</f>
        <v/>
      </c>
      <c r="J12" s="145" t="n"/>
      <c r="K12" s="145" t="n"/>
      <c r="L12" s="145" t="n"/>
      <c r="M12" s="145" t="n"/>
      <c r="N12" s="145" t="n"/>
      <c r="O12" s="145" t="n"/>
      <c r="P12" s="145" t="n"/>
      <c r="Q12" s="167" t="n"/>
      <c r="R12" s="167" t="n"/>
    </row>
    <row r="13" ht="12.75" customHeight="1" s="131">
      <c r="A13" s="137" t="n"/>
      <c r="B13" s="137" t="n"/>
      <c r="C13" s="137" t="inlineStr">
        <is>
          <t>Prepaid Expenses</t>
        </is>
      </c>
      <c r="D13" s="145" t="n"/>
      <c r="E13" s="145" t="n"/>
      <c r="F13" s="156">
        <f>'1. Required Start-Up Funds'!G29-'1. Required Start-Up Funds'!E28-'1. Required Start-Up Funds'!E20-'1. Required Start-Up Funds'!E27+'7. Beginning Balance Sheet'!F13</f>
        <v/>
      </c>
      <c r="G13" s="156" t="n"/>
      <c r="H13" s="156" t="n"/>
      <c r="I13" s="156">
        <f>F13-'6. Cash Receipts-Disbursements'!J26</f>
        <v/>
      </c>
      <c r="J13" s="145" t="n"/>
      <c r="K13" s="145" t="n"/>
      <c r="L13" s="145" t="n"/>
      <c r="M13" s="145" t="n"/>
      <c r="N13" s="145" t="n"/>
      <c r="O13" s="145" t="n"/>
      <c r="P13" s="145" t="n"/>
      <c r="Q13" s="167" t="n"/>
      <c r="R13" s="167" t="n"/>
    </row>
    <row r="14" ht="12.75" customHeight="1" s="131">
      <c r="A14" s="137" t="n"/>
      <c r="B14" s="137" t="n"/>
      <c r="C14" s="137" t="inlineStr">
        <is>
          <t>Other Current</t>
        </is>
      </c>
      <c r="D14" s="145" t="n"/>
      <c r="E14" s="145" t="n"/>
      <c r="F14" s="162">
        <f>'1. Required Start-Up Funds'!E27</f>
        <v/>
      </c>
      <c r="G14" s="156" t="n"/>
      <c r="H14" s="156" t="n"/>
      <c r="I14" s="162">
        <f>F14-'6. Cash Receipts-Disbursements'!J27</f>
        <v/>
      </c>
      <c r="J14" s="182" t="n"/>
      <c r="K14" s="145" t="n"/>
      <c r="L14" s="145" t="n"/>
      <c r="M14" s="145" t="n"/>
      <c r="N14" s="145" t="n"/>
      <c r="O14" s="145" t="n"/>
      <c r="P14" s="145" t="n"/>
      <c r="Q14" s="167" t="n"/>
      <c r="R14" s="167" t="n"/>
    </row>
    <row r="15" ht="12.75" customHeight="1" s="131">
      <c r="A15" s="137" t="n"/>
      <c r="B15" s="137" t="inlineStr">
        <is>
          <t>Total Current Assets</t>
        </is>
      </c>
      <c r="C15" s="137" t="n"/>
      <c r="D15" s="145" t="n"/>
      <c r="E15" s="156" t="n"/>
      <c r="F15" s="156">
        <f>SUM(F10:F14)</f>
        <v/>
      </c>
      <c r="G15" s="159" t="n"/>
      <c r="H15" s="156" t="n"/>
      <c r="I15" s="156">
        <f>SUM(I10:I14)</f>
        <v/>
      </c>
      <c r="J15" s="159" t="n"/>
      <c r="K15" s="156" t="n"/>
      <c r="L15" s="156" t="n"/>
      <c r="M15" s="156" t="n"/>
      <c r="N15" s="156" t="n"/>
      <c r="O15" s="156" t="n"/>
      <c r="P15" s="156" t="n"/>
      <c r="Q15" s="207" t="n"/>
      <c r="R15" s="207" t="n"/>
    </row>
    <row r="16" ht="12.75" customHeight="1" s="131">
      <c r="A16" s="137" t="n"/>
      <c r="B16" s="137" t="n"/>
      <c r="C16" s="137" t="n"/>
      <c r="D16" s="145" t="n"/>
      <c r="E16" s="156" t="n"/>
      <c r="F16" s="156" t="n"/>
      <c r="G16" s="156" t="n"/>
      <c r="H16" s="156" t="n"/>
      <c r="I16" s="156" t="n"/>
      <c r="J16" s="156" t="n"/>
      <c r="K16" s="156" t="n"/>
      <c r="L16" s="156" t="n"/>
      <c r="M16" s="156" t="n"/>
      <c r="N16" s="156" t="n"/>
      <c r="O16" s="156" t="n"/>
      <c r="P16" s="156" t="n"/>
      <c r="Q16" s="207" t="n"/>
      <c r="R16" s="207" t="n"/>
    </row>
    <row r="17" ht="12.75" customHeight="1" s="131">
      <c r="A17" s="137" t="n"/>
      <c r="B17" s="137" t="inlineStr">
        <is>
          <t>Fixed Assets</t>
        </is>
      </c>
      <c r="C17" s="137" t="n"/>
      <c r="D17" s="145" t="n"/>
      <c r="E17" s="182" t="n"/>
      <c r="F17" s="156" t="n"/>
      <c r="G17" s="156" t="n"/>
      <c r="H17" s="156" t="n"/>
      <c r="I17" s="156" t="n"/>
      <c r="J17" s="182" t="n"/>
      <c r="K17" s="182" t="n"/>
      <c r="L17" s="182" t="n"/>
      <c r="M17" s="182" t="n"/>
      <c r="N17" s="182" t="n"/>
      <c r="O17" s="182" t="n"/>
      <c r="P17" s="182" t="n"/>
      <c r="Q17" s="208" t="n"/>
      <c r="R17" s="208" t="n"/>
    </row>
    <row r="18" ht="12.75" customHeight="1" s="131">
      <c r="A18" s="137" t="n"/>
      <c r="B18" s="137" t="n"/>
      <c r="C18" s="137">
        <f>'1. Required Start-Up Funds'!C8</f>
        <v/>
      </c>
      <c r="D18" s="145" t="n"/>
      <c r="E18" s="182" t="n"/>
      <c r="F18" s="156">
        <f>'1. Required Start-Up Funds'!E8+'7. Beginning Balance Sheet'!F18</f>
        <v/>
      </c>
      <c r="G18" s="156" t="n"/>
      <c r="H18" s="156" t="n"/>
      <c r="I18" s="156">
        <f>F18</f>
        <v/>
      </c>
      <c r="J18" s="182" t="n"/>
      <c r="K18" s="182" t="n"/>
      <c r="L18" s="182" t="n"/>
      <c r="M18" s="182" t="n"/>
      <c r="N18" s="182" t="n"/>
      <c r="O18" s="182" t="n"/>
      <c r="P18" s="182" t="n"/>
      <c r="Q18" s="208" t="n"/>
      <c r="R18" s="208" t="n"/>
    </row>
    <row r="19" ht="12.75" customHeight="1" s="131">
      <c r="A19" s="137" t="n"/>
      <c r="B19" s="137" t="n"/>
      <c r="C19" s="137">
        <f>'1. Required Start-Up Funds'!C9</f>
        <v/>
      </c>
      <c r="D19" s="145" t="n"/>
      <c r="E19" s="156" t="n"/>
      <c r="F19" s="156">
        <f>'1. Required Start-Up Funds'!E9+'7. Beginning Balance Sheet'!F19</f>
        <v/>
      </c>
      <c r="G19" s="156" t="n"/>
      <c r="H19" s="156" t="n"/>
      <c r="I19" s="156">
        <f>F19</f>
        <v/>
      </c>
      <c r="J19" s="156" t="n"/>
      <c r="K19" s="156" t="n"/>
      <c r="L19" s="156" t="n"/>
      <c r="M19" s="156" t="n"/>
      <c r="N19" s="156" t="n"/>
      <c r="O19" s="156" t="n"/>
      <c r="P19" s="156" t="n"/>
      <c r="Q19" s="207" t="n"/>
      <c r="R19" s="207" t="n"/>
    </row>
    <row r="20" ht="12.75" customHeight="1" s="131">
      <c r="A20" s="137" t="n"/>
      <c r="B20" s="137" t="n"/>
      <c r="C20" s="137">
        <f>'1. Required Start-Up Funds'!C10</f>
        <v/>
      </c>
      <c r="D20" s="145" t="n"/>
      <c r="E20" s="156" t="n"/>
      <c r="F20" s="156">
        <f>'1. Required Start-Up Funds'!E10+'7. Beginning Balance Sheet'!F20</f>
        <v/>
      </c>
      <c r="G20" s="156" t="n"/>
      <c r="H20" s="156" t="n"/>
      <c r="I20" s="156">
        <f>F20</f>
        <v/>
      </c>
      <c r="J20" s="156" t="n"/>
      <c r="K20" s="156" t="n"/>
      <c r="L20" s="156" t="n"/>
      <c r="M20" s="156" t="n"/>
      <c r="N20" s="156" t="n"/>
      <c r="O20" s="156" t="n"/>
      <c r="P20" s="156" t="n"/>
      <c r="Q20" s="207" t="n"/>
      <c r="R20" s="207" t="n"/>
    </row>
    <row r="21" ht="12.75" customHeight="1" s="131">
      <c r="A21" s="137" t="n"/>
      <c r="B21" s="137" t="n"/>
      <c r="C21" s="137">
        <f>'1. Required Start-Up Funds'!C11</f>
        <v/>
      </c>
      <c r="D21" s="145" t="n"/>
      <c r="E21" s="182" t="n"/>
      <c r="F21" s="156">
        <f>'1. Required Start-Up Funds'!E11+'7. Beginning Balance Sheet'!F21</f>
        <v/>
      </c>
      <c r="G21" s="156" t="n"/>
      <c r="H21" s="156" t="n"/>
      <c r="I21" s="156">
        <f>F21</f>
        <v/>
      </c>
      <c r="J21" s="182" t="n"/>
      <c r="K21" s="182" t="n"/>
      <c r="L21" s="182" t="n"/>
      <c r="M21" s="182" t="n"/>
      <c r="N21" s="182" t="n"/>
      <c r="O21" s="182" t="n"/>
      <c r="P21" s="182" t="n"/>
      <c r="Q21" s="208" t="n"/>
      <c r="R21" s="208" t="n"/>
    </row>
    <row r="22" ht="12.75" customHeight="1" s="131">
      <c r="A22" s="137" t="n"/>
      <c r="B22" s="137" t="n"/>
      <c r="C22" s="137">
        <f>'1. Required Start-Up Funds'!C12</f>
        <v/>
      </c>
      <c r="D22" s="145" t="n"/>
      <c r="E22" s="182" t="n"/>
      <c r="F22" s="156">
        <f>'1. Required Start-Up Funds'!E12+'7. Beginning Balance Sheet'!F22</f>
        <v/>
      </c>
      <c r="G22" s="156" t="n"/>
      <c r="H22" s="156" t="n"/>
      <c r="I22" s="156">
        <f>F22</f>
        <v/>
      </c>
      <c r="J22" s="182" t="n"/>
      <c r="K22" s="182" t="n"/>
      <c r="L22" s="182" t="n"/>
      <c r="M22" s="182" t="n"/>
      <c r="N22" s="182" t="n"/>
      <c r="O22" s="182" t="n"/>
      <c r="P22" s="182" t="n"/>
      <c r="Q22" s="208" t="n"/>
      <c r="R22" s="208" t="n"/>
    </row>
    <row r="23" ht="12.75" customHeight="1" s="131">
      <c r="A23" s="137" t="n"/>
      <c r="B23" s="137" t="n"/>
      <c r="C23" s="137">
        <f>'1. Required Start-Up Funds'!C13</f>
        <v/>
      </c>
      <c r="D23" s="145" t="n"/>
      <c r="E23" s="182" t="n"/>
      <c r="F23" s="156">
        <f>'1. Required Start-Up Funds'!E13+'7. Beginning Balance Sheet'!F23</f>
        <v/>
      </c>
      <c r="G23" s="156" t="n"/>
      <c r="H23" s="156" t="n"/>
      <c r="I23" s="156">
        <f>F23</f>
        <v/>
      </c>
      <c r="J23" s="182" t="n"/>
      <c r="K23" s="182" t="n"/>
      <c r="L23" s="182" t="n"/>
      <c r="M23" s="182" t="n"/>
      <c r="N23" s="182" t="n"/>
      <c r="O23" s="182" t="n"/>
      <c r="P23" s="182" t="n"/>
      <c r="Q23" s="208" t="n"/>
      <c r="R23" s="208" t="n"/>
    </row>
    <row r="24" ht="12.75" customHeight="1" s="131">
      <c r="A24" s="137" t="n"/>
      <c r="B24" s="137" t="n"/>
      <c r="C24" s="137">
        <f>'1. Required Start-Up Funds'!C14</f>
        <v/>
      </c>
      <c r="D24" s="145" t="n"/>
      <c r="E24" s="156" t="n"/>
      <c r="F24" s="162">
        <f>'7. Beginning Balance Sheet'!F24+'1. Required Start-Up Funds'!E14</f>
        <v/>
      </c>
      <c r="G24" s="156" t="n"/>
      <c r="H24" s="156" t="n"/>
      <c r="I24" s="162">
        <f>F24+'9. Cash Flow Statement'!Q17</f>
        <v/>
      </c>
      <c r="J24" s="156" t="n"/>
      <c r="K24" s="156" t="n"/>
      <c r="L24" s="156" t="n"/>
      <c r="M24" s="156" t="n"/>
      <c r="N24" s="156" t="n"/>
      <c r="O24" s="156" t="n"/>
      <c r="P24" s="156" t="n"/>
      <c r="Q24" s="207" t="n"/>
      <c r="R24" s="207" t="n"/>
    </row>
    <row r="25" ht="12.75" customHeight="1" s="131">
      <c r="A25" s="137" t="n"/>
      <c r="B25" s="137" t="inlineStr">
        <is>
          <t>Total Fixed Assets</t>
        </is>
      </c>
      <c r="C25" s="137" t="n"/>
      <c r="D25" s="145" t="n"/>
      <c r="E25" s="156" t="n"/>
      <c r="F25" s="156">
        <f>SUM(F18:F24)</f>
        <v/>
      </c>
      <c r="G25" s="159" t="n"/>
      <c r="H25" s="156" t="n"/>
      <c r="I25" s="156">
        <f>SUM(I18:I24)</f>
        <v/>
      </c>
      <c r="J25" s="159" t="n"/>
      <c r="K25" s="156" t="n"/>
      <c r="L25" s="156" t="n"/>
      <c r="M25" s="156" t="n"/>
      <c r="N25" s="156" t="n"/>
      <c r="O25" s="156" t="n"/>
      <c r="P25" s="156" t="n"/>
      <c r="Q25" s="207" t="n"/>
      <c r="R25" s="207" t="n"/>
    </row>
    <row r="26" ht="12.75" customHeight="1" s="131">
      <c r="A26" s="137" t="n"/>
      <c r="B26" s="137" t="n"/>
      <c r="C26" s="137" t="n"/>
      <c r="D26" s="145" t="n"/>
      <c r="E26" s="182" t="n"/>
      <c r="F26" s="156" t="n"/>
      <c r="G26" s="156" t="n"/>
      <c r="H26" s="156" t="n"/>
      <c r="I26" s="156" t="n"/>
      <c r="J26" s="182" t="n"/>
      <c r="K26" s="182" t="n"/>
      <c r="L26" s="182" t="n"/>
      <c r="M26" s="182" t="n"/>
      <c r="N26" s="182" t="n"/>
      <c r="O26" s="182" t="n"/>
      <c r="P26" s="182" t="n"/>
      <c r="Q26" s="208" t="n"/>
      <c r="R26" s="208" t="n"/>
    </row>
    <row r="27" ht="12.75" customHeight="1" s="131">
      <c r="A27" s="137" t="n"/>
      <c r="B27" s="137" t="inlineStr">
        <is>
          <t>Less:  Accumulated Depreciation</t>
        </is>
      </c>
      <c r="C27" s="137" t="n"/>
      <c r="D27" s="145" t="n"/>
      <c r="E27" s="145" t="n"/>
      <c r="F27" s="156">
        <f>'7. Beginning Balance Sheet'!F27</f>
        <v/>
      </c>
      <c r="G27" s="156" t="n"/>
      <c r="H27" s="156" t="n"/>
      <c r="I27" s="156">
        <f>F27+'8. Income Statement'!Q58</f>
        <v/>
      </c>
      <c r="J27" s="145" t="n"/>
      <c r="K27" s="145" t="n"/>
      <c r="L27" s="145" t="n"/>
      <c r="M27" s="145" t="n"/>
      <c r="N27" s="145" t="n"/>
      <c r="O27" s="145" t="n"/>
      <c r="P27" s="145" t="n"/>
      <c r="Q27" s="167" t="n"/>
      <c r="R27" s="167" t="n"/>
    </row>
    <row r="28" ht="12.75" customHeight="1" s="131">
      <c r="A28" s="137" t="n"/>
      <c r="B28" s="137" t="n"/>
      <c r="C28" s="137" t="n"/>
      <c r="D28" s="145" t="n"/>
      <c r="E28" s="145" t="n"/>
      <c r="F28" s="162" t="n"/>
      <c r="G28" s="156" t="n"/>
      <c r="H28" s="156" t="n"/>
      <c r="I28" s="162" t="n"/>
      <c r="J28" s="145" t="n"/>
      <c r="K28" s="145" t="n"/>
      <c r="L28" s="145" t="n"/>
      <c r="M28" s="145" t="n"/>
      <c r="N28" s="145" t="n"/>
      <c r="O28" s="145" t="n"/>
      <c r="P28" s="145" t="n"/>
      <c r="Q28" s="167" t="n"/>
      <c r="R28" s="167" t="n"/>
    </row>
    <row r="29" ht="15.95" customHeight="1" s="131">
      <c r="A29" s="137" t="inlineStr">
        <is>
          <t>Total Assets</t>
        </is>
      </c>
      <c r="B29" s="137" t="n"/>
      <c r="C29" s="137" t="n"/>
      <c r="D29" s="145" t="n"/>
      <c r="E29" s="145" t="n"/>
      <c r="F29" s="184">
        <f>INT(F15+F25-F27)</f>
        <v/>
      </c>
      <c r="G29" s="159" t="n"/>
      <c r="H29" s="156" t="n"/>
      <c r="I29" s="184">
        <f>INT(I15+I25-I27)</f>
        <v/>
      </c>
      <c r="J29" s="159" t="n"/>
      <c r="K29" s="145" t="n"/>
      <c r="L29" s="145" t="n"/>
      <c r="M29" s="145" t="n"/>
      <c r="N29" s="145" t="n"/>
      <c r="O29" s="145" t="n"/>
      <c r="P29" s="145" t="n"/>
      <c r="Q29" s="167" t="n"/>
      <c r="R29" s="167" t="n"/>
    </row>
    <row r="30" ht="12.75" customHeight="1" s="131">
      <c r="A30" s="137" t="n"/>
      <c r="B30" s="137" t="n"/>
      <c r="C30" s="137" t="n"/>
      <c r="D30" s="145" t="n"/>
      <c r="E30" s="145" t="n"/>
      <c r="F30" s="156" t="n"/>
      <c r="G30" s="156" t="n"/>
      <c r="H30" s="156" t="n"/>
      <c r="I30" s="156" t="n"/>
      <c r="J30" s="145" t="n"/>
      <c r="K30" s="145" t="n"/>
      <c r="L30" s="145" t="n"/>
      <c r="M30" s="145" t="n"/>
      <c r="N30" s="145" t="n"/>
      <c r="O30" s="145" t="n"/>
      <c r="P30" s="145" t="n"/>
      <c r="Q30" s="167" t="n"/>
      <c r="R30" s="167" t="n"/>
    </row>
    <row r="31" ht="12.75" customHeight="1" s="131">
      <c r="A31" s="137" t="n"/>
      <c r="B31" s="137" t="n"/>
      <c r="C31" s="137" t="n"/>
      <c r="D31" s="145" t="n"/>
      <c r="E31" s="145" t="n"/>
      <c r="F31" s="156" t="n"/>
      <c r="G31" s="156" t="n"/>
      <c r="H31" s="156" t="n"/>
      <c r="I31" s="156" t="n"/>
      <c r="J31" s="145" t="n"/>
      <c r="K31" s="145" t="n"/>
      <c r="L31" s="145" t="n"/>
      <c r="M31" s="145" t="n"/>
      <c r="N31" s="145" t="n"/>
      <c r="O31" s="145" t="n"/>
      <c r="P31" s="145" t="n"/>
      <c r="Q31" s="167" t="n"/>
      <c r="R31" s="167" t="n"/>
    </row>
    <row r="32" ht="12.75" customHeight="1" s="131">
      <c r="A32" s="137" t="n"/>
      <c r="B32" s="137" t="n"/>
      <c r="C32" s="137" t="n"/>
      <c r="D32" s="145" t="n"/>
      <c r="E32" s="145" t="n"/>
      <c r="F32" s="156" t="n"/>
      <c r="G32" s="156" t="n"/>
      <c r="H32" s="156" t="n"/>
      <c r="I32" s="156" t="n"/>
      <c r="J32" s="145" t="n"/>
      <c r="K32" s="145" t="n"/>
      <c r="L32" s="145" t="n"/>
      <c r="M32" s="145" t="n"/>
      <c r="N32" s="145" t="n"/>
      <c r="O32" s="145" t="n"/>
      <c r="P32" s="145" t="n"/>
      <c r="Q32" s="167" t="n"/>
      <c r="R32" s="167" t="n"/>
    </row>
    <row r="33" ht="12.75" customHeight="1" s="131">
      <c r="A33" s="137" t="inlineStr">
        <is>
          <t>Liabilities and Owner's Equity</t>
        </is>
      </c>
      <c r="B33" s="137" t="n"/>
      <c r="C33" s="137" t="n"/>
      <c r="D33" s="145" t="n"/>
      <c r="E33" s="145" t="n"/>
      <c r="F33" s="156" t="n"/>
      <c r="G33" s="156" t="n"/>
      <c r="H33" s="156" t="n"/>
      <c r="I33" s="156" t="n"/>
      <c r="J33" s="145" t="n"/>
      <c r="K33" s="145" t="n"/>
      <c r="L33" s="145" t="n"/>
      <c r="M33" s="145" t="n"/>
      <c r="N33" s="145" t="n"/>
      <c r="O33" s="145" t="n"/>
      <c r="P33" s="145" t="n"/>
      <c r="Q33" s="167" t="n"/>
      <c r="R33" s="167" t="n"/>
    </row>
    <row r="34" ht="12.75" customHeight="1" s="131">
      <c r="A34" s="137" t="n"/>
      <c r="B34" s="137" t="inlineStr">
        <is>
          <t>Liabilities</t>
        </is>
      </c>
      <c r="C34" s="137" t="n"/>
      <c r="D34" s="145" t="n"/>
      <c r="E34" s="145" t="n"/>
      <c r="F34" s="156" t="n"/>
      <c r="G34" s="156" t="n"/>
      <c r="H34" s="156" t="n"/>
      <c r="I34" s="156" t="n"/>
      <c r="J34" s="145" t="n"/>
      <c r="K34" s="145" t="n"/>
      <c r="L34" s="145" t="n"/>
      <c r="M34" s="145" t="n"/>
      <c r="N34" s="145" t="n"/>
      <c r="O34" s="145" t="n"/>
      <c r="P34" s="145" t="n"/>
      <c r="Q34" s="167" t="n"/>
      <c r="R34" s="167" t="n"/>
    </row>
    <row r="35" ht="12.75" customHeight="1" s="131">
      <c r="A35" s="137" t="n"/>
      <c r="B35" s="137" t="n"/>
      <c r="C35" s="137" t="inlineStr">
        <is>
          <t>Accounts Payable</t>
        </is>
      </c>
      <c r="D35" s="145" t="n"/>
      <c r="E35" s="156" t="n"/>
      <c r="F35" s="156">
        <f>'7. Beginning Balance Sheet'!F35</f>
        <v/>
      </c>
      <c r="G35" s="156" t="n"/>
      <c r="H35" s="156" t="n"/>
      <c r="I35" s="156">
        <f>'8. Income Statement'!Q20-'9. Cash Flow Statement'!Q19+F35</f>
        <v/>
      </c>
      <c r="J35" s="156" t="n"/>
      <c r="K35" s="156" t="n"/>
      <c r="L35" s="156" t="n"/>
      <c r="M35" s="156" t="n"/>
      <c r="N35" s="156" t="n"/>
      <c r="O35" s="156" t="n"/>
      <c r="P35" s="156" t="n"/>
      <c r="Q35" s="207" t="n"/>
      <c r="R35" s="207" t="n"/>
    </row>
    <row r="36" ht="12.75" customHeight="1" s="131">
      <c r="A36" s="137" t="n"/>
      <c r="B36" s="137" t="n"/>
      <c r="C36" s="137" t="inlineStr">
        <is>
          <t>Notes Payable</t>
        </is>
      </c>
      <c r="D36" s="145" t="n"/>
      <c r="E36" s="182" t="n"/>
      <c r="F36" s="156">
        <f>'1. Required Start-Up Funds'!G40+'7. Beginning Balance Sheet'!F36</f>
        <v/>
      </c>
      <c r="G36" s="156" t="n"/>
      <c r="H36" s="156" t="n"/>
      <c r="I36" s="156">
        <f>'20. Amoritization Schedule'!R17+'7. Beginning Balance Sheet'!F36</f>
        <v/>
      </c>
      <c r="J36" s="182" t="n"/>
      <c r="K36" s="182" t="n"/>
      <c r="L36" s="182" t="n"/>
      <c r="M36" s="182" t="n"/>
      <c r="N36" s="182" t="n"/>
      <c r="O36" s="182" t="n"/>
      <c r="P36" s="182" t="n"/>
      <c r="Q36" s="208" t="n"/>
      <c r="R36" s="167" t="n"/>
    </row>
    <row r="37" ht="12.75" customHeight="1" s="131">
      <c r="A37" s="137" t="n"/>
      <c r="B37" s="137" t="n"/>
      <c r="C37" s="137" t="inlineStr">
        <is>
          <t>Mortgage Payable</t>
        </is>
      </c>
      <c r="D37" s="145" t="n"/>
      <c r="E37" s="145" t="n"/>
      <c r="F37" s="156">
        <f>'1. Required Start-Up Funds'!G41+'7. Beginning Balance Sheet'!F37</f>
        <v/>
      </c>
      <c r="G37" s="156" t="n"/>
      <c r="H37" s="156" t="n"/>
      <c r="I37" s="156">
        <f>'20. Amoritization Schedule'!R37+'7. Beginning Balance Sheet'!F37</f>
        <v/>
      </c>
      <c r="J37" s="145" t="n"/>
      <c r="K37" s="145" t="n"/>
      <c r="L37" s="145" t="n"/>
      <c r="M37" s="145" t="n"/>
      <c r="N37" s="145" t="n"/>
      <c r="O37" s="145" t="n"/>
      <c r="P37" s="145" t="n"/>
      <c r="Q37" s="167" t="n"/>
      <c r="R37" s="167" t="n"/>
    </row>
    <row r="38" ht="12.75" customHeight="1" s="131">
      <c r="A38" s="137" t="n"/>
      <c r="B38" s="137" t="n"/>
      <c r="C38" s="137" t="inlineStr">
        <is>
          <t>Line of Credit Balance</t>
        </is>
      </c>
      <c r="D38" s="145" t="n"/>
      <c r="E38" s="145" t="n"/>
      <c r="F38" s="162">
        <f>'7. Beginning Balance Sheet'!F38</f>
        <v/>
      </c>
      <c r="G38" s="156" t="n"/>
      <c r="H38" s="156" t="n"/>
      <c r="I38" s="162">
        <f>'9. Cash Flow Statement'!P40+F38</f>
        <v/>
      </c>
      <c r="J38" s="145" t="n"/>
      <c r="K38" s="145" t="n"/>
      <c r="L38" s="145" t="n"/>
      <c r="M38" s="145" t="n"/>
      <c r="N38" s="145" t="n"/>
      <c r="O38" s="145" t="n"/>
      <c r="P38" s="145" t="n"/>
      <c r="Q38" s="167" t="n"/>
      <c r="R38" s="167" t="n"/>
    </row>
    <row r="39" ht="12.75" customHeight="1" s="131">
      <c r="A39" s="137" t="n"/>
      <c r="B39" s="137" t="inlineStr">
        <is>
          <t>Total Liabilities</t>
        </is>
      </c>
      <c r="C39" s="137" t="n"/>
      <c r="D39" s="145" t="n"/>
      <c r="E39" s="145" t="n"/>
      <c r="F39" s="156">
        <f>SUM(F35:F38)</f>
        <v/>
      </c>
      <c r="G39" s="159" t="n"/>
      <c r="H39" s="156" t="n"/>
      <c r="I39" s="156">
        <f>SUM(I35:I38)</f>
        <v/>
      </c>
      <c r="J39" s="159" t="n"/>
      <c r="K39" s="145" t="n"/>
      <c r="L39" s="145" t="n"/>
      <c r="M39" s="145" t="n"/>
      <c r="N39" s="145" t="n"/>
      <c r="O39" s="145" t="n"/>
      <c r="P39" s="145" t="n"/>
      <c r="Q39" s="167" t="n"/>
      <c r="R39" s="167" t="n"/>
    </row>
    <row r="40" ht="12.75" customHeight="1" s="131">
      <c r="A40" s="137" t="n"/>
      <c r="B40" s="137" t="n"/>
      <c r="C40" s="137" t="n"/>
      <c r="D40" s="145" t="n"/>
      <c r="E40" s="145" t="n"/>
      <c r="F40" s="156" t="n"/>
      <c r="G40" s="156" t="n"/>
      <c r="H40" s="156" t="n"/>
      <c r="I40" s="156" t="n"/>
      <c r="J40" s="145" t="n"/>
      <c r="K40" s="145" t="n"/>
      <c r="L40" s="145" t="n"/>
      <c r="M40" s="145" t="n"/>
      <c r="N40" s="145" t="n"/>
      <c r="O40" s="145" t="n"/>
      <c r="P40" s="145" t="n"/>
      <c r="Q40" s="167" t="n"/>
      <c r="R40" s="167" t="n"/>
    </row>
    <row r="41" ht="12.75" customHeight="1" s="131">
      <c r="A41" s="137" t="n"/>
      <c r="B41" s="137" t="inlineStr">
        <is>
          <t>Owner's Equity</t>
        </is>
      </c>
      <c r="C41" s="137" t="n"/>
      <c r="D41" s="145" t="n"/>
      <c r="E41" s="145" t="n"/>
      <c r="F41" s="156" t="n"/>
      <c r="G41" s="156" t="n"/>
      <c r="H41" s="156" t="n"/>
      <c r="I41" s="156" t="n"/>
      <c r="J41" s="145" t="n"/>
      <c r="K41" s="145" t="n"/>
      <c r="L41" s="145" t="n"/>
      <c r="M41" s="145" t="n"/>
      <c r="N41" s="145" t="n"/>
      <c r="O41" s="145" t="n"/>
      <c r="P41" s="145" t="n"/>
      <c r="Q41" s="167" t="n"/>
      <c r="R41" s="167" t="n"/>
    </row>
    <row r="42" ht="12.75" customHeight="1" s="131">
      <c r="A42" s="137" t="n"/>
      <c r="B42" s="137" t="n"/>
      <c r="C42" s="137" t="inlineStr">
        <is>
          <t>Common Stock</t>
        </is>
      </c>
      <c r="D42" s="145" t="n"/>
      <c r="E42" s="145" t="n"/>
      <c r="F42" s="156">
        <f>'1. Required Start-Up Funds'!G37+'1. Required Start-Up Funds'!G38+'7. Beginning Balance Sheet'!F42</f>
        <v/>
      </c>
      <c r="G42" s="156" t="n"/>
      <c r="H42" s="156" t="n"/>
      <c r="I42" s="156">
        <f>F42</f>
        <v/>
      </c>
      <c r="J42" s="145" t="n"/>
      <c r="K42" s="145" t="n"/>
      <c r="L42" s="145" t="n"/>
      <c r="M42" s="145" t="n"/>
      <c r="N42" s="145" t="n"/>
      <c r="O42" s="145" t="n"/>
      <c r="P42" s="145" t="n"/>
      <c r="Q42" s="167" t="n"/>
      <c r="R42" s="167" t="n"/>
    </row>
    <row r="43" ht="12.75" customHeight="1" s="131">
      <c r="A43" s="137" t="n"/>
      <c r="B43" s="137" t="n"/>
      <c r="C43" s="137" t="inlineStr">
        <is>
          <t>Retained Earnings</t>
        </is>
      </c>
      <c r="D43" s="145" t="n"/>
      <c r="E43" s="145" t="n"/>
      <c r="F43" s="156">
        <f>'7. Beginning Balance Sheet'!F43</f>
        <v/>
      </c>
      <c r="G43" s="156" t="n"/>
      <c r="H43" s="156" t="n"/>
      <c r="I43" s="156">
        <f>'8. Income Statement'!Q66+F43</f>
        <v/>
      </c>
      <c r="J43" s="145" t="n"/>
      <c r="K43" s="145" t="n"/>
      <c r="L43" s="145" t="n"/>
      <c r="M43" s="145" t="n"/>
      <c r="N43" s="145" t="n"/>
      <c r="O43" s="145" t="n"/>
      <c r="P43" s="145" t="n"/>
      <c r="Q43" s="167" t="n"/>
      <c r="R43" s="167" t="n"/>
    </row>
    <row r="44" ht="12.75" customHeight="1" s="131">
      <c r="A44" s="137" t="n"/>
      <c r="B44" s="137" t="n"/>
      <c r="C44" s="137" t="inlineStr">
        <is>
          <t>Dividends Dispersed</t>
        </is>
      </c>
      <c r="D44" s="145" t="n"/>
      <c r="E44" s="145" t="n"/>
      <c r="F44" s="162">
        <f>'7. Beginning Balance Sheet'!F44</f>
        <v/>
      </c>
      <c r="G44" s="156" t="n"/>
      <c r="H44" s="156" t="n"/>
      <c r="I44" s="162">
        <f>'9. Cash Flow Statement'!Q28+F44</f>
        <v/>
      </c>
      <c r="J44" s="145" t="n"/>
      <c r="K44" s="145" t="n"/>
      <c r="L44" s="145" t="n"/>
      <c r="M44" s="145" t="n"/>
      <c r="N44" s="145" t="n"/>
      <c r="O44" s="145" t="n"/>
      <c r="P44" s="145" t="n"/>
      <c r="Q44" s="167" t="n"/>
      <c r="R44" s="167" t="n"/>
    </row>
    <row r="45" ht="12.75" customHeight="1" s="131">
      <c r="A45" s="137" t="n"/>
      <c r="B45" s="137" t="inlineStr">
        <is>
          <t>Total Owner's Equity</t>
        </is>
      </c>
      <c r="C45" s="137" t="n"/>
      <c r="D45" s="145" t="n"/>
      <c r="E45" s="145" t="n"/>
      <c r="F45" s="156">
        <f>F42+F43-F44</f>
        <v/>
      </c>
      <c r="G45" s="159" t="n"/>
      <c r="H45" s="156" t="n"/>
      <c r="I45" s="156">
        <f>I42+I43-I44</f>
        <v/>
      </c>
      <c r="J45" s="159" t="n"/>
      <c r="K45" s="145" t="n"/>
      <c r="L45" s="145" t="n"/>
      <c r="M45" s="145" t="n"/>
      <c r="N45" s="145" t="n"/>
      <c r="O45" s="145" t="n"/>
      <c r="P45" s="145" t="n"/>
    </row>
    <row r="46" ht="12.75" customHeight="1" s="131">
      <c r="A46" s="137" t="n"/>
      <c r="B46" s="137" t="n"/>
      <c r="C46" s="137" t="n"/>
      <c r="D46" s="145" t="n"/>
      <c r="E46" s="145" t="n"/>
      <c r="F46" s="162" t="n"/>
      <c r="G46" s="156" t="n"/>
      <c r="H46" s="156" t="n"/>
      <c r="I46" s="162" t="n"/>
      <c r="J46" s="145" t="n"/>
      <c r="K46" s="145" t="n"/>
      <c r="L46" s="145" t="n"/>
      <c r="M46" s="145" t="n"/>
      <c r="N46" s="145" t="n"/>
      <c r="O46" s="145" t="n"/>
      <c r="P46" s="145" t="n"/>
    </row>
    <row r="47" ht="15.95" customHeight="1" s="131">
      <c r="A47" s="137" t="inlineStr">
        <is>
          <t>Total Liabilities and Owner's Equity</t>
        </is>
      </c>
      <c r="B47" s="137" t="n"/>
      <c r="C47" s="137" t="n"/>
      <c r="D47" s="145" t="n"/>
      <c r="E47" s="145" t="n"/>
      <c r="F47" s="184">
        <f>INT(F39+F45)</f>
        <v/>
      </c>
      <c r="G47" s="159" t="n"/>
      <c r="H47" s="156" t="n"/>
      <c r="I47" s="184">
        <f>INT(I39+I45)</f>
        <v/>
      </c>
      <c r="J47" s="159" t="n"/>
      <c r="K47" s="145" t="n"/>
      <c r="L47" s="145" t="n"/>
      <c r="M47" s="145" t="n"/>
      <c r="N47" s="145" t="n"/>
      <c r="O47" s="145" t="n"/>
      <c r="P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row>
    <row r="50" ht="12.75" customHeight="1" s="131">
      <c r="A50" s="137" t="n"/>
      <c r="B50" s="137" t="n"/>
      <c r="C50" s="137" t="n"/>
      <c r="D50" s="145" t="n"/>
      <c r="E50" s="145" t="n"/>
      <c r="F50" s="189">
        <f>IF(F29=F47,"Statement Balances","Does Not Balance")</f>
        <v/>
      </c>
      <c r="G50" s="145" t="n"/>
      <c r="H50" s="145" t="n"/>
      <c r="I50" s="189">
        <f>IF(I29-I47=0,"Statement Balances","Does Not Balance")</f>
        <v/>
      </c>
      <c r="J50" s="145" t="n"/>
      <c r="K50" s="223" t="n"/>
      <c r="L50" s="145" t="n"/>
      <c r="M50" s="145" t="n"/>
      <c r="N50" s="145" t="n"/>
      <c r="O50" s="145" t="n"/>
      <c r="P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row>
    <row r="53" ht="12.75" customHeight="1" s="131"/>
    <row r="54" ht="12.75" customHeight="1" s="131"/>
    <row r="55" ht="12.75" customHeight="1" s="131">
      <c r="E55" s="130" t="n"/>
      <c r="F55" s="130" t="n"/>
      <c r="G55" s="130" t="n"/>
      <c r="H55" s="130" t="n"/>
      <c r="I55" s="130" t="n"/>
      <c r="J55" s="130" t="n"/>
      <c r="K55" s="130" t="n"/>
      <c r="L55" s="130" t="n"/>
      <c r="M55" s="130" t="n"/>
      <c r="N55" s="130" t="n"/>
      <c r="O55" s="130" t="n"/>
      <c r="P55" s="130" t="n"/>
      <c r="Q55" s="130" t="n"/>
      <c r="R55" s="130" t="n"/>
    </row>
    <row r="56" ht="12.75" customHeight="1" s="131">
      <c r="E56" s="130" t="n"/>
      <c r="F56" s="130" t="n"/>
      <c r="G56" s="130" t="n"/>
      <c r="H56" s="130" t="n"/>
      <c r="I56" s="130" t="n"/>
      <c r="J56" s="130" t="n"/>
      <c r="K56" s="130" t="n"/>
      <c r="L56" s="130" t="n"/>
      <c r="M56" s="130" t="n"/>
      <c r="N56" s="130" t="n"/>
      <c r="O56" s="130" t="n"/>
      <c r="P56" s="130" t="n"/>
      <c r="Q56" s="130" t="n"/>
      <c r="R56" s="130" t="n"/>
    </row>
    <row r="57" ht="12.75" customHeight="1" s="131">
      <c r="E57" s="130" t="n"/>
      <c r="F57" s="130" t="n"/>
      <c r="G57" s="130" t="n"/>
      <c r="H57" s="130" t="n"/>
      <c r="I57" s="130" t="n"/>
      <c r="J57" s="130" t="n"/>
      <c r="K57" s="130" t="n"/>
      <c r="L57" s="130" t="n"/>
      <c r="M57" s="130" t="n"/>
      <c r="N57" s="130" t="n"/>
      <c r="O57" s="130" t="n"/>
      <c r="P57" s="130" t="n"/>
      <c r="Q57" s="130" t="n"/>
      <c r="R57" s="130" t="n"/>
    </row>
    <row r="58" ht="12.75" customHeight="1" s="131">
      <c r="D58" s="167" t="n"/>
      <c r="E58" s="130" t="n"/>
      <c r="F58" s="130" t="n"/>
      <c r="G58" s="130" t="n"/>
      <c r="H58" s="130" t="n"/>
      <c r="I58" s="130" t="n"/>
      <c r="J58" s="130" t="n"/>
      <c r="K58" s="130" t="n"/>
      <c r="L58" s="130" t="n"/>
      <c r="M58" s="130" t="n"/>
      <c r="N58" s="130" t="n"/>
      <c r="O58" s="130" t="n"/>
      <c r="P58" s="130" t="n"/>
      <c r="Q58" s="130" t="n"/>
      <c r="R58" s="130" t="n"/>
    </row>
    <row r="59" ht="12.75" customHeight="1" s="131">
      <c r="D59" s="167" t="n"/>
      <c r="E59" s="130" t="n"/>
      <c r="F59" s="130" t="n"/>
      <c r="G59" s="130" t="n"/>
      <c r="H59" s="130" t="n"/>
      <c r="I59" s="130" t="n"/>
      <c r="J59" s="130" t="n"/>
      <c r="K59" s="130" t="n"/>
      <c r="L59" s="130" t="n"/>
      <c r="M59" s="130" t="n"/>
      <c r="N59" s="130" t="n"/>
      <c r="O59" s="130" t="n"/>
      <c r="P59" s="130" t="n"/>
      <c r="Q59" s="130" t="n"/>
      <c r="R59" s="130" t="n"/>
    </row>
    <row r="60" ht="12.75" customHeight="1" s="131">
      <c r="D60" s="167" t="n"/>
      <c r="E60" s="130" t="n"/>
      <c r="F60" s="130" t="n"/>
      <c r="G60" s="130" t="n"/>
      <c r="H60" s="130" t="n"/>
      <c r="I60" s="130" t="n"/>
      <c r="J60" s="130" t="n"/>
      <c r="K60" s="130" t="n"/>
      <c r="L60" s="130" t="n"/>
      <c r="M60" s="130" t="n"/>
      <c r="N60" s="130" t="n"/>
      <c r="O60" s="130" t="n"/>
      <c r="P60" s="130" t="n"/>
      <c r="Q60" s="130" t="n"/>
      <c r="R60" s="130" t="n"/>
    </row>
    <row r="61" ht="12.75" customHeight="1" s="131">
      <c r="D61" s="167" t="n"/>
      <c r="E61" s="130" t="n"/>
      <c r="F61" s="130" t="n"/>
      <c r="G61" s="130" t="n"/>
      <c r="H61" s="130" t="n"/>
      <c r="I61" s="130" t="n"/>
      <c r="J61" s="130" t="n"/>
      <c r="K61" s="130" t="n"/>
      <c r="L61" s="130" t="n"/>
      <c r="M61" s="130" t="n"/>
      <c r="N61" s="130" t="n"/>
      <c r="O61" s="130" t="n"/>
      <c r="P61" s="130" t="n"/>
      <c r="Q61" s="130" t="n"/>
      <c r="R61" s="130" t="n"/>
    </row>
    <row r="62" ht="12.75" customHeight="1" s="131">
      <c r="D62" s="167" t="n"/>
      <c r="E62" s="130" t="n"/>
      <c r="F62" s="130" t="n"/>
      <c r="G62" s="130" t="n"/>
      <c r="H62" s="130" t="n"/>
      <c r="I62" s="130" t="n"/>
      <c r="J62" s="130" t="n"/>
      <c r="K62" s="130" t="n"/>
      <c r="L62" s="130" t="n"/>
      <c r="M62" s="130" t="n"/>
      <c r="N62" s="130" t="n"/>
      <c r="O62" s="130" t="n"/>
      <c r="P62" s="130" t="n"/>
      <c r="Q62" s="130" t="n"/>
      <c r="R62" s="130" t="n"/>
    </row>
    <row r="63" ht="12.75" customHeight="1" s="131">
      <c r="E63" s="130" t="n"/>
      <c r="F63" s="130" t="n"/>
      <c r="G63" s="130" t="n"/>
      <c r="H63" s="130" t="n"/>
      <c r="I63" s="130" t="n"/>
      <c r="J63" s="130" t="n"/>
      <c r="K63" s="130" t="n"/>
      <c r="L63" s="130" t="n"/>
      <c r="M63" s="130" t="n"/>
      <c r="N63" s="130" t="n"/>
      <c r="O63" s="130" t="n"/>
      <c r="P63" s="130" t="n"/>
      <c r="Q63" s="130" t="n"/>
      <c r="R63" s="130" t="n"/>
    </row>
    <row r="64" ht="12.75" customHeight="1" s="131">
      <c r="E64" s="130" t="n"/>
      <c r="F64" s="130" t="n"/>
      <c r="G64" s="130" t="n"/>
      <c r="H64" s="130" t="n"/>
      <c r="I64" s="130" t="n"/>
      <c r="J64" s="130" t="n"/>
      <c r="K64" s="130" t="n"/>
      <c r="L64" s="130" t="n"/>
      <c r="M64" s="130" t="n"/>
      <c r="N64" s="130" t="n"/>
      <c r="O64" s="130" t="n"/>
      <c r="P64" s="130" t="n"/>
      <c r="Q64" s="130" t="n"/>
      <c r="R64" s="130" t="n"/>
    </row>
    <row r="65" ht="12.75" customHeight="1" s="131">
      <c r="E65" s="130" t="n"/>
      <c r="F65" s="130" t="n"/>
      <c r="G65" s="130" t="n"/>
      <c r="H65" s="130" t="n"/>
      <c r="I65" s="130" t="n"/>
      <c r="J65" s="130" t="n"/>
      <c r="K65" s="130" t="n"/>
      <c r="L65" s="130" t="n"/>
      <c r="M65" s="130" t="n"/>
      <c r="N65" s="130" t="n"/>
      <c r="O65" s="130" t="n"/>
      <c r="P65" s="130" t="n"/>
      <c r="Q65" s="130" t="n"/>
      <c r="R65" s="130" t="n"/>
    </row>
    <row r="66" ht="12.75" customHeight="1" s="131">
      <c r="E66" s="130" t="n"/>
      <c r="F66" s="130" t="n"/>
      <c r="G66" s="130" t="n"/>
      <c r="H66" s="130" t="n"/>
      <c r="I66" s="130" t="n"/>
      <c r="J66" s="130" t="n"/>
      <c r="K66" s="130" t="n"/>
      <c r="L66" s="130" t="n"/>
      <c r="M66" s="130" t="n"/>
      <c r="N66" s="130" t="n"/>
      <c r="O66" s="130" t="n"/>
      <c r="P66" s="130" t="n"/>
      <c r="Q66" s="130" t="n"/>
      <c r="R66" s="130" t="n"/>
    </row>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S70"/>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1"/>
  <cols>
    <col width="2.99" customWidth="1" style="168" min="1" max="3"/>
    <col width="22.75" customWidth="1" style="130" min="4" max="4"/>
    <col width="10.72" customWidth="1" style="130" min="5" max="5"/>
    <col width="20.74" customWidth="1" style="130" min="6" max="6"/>
    <col width="10.72" customWidth="1" style="130" min="7" max="8"/>
    <col width="20.74" customWidth="1" style="130" min="9" max="9"/>
    <col width="10.72" customWidth="1" style="130" min="10" max="11"/>
    <col width="20.74" customWidth="1" style="130" min="12" max="12"/>
    <col width="10.72" customWidth="1" style="130" min="13" max="18"/>
    <col width="15.73" customWidth="1" style="130" min="19" max="19"/>
  </cols>
  <sheetData>
    <row r="1" ht="15.75" customHeight="1" s="131">
      <c r="A1" s="142">
        <f>'1. Required Start-Up Funds'!A1</f>
        <v/>
      </c>
    </row>
    <row r="2" ht="15.75" customHeight="1" s="131">
      <c r="A2" s="142" t="inlineStr">
        <is>
          <t>Year End Summary</t>
        </is>
      </c>
    </row>
    <row r="3" ht="12.75" customHeight="1" s="131">
      <c r="A3" s="137" t="n"/>
      <c r="B3" s="137" t="n"/>
      <c r="C3" s="137" t="n"/>
      <c r="D3" s="145" t="n"/>
      <c r="E3" s="145" t="n"/>
      <c r="F3" s="145" t="n"/>
      <c r="G3" s="145" t="n"/>
      <c r="H3" s="145" t="n"/>
      <c r="I3" s="145" t="n"/>
      <c r="J3" s="145" t="n"/>
      <c r="K3" s="145" t="n"/>
      <c r="L3" s="145" t="n"/>
      <c r="M3" s="145" t="n"/>
      <c r="N3" s="145" t="n"/>
      <c r="O3" s="145" t="n"/>
      <c r="P3" s="167" t="n"/>
      <c r="Q3" s="167" t="n"/>
      <c r="R3" s="167" t="n"/>
      <c r="S3" s="167" t="n"/>
    </row>
    <row r="4" ht="12.75" customHeight="1" s="131">
      <c r="A4" s="137" t="n"/>
      <c r="B4" s="137" t="n"/>
      <c r="C4" s="137" t="n"/>
      <c r="D4" s="145" t="n"/>
      <c r="E4" s="145" t="n"/>
      <c r="F4" s="145" t="n"/>
      <c r="G4" s="145" t="n"/>
      <c r="H4" s="145" t="n"/>
      <c r="I4" s="145" t="n"/>
      <c r="J4" s="145" t="n"/>
      <c r="K4" s="145" t="n"/>
      <c r="L4" s="145" t="n"/>
      <c r="M4" s="145" t="n"/>
      <c r="N4" s="145" t="n"/>
      <c r="O4" s="145" t="n"/>
      <c r="P4" s="167" t="n"/>
      <c r="Q4" s="167" t="n"/>
      <c r="R4" s="167" t="n"/>
      <c r="S4" s="167" t="n"/>
    </row>
    <row r="5" ht="12.75" customHeight="1" s="131">
      <c r="A5" s="137" t="n"/>
      <c r="B5" s="137" t="n"/>
      <c r="C5" s="137" t="n"/>
      <c r="D5" s="145" t="n"/>
      <c r="E5" s="145" t="n"/>
      <c r="F5" s="145" t="n"/>
      <c r="G5" s="145" t="n"/>
      <c r="H5" s="145" t="n"/>
      <c r="I5" s="145" t="n"/>
      <c r="J5" s="145" t="n"/>
      <c r="K5" s="145" t="n"/>
      <c r="L5" s="145" t="n"/>
      <c r="M5" s="145" t="n"/>
      <c r="N5" s="145" t="n"/>
      <c r="O5" s="145" t="n"/>
      <c r="P5" s="167" t="n"/>
      <c r="Q5" s="167" t="n"/>
      <c r="R5" s="167" t="n"/>
      <c r="S5" s="167" t="n"/>
    </row>
    <row r="6" ht="12.75" customHeight="1" s="131">
      <c r="A6" s="137" t="n"/>
      <c r="B6" s="137" t="n"/>
      <c r="C6" s="137" t="n"/>
      <c r="D6" s="145" t="n"/>
      <c r="E6" s="140" t="n"/>
      <c r="F6" s="172" t="inlineStr">
        <is>
          <t>Year One</t>
        </is>
      </c>
      <c r="G6" s="171" t="inlineStr">
        <is>
          <t>%</t>
        </is>
      </c>
      <c r="H6" s="140" t="n"/>
      <c r="I6" s="172" t="inlineStr">
        <is>
          <t>Year Two</t>
        </is>
      </c>
      <c r="J6" s="171" t="inlineStr">
        <is>
          <t>%</t>
        </is>
      </c>
      <c r="K6" s="140" t="n"/>
      <c r="L6" s="172" t="inlineStr">
        <is>
          <t>Year Three</t>
        </is>
      </c>
      <c r="M6" s="171" t="inlineStr">
        <is>
          <t>%</t>
        </is>
      </c>
      <c r="N6" s="140" t="n"/>
      <c r="O6" s="140" t="n"/>
      <c r="P6" s="217" t="n"/>
      <c r="Q6" s="217" t="n"/>
      <c r="R6" s="217" t="n"/>
      <c r="S6" s="217" t="n"/>
    </row>
    <row r="7" ht="12.75" customHeight="1" s="131">
      <c r="A7" s="137" t="n"/>
      <c r="B7" s="137" t="n"/>
      <c r="C7" s="137" t="n"/>
      <c r="D7" s="145" t="n"/>
      <c r="E7" s="145" t="n"/>
      <c r="F7" s="145" t="n"/>
      <c r="G7" s="159" t="n"/>
      <c r="H7" s="145" t="n"/>
      <c r="I7" s="145" t="n"/>
      <c r="J7" s="145" t="n"/>
      <c r="K7" s="145" t="n"/>
      <c r="L7" s="145" t="n"/>
      <c r="M7" s="145" t="n"/>
      <c r="N7" s="145" t="n"/>
      <c r="O7" s="145" t="n"/>
      <c r="P7" s="167" t="n"/>
      <c r="Q7" s="167" t="n"/>
      <c r="R7" s="167" t="n"/>
      <c r="S7" s="167" t="n"/>
    </row>
    <row r="8" outlineLevel="1" ht="12.75" customHeight="1" s="131">
      <c r="A8" s="137">
        <f>'8. Income Statement'!A8</f>
        <v/>
      </c>
      <c r="B8" s="137" t="n"/>
      <c r="C8" s="137" t="n"/>
      <c r="D8" s="145" t="n"/>
      <c r="E8" s="145" t="n"/>
      <c r="F8" s="145" t="n"/>
      <c r="G8" s="159" t="n"/>
      <c r="H8" s="145" t="n"/>
      <c r="I8" s="145" t="n"/>
      <c r="J8" s="159" t="n"/>
      <c r="K8" s="145" t="n"/>
      <c r="L8" s="145" t="n"/>
      <c r="M8" s="159" t="n"/>
      <c r="N8" s="145" t="n"/>
      <c r="O8" s="145" t="n"/>
      <c r="P8" s="167" t="n"/>
      <c r="Q8" s="167" t="n"/>
      <c r="R8" s="167" t="n"/>
      <c r="S8" s="167" t="n"/>
    </row>
    <row r="9" outlineLevel="1" ht="12.75" customHeight="1" s="131">
      <c r="A9" s="137" t="n"/>
      <c r="B9" s="137">
        <f>'8. Income Statement'!B9</f>
        <v/>
      </c>
      <c r="C9" s="137" t="n"/>
      <c r="D9" s="145" t="n"/>
      <c r="E9" s="145" t="n"/>
      <c r="F9" s="156">
        <f>'8. Income Statement'!Q9</f>
        <v/>
      </c>
      <c r="G9" s="159" t="n"/>
      <c r="H9" s="145" t="n"/>
      <c r="I9" s="156">
        <f>'12. Income Statement (2)'!Q9</f>
        <v/>
      </c>
      <c r="J9" s="159" t="n"/>
      <c r="K9" s="145" t="n"/>
      <c r="L9" s="156">
        <f>'15. Income Statement (3)'!Q9</f>
        <v/>
      </c>
      <c r="M9" s="159" t="n"/>
      <c r="N9" s="145" t="n"/>
      <c r="O9" s="145" t="n"/>
      <c r="P9" s="167" t="n"/>
      <c r="Q9" s="167" t="n"/>
      <c r="R9" s="167" t="n"/>
      <c r="S9" s="167" t="n"/>
    </row>
    <row r="10" outlineLevel="1" ht="12.75" customHeight="1" s="131">
      <c r="A10" s="137" t="n"/>
      <c r="B10" s="137">
        <f>'8. Income Statement'!B10</f>
        <v/>
      </c>
      <c r="C10" s="137" t="n"/>
      <c r="D10" s="145" t="n"/>
      <c r="E10" s="145" t="n"/>
      <c r="F10" s="156">
        <f>'8. Income Statement'!Q10</f>
        <v/>
      </c>
      <c r="G10" s="159" t="n"/>
      <c r="H10" s="145" t="n"/>
      <c r="I10" s="156">
        <f>'12. Income Statement (2)'!Q10</f>
        <v/>
      </c>
      <c r="J10" s="159" t="n"/>
      <c r="K10" s="145" t="n"/>
      <c r="L10" s="156">
        <f>'15. Income Statement (3)'!Q10</f>
        <v/>
      </c>
      <c r="M10" s="159" t="n"/>
      <c r="N10" s="145" t="n"/>
      <c r="O10" s="145" t="n"/>
      <c r="P10" s="167" t="n"/>
      <c r="Q10" s="167" t="n"/>
      <c r="R10" s="167" t="n"/>
      <c r="S10" s="167" t="n"/>
    </row>
    <row r="11" outlineLevel="1" ht="12.75" customHeight="1" s="131">
      <c r="A11" s="137" t="n"/>
      <c r="B11" s="137">
        <f>'8. Income Statement'!B11</f>
        <v/>
      </c>
      <c r="C11" s="137" t="n"/>
      <c r="D11" s="145" t="n"/>
      <c r="E11" s="145" t="n"/>
      <c r="F11" s="156">
        <f>'8. Income Statement'!Q11</f>
        <v/>
      </c>
      <c r="G11" s="159" t="n"/>
      <c r="H11" s="145" t="n"/>
      <c r="I11" s="156">
        <f>'12. Income Statement (2)'!Q11</f>
        <v/>
      </c>
      <c r="J11" s="159" t="n"/>
      <c r="K11" s="145" t="n"/>
      <c r="L11" s="156">
        <f>'15. Income Statement (3)'!Q11</f>
        <v/>
      </c>
      <c r="M11" s="159" t="n"/>
      <c r="N11" s="145" t="n"/>
      <c r="O11" s="145" t="n"/>
      <c r="P11" s="167" t="n"/>
      <c r="Q11" s="167" t="n"/>
      <c r="R11" s="167" t="n"/>
      <c r="S11" s="167" t="n"/>
    </row>
    <row r="12" outlineLevel="1" ht="12.75" customHeight="1" s="131">
      <c r="A12" s="137" t="n"/>
      <c r="B12" s="137">
        <f>'8. Income Statement'!B12</f>
        <v/>
      </c>
      <c r="C12" s="137" t="n"/>
      <c r="D12" s="145" t="n"/>
      <c r="E12" s="145" t="n"/>
      <c r="F12" s="162">
        <f>'8. Income Statement'!Q12</f>
        <v/>
      </c>
      <c r="G12" s="159" t="n"/>
      <c r="H12" s="145" t="n"/>
      <c r="I12" s="162">
        <f>'12. Income Statement (2)'!Q12</f>
        <v/>
      </c>
      <c r="J12" s="159" t="n"/>
      <c r="K12" s="145" t="n"/>
      <c r="L12" s="162">
        <f>'15. Income Statement (3)'!Q12</f>
        <v/>
      </c>
      <c r="M12" s="159" t="n"/>
      <c r="N12" s="145" t="n"/>
      <c r="O12" s="145" t="n"/>
      <c r="P12" s="167" t="n"/>
      <c r="Q12" s="167" t="n"/>
      <c r="R12" s="167" t="n"/>
      <c r="S12" s="167" t="n"/>
    </row>
    <row r="13" ht="12.75" customHeight="1" s="131">
      <c r="A13" s="137">
        <f>'8. Income Statement'!A13</f>
        <v/>
      </c>
      <c r="B13" s="137" t="n"/>
      <c r="C13" s="137" t="n"/>
      <c r="D13" s="145" t="n"/>
      <c r="E13" s="145" t="n"/>
      <c r="F13" s="156">
        <f>'8. Income Statement'!Q13</f>
        <v/>
      </c>
      <c r="G13" s="159" t="n">
        <v>1</v>
      </c>
      <c r="H13" s="145" t="n"/>
      <c r="I13" s="182">
        <f>SUM(I9:I12)</f>
        <v/>
      </c>
      <c r="J13" s="159" t="n">
        <v>1</v>
      </c>
      <c r="K13" s="145" t="n"/>
      <c r="L13" s="182">
        <f>SUM(L9:L12)</f>
        <v/>
      </c>
      <c r="M13" s="159" t="n">
        <v>1</v>
      </c>
      <c r="N13" s="145" t="n"/>
      <c r="O13" s="145" t="n"/>
      <c r="P13" s="167" t="n"/>
      <c r="Q13" s="167" t="n"/>
      <c r="R13" s="167" t="n"/>
      <c r="S13" s="167" t="n"/>
    </row>
    <row r="14" ht="12.75" customHeight="1" s="131">
      <c r="A14" s="137" t="n"/>
      <c r="B14" s="137" t="n"/>
      <c r="C14" s="137" t="n"/>
      <c r="D14" s="145" t="n"/>
      <c r="E14" s="145" t="n"/>
      <c r="F14" s="145" t="n"/>
      <c r="G14" s="159" t="n"/>
      <c r="H14" s="145" t="n"/>
      <c r="I14" s="145" t="n"/>
      <c r="J14" s="159" t="n"/>
      <c r="K14" s="145" t="n"/>
      <c r="L14" s="145" t="n"/>
      <c r="M14" s="159" t="n"/>
      <c r="N14" s="145" t="n"/>
      <c r="O14" s="145" t="n"/>
      <c r="P14" s="167" t="n"/>
      <c r="Q14" s="167" t="n"/>
      <c r="R14" s="167" t="n"/>
      <c r="S14" s="167" t="n"/>
    </row>
    <row r="15" outlineLevel="1" ht="12.75" customHeight="1" s="131">
      <c r="A15" s="137">
        <f>'8. Income Statement'!A15</f>
        <v/>
      </c>
      <c r="B15" s="137" t="n"/>
      <c r="C15" s="137" t="n"/>
      <c r="D15" s="145" t="n"/>
      <c r="E15" s="156" t="n"/>
      <c r="F15" s="156" t="n"/>
      <c r="G15" s="159" t="n"/>
      <c r="H15" s="156" t="n"/>
      <c r="I15" s="156" t="n"/>
      <c r="J15" s="159" t="n"/>
      <c r="K15" s="156" t="n"/>
      <c r="L15" s="156" t="n"/>
      <c r="M15" s="159" t="n"/>
      <c r="N15" s="156" t="n"/>
      <c r="O15" s="156" t="n"/>
      <c r="P15" s="207" t="n"/>
      <c r="Q15" s="207" t="n"/>
      <c r="R15" s="207" t="n"/>
      <c r="S15" s="207" t="n"/>
    </row>
    <row r="16" outlineLevel="1" ht="12.75" customHeight="1" s="131">
      <c r="A16" s="137" t="n"/>
      <c r="B16" s="137">
        <f>'8. Income Statement'!B16</f>
        <v/>
      </c>
      <c r="C16" s="137" t="n"/>
      <c r="D16" s="145" t="n"/>
      <c r="E16" s="156" t="n"/>
      <c r="F16" s="156">
        <f>'8. Income Statement'!Q16</f>
        <v/>
      </c>
      <c r="G16" s="159" t="n"/>
      <c r="H16" s="156" t="n"/>
      <c r="I16" s="156">
        <f>'12. Income Statement (2)'!Q16</f>
        <v/>
      </c>
      <c r="J16" s="159" t="n"/>
      <c r="K16" s="156" t="n"/>
      <c r="L16" s="156">
        <f>'15. Income Statement (3)'!Q16</f>
        <v/>
      </c>
      <c r="M16" s="159" t="n"/>
      <c r="N16" s="156" t="n"/>
      <c r="O16" s="156" t="n"/>
      <c r="P16" s="207" t="n"/>
      <c r="Q16" s="207" t="n"/>
      <c r="R16" s="207" t="n"/>
      <c r="S16" s="207" t="n"/>
    </row>
    <row r="17" outlineLevel="1" ht="12.75" customHeight="1" s="131">
      <c r="A17" s="137" t="n"/>
      <c r="B17" s="137">
        <f>'8. Income Statement'!B17</f>
        <v/>
      </c>
      <c r="C17" s="137" t="n"/>
      <c r="D17" s="145" t="n"/>
      <c r="E17" s="182" t="n"/>
      <c r="F17" s="156">
        <f>'8. Income Statement'!Q17</f>
        <v/>
      </c>
      <c r="G17" s="159" t="n"/>
      <c r="H17" s="182" t="n"/>
      <c r="I17" s="156">
        <f>'12. Income Statement (2)'!Q17</f>
        <v/>
      </c>
      <c r="J17" s="159" t="n"/>
      <c r="K17" s="182" t="n"/>
      <c r="L17" s="156">
        <f>'15. Income Statement (3)'!Q17</f>
        <v/>
      </c>
      <c r="M17" s="159" t="n"/>
      <c r="N17" s="182" t="n"/>
      <c r="O17" s="182" t="n"/>
      <c r="P17" s="208" t="n"/>
      <c r="Q17" s="208" t="n"/>
      <c r="R17" s="208" t="n"/>
      <c r="S17" s="208" t="n"/>
    </row>
    <row r="18" outlineLevel="1" ht="12.75" customHeight="1" s="131">
      <c r="A18" s="137" t="n"/>
      <c r="B18" s="137">
        <f>'8. Income Statement'!B18</f>
        <v/>
      </c>
      <c r="C18" s="137" t="n"/>
      <c r="D18" s="145" t="n"/>
      <c r="E18" s="182" t="n"/>
      <c r="F18" s="156">
        <f>'8. Income Statement'!Q18</f>
        <v/>
      </c>
      <c r="G18" s="159" t="n"/>
      <c r="H18" s="182" t="n"/>
      <c r="I18" s="156">
        <f>'12. Income Statement (2)'!Q18</f>
        <v/>
      </c>
      <c r="J18" s="159" t="n"/>
      <c r="K18" s="182" t="n"/>
      <c r="L18" s="156">
        <f>'15. Income Statement (3)'!Q18</f>
        <v/>
      </c>
      <c r="M18" s="159" t="n"/>
      <c r="N18" s="182" t="n"/>
      <c r="O18" s="182" t="n"/>
      <c r="P18" s="208" t="n"/>
      <c r="Q18" s="208" t="n"/>
      <c r="R18" s="208" t="n"/>
      <c r="S18" s="208" t="n"/>
    </row>
    <row r="19" outlineLevel="1" ht="12.75" customHeight="1" s="131">
      <c r="A19" s="137" t="n"/>
      <c r="B19" s="137">
        <f>'8. Income Statement'!B19</f>
        <v/>
      </c>
      <c r="C19" s="137" t="n"/>
      <c r="D19" s="145" t="n"/>
      <c r="E19" s="156" t="n"/>
      <c r="F19" s="162">
        <f>'8. Income Statement'!Q19</f>
        <v/>
      </c>
      <c r="G19" s="224" t="n"/>
      <c r="H19" s="156" t="n"/>
      <c r="I19" s="162">
        <f>'12. Income Statement (2)'!Q19</f>
        <v/>
      </c>
      <c r="J19" s="224" t="n"/>
      <c r="K19" s="156" t="n"/>
      <c r="L19" s="162">
        <f>'15. Income Statement (3)'!Q19</f>
        <v/>
      </c>
      <c r="M19" s="224" t="n"/>
      <c r="N19" s="156" t="n"/>
      <c r="O19" s="156" t="n"/>
      <c r="P19" s="207" t="n"/>
      <c r="Q19" s="207" t="n"/>
      <c r="R19" s="207" t="n"/>
      <c r="S19" s="207" t="n"/>
    </row>
    <row r="20" ht="12.75" customHeight="1" s="131">
      <c r="A20" s="137">
        <f>'8. Income Statement'!A20</f>
        <v/>
      </c>
      <c r="B20" s="137" t="n"/>
      <c r="C20" s="137" t="n"/>
      <c r="D20" s="145" t="n"/>
      <c r="E20" s="156" t="n"/>
      <c r="F20" s="156">
        <f>SUM(F16:F19)</f>
        <v/>
      </c>
      <c r="G20" s="159">
        <f>IF(F20=0,0,F20/F13)</f>
        <v/>
      </c>
      <c r="H20" s="156" t="n"/>
      <c r="I20" s="156">
        <f>SUM(I16:I19)</f>
        <v/>
      </c>
      <c r="J20" s="159">
        <f>IF(I20=0,0,I20/I13)</f>
        <v/>
      </c>
      <c r="K20" s="156" t="n"/>
      <c r="L20" s="156">
        <f>SUM(L16:L19)</f>
        <v/>
      </c>
      <c r="M20" s="159">
        <f>IF(L20=0,0,L20/L13)</f>
        <v/>
      </c>
      <c r="N20" s="156" t="n"/>
      <c r="O20" s="156" t="n"/>
      <c r="P20" s="207" t="n"/>
      <c r="Q20" s="207" t="n"/>
      <c r="R20" s="207" t="n"/>
      <c r="S20" s="207" t="n"/>
    </row>
    <row r="21" ht="12.75" customHeight="1" s="131">
      <c r="A21" s="137" t="n"/>
      <c r="B21" s="137" t="n"/>
      <c r="C21" s="137" t="n"/>
      <c r="D21" s="145" t="n"/>
      <c r="E21" s="182" t="n"/>
      <c r="F21" s="182" t="n"/>
      <c r="G21" s="159" t="n"/>
      <c r="H21" s="182" t="n"/>
      <c r="I21" s="182" t="n"/>
      <c r="J21" s="159" t="n"/>
      <c r="K21" s="182" t="n"/>
      <c r="L21" s="182" t="n"/>
      <c r="M21" s="159" t="n"/>
      <c r="N21" s="182" t="n"/>
      <c r="O21" s="182" t="n"/>
      <c r="P21" s="208" t="n"/>
      <c r="Q21" s="208" t="n"/>
      <c r="R21" s="208" t="n"/>
      <c r="S21" s="208" t="n"/>
    </row>
    <row r="22" ht="12.75" customHeight="1" s="131">
      <c r="A22" s="137">
        <f>'8. Income Statement'!A22</f>
        <v/>
      </c>
      <c r="B22" s="137" t="n"/>
      <c r="C22" s="137" t="n"/>
      <c r="D22" s="145" t="n"/>
      <c r="E22" s="182" t="n"/>
      <c r="F22" s="218">
        <f>'8. Income Statement'!Q22</f>
        <v/>
      </c>
      <c r="G22" s="159">
        <f>IF(F22=0,0,F22/F13)</f>
        <v/>
      </c>
      <c r="H22" s="182" t="n"/>
      <c r="I22" s="218">
        <f>'12. Income Statement (2)'!Q22</f>
        <v/>
      </c>
      <c r="J22" s="159">
        <f>IF(I22=0,0,I22/I13)</f>
        <v/>
      </c>
      <c r="K22" s="182" t="n"/>
      <c r="L22" s="218">
        <f>'15. Income Statement (3)'!Q22</f>
        <v/>
      </c>
      <c r="M22" s="159">
        <f>IF(L22=0,0,L22/L13)</f>
        <v/>
      </c>
      <c r="N22" s="182" t="n"/>
      <c r="O22" s="182" t="n"/>
      <c r="P22" s="208" t="n"/>
      <c r="Q22" s="208" t="n"/>
      <c r="R22" s="208" t="n"/>
      <c r="S22" s="208" t="n"/>
    </row>
    <row r="23" ht="12.75" customHeight="1" s="131">
      <c r="A23" s="137" t="n"/>
      <c r="B23" s="137" t="n"/>
      <c r="C23" s="137" t="n"/>
      <c r="D23" s="145" t="n"/>
      <c r="E23" s="182" t="n"/>
      <c r="F23" s="182" t="n"/>
      <c r="G23" s="159" t="n"/>
      <c r="H23" s="182" t="n"/>
      <c r="I23" s="182" t="n"/>
      <c r="J23" s="159" t="n"/>
      <c r="K23" s="182" t="n"/>
      <c r="L23" s="182" t="n"/>
      <c r="M23" s="159" t="n"/>
      <c r="N23" s="182" t="n"/>
      <c r="O23" s="182" t="n"/>
      <c r="P23" s="208" t="n"/>
      <c r="Q23" s="208" t="n"/>
      <c r="R23" s="208" t="n"/>
      <c r="S23" s="208" t="n"/>
    </row>
    <row r="24" hidden="1" outlineLevel="1" ht="12.75" customHeight="1" s="131">
      <c r="A24" s="137">
        <f>'8. Income Statement'!A24</f>
        <v/>
      </c>
      <c r="B24" s="137" t="n"/>
      <c r="C24" s="137" t="n"/>
      <c r="D24" s="145" t="n"/>
      <c r="E24" s="156" t="n"/>
      <c r="F24" s="156" t="n"/>
      <c r="G24" s="159" t="n"/>
      <c r="H24" s="156" t="n"/>
      <c r="I24" s="156" t="n"/>
      <c r="J24" s="159" t="n"/>
      <c r="K24" s="156" t="n"/>
      <c r="L24" s="156" t="n"/>
      <c r="M24" s="159" t="n"/>
      <c r="N24" s="156" t="n"/>
      <c r="O24" s="156" t="n"/>
      <c r="P24" s="207" t="n"/>
      <c r="Q24" s="207" t="n"/>
      <c r="R24" s="207" t="n"/>
      <c r="S24" s="207" t="n"/>
    </row>
    <row r="25" hidden="1" outlineLevel="1" ht="12.75" customHeight="1" s="131">
      <c r="A25" s="137" t="n"/>
      <c r="B25" s="137">
        <f>'8. Income Statement'!B25</f>
        <v/>
      </c>
      <c r="C25" s="137" t="n"/>
      <c r="D25" s="145" t="n"/>
      <c r="E25" s="156" t="n"/>
      <c r="F25" s="156">
        <f>'8. Income Statement'!Q25</f>
        <v/>
      </c>
      <c r="G25" s="159" t="n"/>
      <c r="H25" s="156" t="n"/>
      <c r="I25" s="156">
        <f>'12. Income Statement (2)'!Q25</f>
        <v/>
      </c>
      <c r="J25" s="159" t="n"/>
      <c r="K25" s="156" t="n"/>
      <c r="L25" s="156">
        <f>'15. Income Statement (3)'!Q25</f>
        <v/>
      </c>
      <c r="M25" s="159" t="n"/>
      <c r="N25" s="156" t="n"/>
      <c r="O25" s="156" t="n"/>
      <c r="P25" s="207" t="n"/>
      <c r="Q25" s="207" t="n"/>
      <c r="R25" s="207" t="n"/>
      <c r="S25" s="207" t="n"/>
    </row>
    <row r="26" hidden="1" outlineLevel="1" ht="12.75" customHeight="1" s="131">
      <c r="A26" s="137" t="n"/>
      <c r="B26" s="137">
        <f>'8. Income Statement'!B26</f>
        <v/>
      </c>
      <c r="C26" s="137" t="n"/>
      <c r="D26" s="145" t="n"/>
      <c r="E26" s="182" t="n"/>
      <c r="F26" s="156">
        <f>'8. Income Statement'!Q26</f>
        <v/>
      </c>
      <c r="G26" s="159" t="n"/>
      <c r="H26" s="182" t="n"/>
      <c r="I26" s="156">
        <f>'12. Income Statement (2)'!Q26</f>
        <v/>
      </c>
      <c r="J26" s="159" t="n"/>
      <c r="K26" s="182" t="n"/>
      <c r="L26" s="156">
        <f>'15. Income Statement (3)'!Q26</f>
        <v/>
      </c>
      <c r="M26" s="159" t="n"/>
      <c r="N26" s="182" t="n"/>
      <c r="O26" s="182" t="n"/>
      <c r="P26" s="208" t="n"/>
      <c r="Q26" s="208" t="n"/>
      <c r="R26" s="208" t="n"/>
      <c r="S26" s="208" t="n"/>
    </row>
    <row r="27" hidden="1" outlineLevel="1" ht="12.75" customHeight="1" s="131">
      <c r="A27" s="137" t="n"/>
      <c r="B27" s="137">
        <f>'8. Income Statement'!B27</f>
        <v/>
      </c>
      <c r="C27" s="137" t="n"/>
      <c r="D27" s="145" t="n"/>
      <c r="E27" s="145" t="n"/>
      <c r="F27" s="156">
        <f>'8. Income Statement'!Q27</f>
        <v/>
      </c>
      <c r="G27" s="159" t="n"/>
      <c r="H27" s="145" t="n"/>
      <c r="I27" s="156">
        <f>'12. Income Statement (2)'!Q27</f>
        <v/>
      </c>
      <c r="J27" s="159" t="n"/>
      <c r="K27" s="145" t="n"/>
      <c r="L27" s="156">
        <f>'15. Income Statement (3)'!Q27</f>
        <v/>
      </c>
      <c r="M27" s="159" t="n"/>
      <c r="N27" s="145" t="n"/>
      <c r="O27" s="145" t="n"/>
      <c r="P27" s="167" t="n"/>
      <c r="Q27" s="167" t="n"/>
      <c r="R27" s="167" t="n"/>
      <c r="S27" s="167" t="n"/>
    </row>
    <row r="28" hidden="1" outlineLevel="1" ht="12.75" customHeight="1" s="131">
      <c r="A28" s="137" t="n"/>
      <c r="B28" s="137">
        <f>'8. Income Statement'!B28</f>
        <v/>
      </c>
      <c r="C28" s="137" t="n"/>
      <c r="D28" s="145" t="n"/>
      <c r="E28" s="145" t="n"/>
      <c r="F28" s="156">
        <f>'8. Income Statement'!Q28</f>
        <v/>
      </c>
      <c r="G28" s="159" t="n"/>
      <c r="H28" s="145" t="n"/>
      <c r="I28" s="156">
        <f>'12. Income Statement (2)'!Q28</f>
        <v/>
      </c>
      <c r="J28" s="159" t="n"/>
      <c r="K28" s="145" t="n"/>
      <c r="L28" s="156">
        <f>'15. Income Statement (3)'!Q28</f>
        <v/>
      </c>
      <c r="M28" s="159" t="n"/>
      <c r="N28" s="145" t="n"/>
      <c r="O28" s="145" t="n"/>
      <c r="P28" s="167" t="n"/>
      <c r="Q28" s="167" t="n"/>
      <c r="R28" s="167" t="n"/>
      <c r="S28" s="167" t="n"/>
    </row>
    <row r="29" hidden="1" outlineLevel="1" ht="12.75" customHeight="1" s="131">
      <c r="A29" s="137" t="n"/>
      <c r="B29" s="137">
        <f>'8. Income Statement'!B29</f>
        <v/>
      </c>
      <c r="C29" s="137" t="n"/>
      <c r="D29" s="145" t="n"/>
      <c r="E29" s="145" t="n"/>
      <c r="F29" s="156">
        <f>'8. Income Statement'!Q29</f>
        <v/>
      </c>
      <c r="G29" s="159" t="n"/>
      <c r="H29" s="145" t="n"/>
      <c r="I29" s="156">
        <f>'12. Income Statement (2)'!Q29</f>
        <v/>
      </c>
      <c r="J29" s="159" t="n"/>
      <c r="K29" s="145" t="n"/>
      <c r="L29" s="156">
        <f>'15. Income Statement (3)'!Q29</f>
        <v/>
      </c>
      <c r="M29" s="159" t="n"/>
      <c r="N29" s="145" t="n"/>
      <c r="O29" s="145" t="n"/>
      <c r="P29" s="167" t="n"/>
      <c r="Q29" s="167" t="n"/>
      <c r="R29" s="167" t="n"/>
      <c r="S29" s="167" t="n"/>
    </row>
    <row r="30" hidden="1" outlineLevel="1" ht="12.75" customHeight="1" s="131">
      <c r="A30" s="137" t="n"/>
      <c r="B30" s="137">
        <f>'8. Income Statement'!B30</f>
        <v/>
      </c>
      <c r="C30" s="137" t="n"/>
      <c r="D30" s="145" t="n"/>
      <c r="E30" s="145" t="n"/>
      <c r="F30" s="162">
        <f>'8. Income Statement'!Q30</f>
        <v/>
      </c>
      <c r="G30" s="159" t="n"/>
      <c r="H30" s="145" t="n"/>
      <c r="I30" s="162">
        <f>'12. Income Statement (2)'!Q30</f>
        <v/>
      </c>
      <c r="J30" s="159" t="n"/>
      <c r="K30" s="145" t="n"/>
      <c r="L30" s="162">
        <f>'15. Income Statement (3)'!Q30</f>
        <v/>
      </c>
      <c r="M30" s="159" t="n"/>
      <c r="N30" s="145" t="n"/>
      <c r="O30" s="145" t="n"/>
      <c r="P30" s="167" t="n"/>
      <c r="Q30" s="167" t="n"/>
      <c r="R30" s="167" t="n"/>
      <c r="S30" s="167" t="n"/>
    </row>
    <row r="31" ht="12.75" customHeight="1" s="131">
      <c r="A31" s="137">
        <f>'8. Income Statement'!A31</f>
        <v/>
      </c>
      <c r="B31" s="137" t="n"/>
      <c r="C31" s="137" t="n"/>
      <c r="D31" s="145" t="n"/>
      <c r="E31" s="145" t="n"/>
      <c r="F31" s="182">
        <f>SUM(F25:F30)</f>
        <v/>
      </c>
      <c r="G31" s="159">
        <f>IF(F31=0,0,F31/F13)</f>
        <v/>
      </c>
      <c r="H31" s="145" t="n"/>
      <c r="I31" s="182">
        <f>SUM(I25:I30)</f>
        <v/>
      </c>
      <c r="J31" s="159">
        <f>IF(I31=0,0,I31/I13)</f>
        <v/>
      </c>
      <c r="K31" s="145" t="n"/>
      <c r="L31" s="182">
        <f>SUM(L25:L30)</f>
        <v/>
      </c>
      <c r="M31" s="159">
        <f>IF(L31=0,0,L31/L13)</f>
        <v/>
      </c>
      <c r="N31" s="145" t="n"/>
      <c r="O31" s="145" t="n"/>
      <c r="P31" s="167" t="n"/>
      <c r="Q31" s="167" t="n"/>
      <c r="R31" s="167" t="n"/>
      <c r="S31" s="167" t="n"/>
    </row>
    <row r="32" ht="12.75" customHeight="1" s="131">
      <c r="A32" s="137" t="n"/>
      <c r="B32" s="137" t="n"/>
      <c r="C32" s="137" t="n"/>
      <c r="D32" s="145" t="n"/>
      <c r="E32" s="145" t="n"/>
      <c r="F32" s="145" t="n"/>
      <c r="G32" s="159" t="n"/>
      <c r="H32" s="145" t="n"/>
      <c r="I32" s="145" t="n"/>
      <c r="J32" s="159" t="n"/>
      <c r="K32" s="145" t="n"/>
      <c r="L32" s="145" t="n"/>
      <c r="M32" s="159" t="n"/>
      <c r="N32" s="145" t="n"/>
      <c r="O32" s="145" t="n"/>
      <c r="P32" s="167" t="n"/>
      <c r="Q32" s="167" t="n"/>
      <c r="R32" s="167" t="n"/>
      <c r="S32" s="167" t="n"/>
    </row>
    <row r="33" outlineLevel="1" ht="12.75" customHeight="1" s="131">
      <c r="A33" s="137">
        <f>'8. Income Statement'!A33</f>
        <v/>
      </c>
      <c r="B33" s="137" t="n"/>
      <c r="C33" s="137" t="n"/>
      <c r="D33" s="145" t="n"/>
      <c r="E33" s="145" t="n"/>
      <c r="F33" s="145" t="n"/>
      <c r="G33" s="159" t="n"/>
      <c r="H33" s="145" t="n"/>
      <c r="I33" s="145" t="n"/>
      <c r="J33" s="159" t="n"/>
      <c r="K33" s="145" t="n"/>
      <c r="L33" s="145" t="n"/>
      <c r="M33" s="159" t="n"/>
      <c r="N33" s="145" t="n"/>
      <c r="O33" s="145" t="n"/>
      <c r="P33" s="167" t="n"/>
      <c r="Q33" s="167" t="n"/>
      <c r="R33" s="167" t="n"/>
      <c r="S33" s="167" t="n"/>
    </row>
    <row r="34" outlineLevel="1" ht="12.75" customHeight="1" s="131">
      <c r="A34" s="137" t="n"/>
      <c r="B34" s="137">
        <f>'8. Income Statement'!B34</f>
        <v/>
      </c>
      <c r="C34" s="137" t="n"/>
      <c r="D34" s="145" t="n"/>
      <c r="E34" s="145" t="n"/>
      <c r="F34" s="156">
        <f>'8. Income Statement'!Q34</f>
        <v/>
      </c>
      <c r="G34" s="159" t="n"/>
      <c r="H34" s="145" t="n"/>
      <c r="I34" s="156">
        <f>'12. Income Statement (2)'!Q34</f>
        <v/>
      </c>
      <c r="J34" s="159" t="n"/>
      <c r="K34" s="145" t="n"/>
      <c r="L34" s="156">
        <f>'15. Income Statement (3)'!Q34</f>
        <v/>
      </c>
      <c r="M34" s="159" t="n"/>
      <c r="N34" s="145" t="n"/>
      <c r="O34" s="145" t="n"/>
      <c r="P34" s="167" t="n"/>
      <c r="Q34" s="167" t="n"/>
      <c r="R34" s="167" t="n"/>
      <c r="S34" s="167" t="n"/>
    </row>
    <row r="35" outlineLevel="1" ht="12.75" customHeight="1" s="131">
      <c r="A35" s="137" t="n"/>
      <c r="B35" s="137">
        <f>'8. Income Statement'!B35</f>
        <v/>
      </c>
      <c r="C35" s="137" t="n"/>
      <c r="D35" s="145" t="n"/>
      <c r="E35" s="156" t="n"/>
      <c r="F35" s="156">
        <f>'8. Income Statement'!Q35</f>
        <v/>
      </c>
      <c r="G35" s="159" t="n"/>
      <c r="H35" s="156" t="n"/>
      <c r="I35" s="156">
        <f>'12. Income Statement (2)'!Q35</f>
        <v/>
      </c>
      <c r="J35" s="159" t="n"/>
      <c r="K35" s="156" t="n"/>
      <c r="L35" s="156">
        <f>'15. Income Statement (3)'!Q35</f>
        <v/>
      </c>
      <c r="M35" s="159" t="n"/>
      <c r="N35" s="156" t="n"/>
      <c r="O35" s="156" t="n"/>
      <c r="P35" s="207" t="n"/>
      <c r="Q35" s="207" t="n"/>
      <c r="R35" s="207" t="n"/>
      <c r="S35" s="207" t="n"/>
    </row>
    <row r="36" outlineLevel="1" ht="12.75" customHeight="1" s="131">
      <c r="A36" s="137" t="n"/>
      <c r="B36" s="137">
        <f>'8. Income Statement'!B36</f>
        <v/>
      </c>
      <c r="C36" s="137" t="n"/>
      <c r="D36" s="145" t="n"/>
      <c r="E36" s="182" t="n"/>
      <c r="F36" s="156">
        <f>'8. Income Statement'!Q36</f>
        <v/>
      </c>
      <c r="G36" s="159" t="n"/>
      <c r="H36" s="182" t="n"/>
      <c r="I36" s="156">
        <f>'12. Income Statement (2)'!Q36</f>
        <v/>
      </c>
      <c r="J36" s="159" t="n"/>
      <c r="K36" s="182" t="n"/>
      <c r="L36" s="156">
        <f>'15. Income Statement (3)'!Q36</f>
        <v/>
      </c>
      <c r="M36" s="159" t="n"/>
      <c r="N36" s="182" t="n"/>
      <c r="O36" s="182" t="n"/>
      <c r="P36" s="208" t="n"/>
      <c r="Q36" s="208" t="n"/>
      <c r="R36" s="208" t="n"/>
      <c r="S36" s="167" t="n"/>
    </row>
    <row r="37" outlineLevel="1" ht="12.75" customHeight="1" s="131">
      <c r="A37" s="137" t="n"/>
      <c r="B37" s="137">
        <f>'8. Income Statement'!B37</f>
        <v/>
      </c>
      <c r="C37" s="137" t="n"/>
      <c r="D37" s="145" t="n"/>
      <c r="E37" s="145" t="n"/>
      <c r="F37" s="156">
        <f>'8. Income Statement'!Q37</f>
        <v/>
      </c>
      <c r="G37" s="159" t="n"/>
      <c r="H37" s="145" t="n"/>
      <c r="I37" s="156">
        <f>'12. Income Statement (2)'!Q37</f>
        <v/>
      </c>
      <c r="J37" s="159" t="n"/>
      <c r="K37" s="145" t="n"/>
      <c r="L37" s="156">
        <f>'15. Income Statement (3)'!Q37</f>
        <v/>
      </c>
      <c r="M37" s="159" t="n"/>
      <c r="N37" s="145" t="n"/>
      <c r="O37" s="145" t="n"/>
      <c r="P37" s="167" t="n"/>
      <c r="Q37" s="167" t="n"/>
      <c r="R37" s="167" t="n"/>
      <c r="S37" s="167" t="n"/>
    </row>
    <row r="38" outlineLevel="1" ht="12.75" customHeight="1" s="131">
      <c r="A38" s="137" t="n"/>
      <c r="B38" s="137">
        <f>'8. Income Statement'!B38</f>
        <v/>
      </c>
      <c r="C38" s="137" t="n"/>
      <c r="D38" s="145" t="n"/>
      <c r="E38" s="145" t="n"/>
      <c r="F38" s="156">
        <f>'8. Income Statement'!Q38</f>
        <v/>
      </c>
      <c r="G38" s="159" t="n"/>
      <c r="H38" s="145" t="n"/>
      <c r="I38" s="156">
        <f>'12. Income Statement (2)'!Q38</f>
        <v/>
      </c>
      <c r="J38" s="159" t="n"/>
      <c r="K38" s="145" t="n"/>
      <c r="L38" s="156">
        <f>'15. Income Statement (3)'!Q38</f>
        <v/>
      </c>
      <c r="M38" s="159" t="n"/>
      <c r="N38" s="145" t="n"/>
      <c r="O38" s="145" t="n"/>
      <c r="P38" s="167" t="n"/>
      <c r="Q38" s="167" t="n"/>
      <c r="R38" s="167" t="n"/>
      <c r="S38" s="167" t="n"/>
    </row>
    <row r="39" outlineLevel="1" ht="12.75" customHeight="1" s="131">
      <c r="A39" s="137" t="n"/>
      <c r="B39" s="137">
        <f>'8. Income Statement'!B39</f>
        <v/>
      </c>
      <c r="C39" s="137" t="n"/>
      <c r="D39" s="145" t="n"/>
      <c r="E39" s="145" t="n"/>
      <c r="F39" s="156">
        <f>'8. Income Statement'!Q39</f>
        <v/>
      </c>
      <c r="G39" s="159" t="n"/>
      <c r="H39" s="145" t="n"/>
      <c r="I39" s="156">
        <f>'12. Income Statement (2)'!Q39</f>
        <v/>
      </c>
      <c r="J39" s="159" t="n"/>
      <c r="K39" s="145" t="n"/>
      <c r="L39" s="156">
        <f>'15. Income Statement (3)'!Q39</f>
        <v/>
      </c>
      <c r="M39" s="159" t="n"/>
      <c r="N39" s="145" t="n"/>
      <c r="O39" s="145" t="n"/>
      <c r="P39" s="167" t="n"/>
      <c r="Q39" s="167" t="n"/>
      <c r="R39" s="167" t="n"/>
      <c r="S39" s="167" t="n"/>
    </row>
    <row r="40" outlineLevel="1" ht="12.75" customHeight="1" s="131">
      <c r="A40" s="137" t="n"/>
      <c r="B40" s="137">
        <f>'8. Income Statement'!B40</f>
        <v/>
      </c>
      <c r="C40" s="137" t="n"/>
      <c r="D40" s="145" t="n"/>
      <c r="E40" s="145" t="n"/>
      <c r="F40" s="156">
        <f>'8. Income Statement'!Q40</f>
        <v/>
      </c>
      <c r="G40" s="159" t="n"/>
      <c r="H40" s="145" t="n"/>
      <c r="I40" s="156">
        <f>'12. Income Statement (2)'!Q40</f>
        <v/>
      </c>
      <c r="J40" s="159" t="n"/>
      <c r="K40" s="145" t="n"/>
      <c r="L40" s="156">
        <f>'15. Income Statement (3)'!Q40</f>
        <v/>
      </c>
      <c r="M40" s="159" t="n"/>
      <c r="N40" s="145" t="n"/>
      <c r="O40" s="145" t="n"/>
      <c r="P40" s="167" t="n"/>
      <c r="Q40" s="167" t="n"/>
      <c r="R40" s="167" t="n"/>
      <c r="S40" s="167" t="n"/>
    </row>
    <row r="41" outlineLevel="1" ht="12.75" customHeight="1" s="131">
      <c r="A41" s="137" t="n"/>
      <c r="B41" s="137">
        <f>'8. Income Statement'!B41</f>
        <v/>
      </c>
      <c r="C41" s="137" t="n"/>
      <c r="D41" s="145" t="n"/>
      <c r="E41" s="145" t="n"/>
      <c r="F41" s="156">
        <f>'8. Income Statement'!Q41</f>
        <v/>
      </c>
      <c r="G41" s="159" t="n"/>
      <c r="H41" s="145" t="n"/>
      <c r="I41" s="156">
        <f>'12. Income Statement (2)'!Q41</f>
        <v/>
      </c>
      <c r="J41" s="159" t="n"/>
      <c r="K41" s="145" t="n"/>
      <c r="L41" s="156">
        <f>'15. Income Statement (3)'!Q41</f>
        <v/>
      </c>
      <c r="M41" s="159" t="n"/>
      <c r="N41" s="145" t="n"/>
      <c r="O41" s="145" t="n"/>
      <c r="P41" s="167" t="n"/>
      <c r="Q41" s="167" t="n"/>
      <c r="R41" s="167" t="n"/>
      <c r="S41" s="167" t="n"/>
    </row>
    <row r="42" outlineLevel="1" ht="12.75" customHeight="1" s="131">
      <c r="A42" s="137" t="n"/>
      <c r="B42" s="137">
        <f>'8. Income Statement'!B42</f>
        <v/>
      </c>
      <c r="C42" s="137" t="n"/>
      <c r="D42" s="145" t="n"/>
      <c r="E42" s="145" t="n"/>
      <c r="F42" s="156">
        <f>'8. Income Statement'!Q42</f>
        <v/>
      </c>
      <c r="G42" s="159" t="n"/>
      <c r="H42" s="145" t="n"/>
      <c r="I42" s="156">
        <f>'12. Income Statement (2)'!Q42</f>
        <v/>
      </c>
      <c r="J42" s="159" t="n"/>
      <c r="K42" s="145" t="n"/>
      <c r="L42" s="156">
        <f>'15. Income Statement (3)'!Q42</f>
        <v/>
      </c>
      <c r="M42" s="159" t="n"/>
      <c r="N42" s="145" t="n"/>
      <c r="O42" s="145" t="n"/>
      <c r="P42" s="167" t="n"/>
      <c r="Q42" s="167" t="n"/>
      <c r="R42" s="167" t="n"/>
      <c r="S42" s="167" t="n"/>
    </row>
    <row r="43" outlineLevel="1" ht="12.75" customHeight="1" s="131">
      <c r="A43" s="137" t="n"/>
      <c r="B43" s="137">
        <f>'8. Income Statement'!B43</f>
        <v/>
      </c>
      <c r="C43" s="137" t="n"/>
      <c r="D43" s="145" t="n"/>
      <c r="E43" s="145" t="n"/>
      <c r="F43" s="156">
        <f>'8. Income Statement'!Q43</f>
        <v/>
      </c>
      <c r="G43" s="159" t="n"/>
      <c r="H43" s="145" t="n"/>
      <c r="I43" s="156">
        <f>'12. Income Statement (2)'!Q43</f>
        <v/>
      </c>
      <c r="J43" s="159" t="n"/>
      <c r="K43" s="145" t="n"/>
      <c r="L43" s="156">
        <f>'15. Income Statement (3)'!Q43</f>
        <v/>
      </c>
      <c r="M43" s="159" t="n"/>
      <c r="N43" s="145" t="n"/>
      <c r="O43" s="145" t="n"/>
      <c r="P43" s="167" t="n"/>
      <c r="Q43" s="167" t="n"/>
      <c r="R43" s="167" t="n"/>
      <c r="S43" s="167" t="n"/>
    </row>
    <row r="44" outlineLevel="1" ht="12.75" customHeight="1" s="131">
      <c r="A44" s="137" t="n"/>
      <c r="B44" s="137">
        <f>'8. Income Statement'!B44</f>
        <v/>
      </c>
      <c r="C44" s="137" t="n"/>
      <c r="D44" s="145" t="n"/>
      <c r="E44" s="145" t="n"/>
      <c r="F44" s="156">
        <f>'8. Income Statement'!Q44</f>
        <v/>
      </c>
      <c r="G44" s="159" t="n"/>
      <c r="H44" s="145" t="n"/>
      <c r="I44" s="156">
        <f>'12. Income Statement (2)'!Q44</f>
        <v/>
      </c>
      <c r="J44" s="159" t="n"/>
      <c r="K44" s="145" t="n"/>
      <c r="L44" s="156">
        <f>'15. Income Statement (3)'!Q44</f>
        <v/>
      </c>
      <c r="M44" s="159" t="n"/>
      <c r="N44" s="145" t="n"/>
      <c r="O44" s="145" t="n"/>
      <c r="P44" s="167" t="n"/>
      <c r="Q44" s="167" t="n"/>
      <c r="R44" s="167" t="n"/>
      <c r="S44" s="167" t="n"/>
    </row>
    <row r="45" outlineLevel="1" ht="12.75" customHeight="1" s="131">
      <c r="A45" s="137" t="n"/>
      <c r="B45" s="137">
        <f>'8. Income Statement'!B45</f>
        <v/>
      </c>
      <c r="C45" s="137" t="n"/>
      <c r="D45" s="145" t="n"/>
      <c r="E45" s="145" t="n"/>
      <c r="F45" s="156">
        <f>'8. Income Statement'!Q45</f>
        <v/>
      </c>
      <c r="G45" s="159" t="n"/>
      <c r="H45" s="145" t="n"/>
      <c r="I45" s="156">
        <f>'12. Income Statement (2)'!Q45</f>
        <v/>
      </c>
      <c r="J45" s="159" t="n"/>
      <c r="K45" s="145" t="n"/>
      <c r="L45" s="156">
        <f>'15. Income Statement (3)'!Q45</f>
        <v/>
      </c>
      <c r="M45" s="159" t="n"/>
      <c r="N45" s="145" t="n"/>
      <c r="O45" s="145" t="n"/>
    </row>
    <row r="46" outlineLevel="1" ht="12.75" customHeight="1" s="131">
      <c r="A46" s="137" t="n"/>
      <c r="B46" s="137">
        <f>'8. Income Statement'!B46</f>
        <v/>
      </c>
      <c r="C46" s="137" t="n"/>
      <c r="D46" s="145" t="n"/>
      <c r="E46" s="145" t="n"/>
      <c r="F46" s="156">
        <f>'8. Income Statement'!Q46</f>
        <v/>
      </c>
      <c r="G46" s="159" t="n"/>
      <c r="H46" s="145" t="n"/>
      <c r="I46" s="156">
        <f>'12. Income Statement (2)'!Q46</f>
        <v/>
      </c>
      <c r="J46" s="159" t="n"/>
      <c r="K46" s="145" t="n"/>
      <c r="L46" s="156">
        <f>'15. Income Statement (3)'!Q46</f>
        <v/>
      </c>
      <c r="M46" s="159" t="n"/>
      <c r="N46" s="145" t="n"/>
      <c r="O46" s="145" t="n"/>
    </row>
    <row r="47" outlineLevel="1" ht="12.75" customHeight="1" s="131">
      <c r="A47" s="137" t="n"/>
      <c r="B47" s="137">
        <f>'8. Income Statement'!B47</f>
        <v/>
      </c>
      <c r="C47" s="137" t="n"/>
      <c r="D47" s="145" t="n"/>
      <c r="E47" s="145" t="n"/>
      <c r="F47" s="156">
        <f>'8. Income Statement'!Q47</f>
        <v/>
      </c>
      <c r="G47" s="159" t="n"/>
      <c r="H47" s="145" t="n"/>
      <c r="I47" s="156">
        <f>'12. Income Statement (2)'!Q47</f>
        <v/>
      </c>
      <c r="J47" s="159" t="n"/>
      <c r="K47" s="145" t="n"/>
      <c r="L47" s="156">
        <f>'15. Income Statement (3)'!Q47</f>
        <v/>
      </c>
      <c r="M47" s="159" t="n"/>
      <c r="N47" s="145" t="n"/>
      <c r="O47" s="145" t="n"/>
    </row>
    <row r="48" outlineLevel="1" ht="12.75" customHeight="1" s="131">
      <c r="A48" s="137" t="n"/>
      <c r="B48" s="137">
        <f>'8. Income Statement'!B48</f>
        <v/>
      </c>
      <c r="C48" s="137" t="n"/>
      <c r="D48" s="145" t="n"/>
      <c r="E48" s="145" t="n"/>
      <c r="F48" s="156">
        <f>'8. Income Statement'!Q48</f>
        <v/>
      </c>
      <c r="G48" s="159" t="n"/>
      <c r="H48" s="145" t="n"/>
      <c r="I48" s="156">
        <f>'12. Income Statement (2)'!Q48</f>
        <v/>
      </c>
      <c r="J48" s="159" t="n"/>
      <c r="K48" s="145" t="n"/>
      <c r="L48" s="156">
        <f>'15. Income Statement (3)'!Q48</f>
        <v/>
      </c>
      <c r="M48" s="159" t="n"/>
      <c r="N48" s="145" t="n"/>
      <c r="O48" s="145" t="n"/>
    </row>
    <row r="49" outlineLevel="1" ht="12.75" customHeight="1" s="131">
      <c r="A49" s="137" t="n"/>
      <c r="B49" s="137">
        <f>'8. Income Statement'!B49</f>
        <v/>
      </c>
      <c r="C49" s="137" t="n"/>
      <c r="D49" s="145" t="n"/>
      <c r="E49" s="145" t="n"/>
      <c r="F49" s="156">
        <f>'8. Income Statement'!Q49</f>
        <v/>
      </c>
      <c r="G49" s="159" t="n"/>
      <c r="H49" s="145" t="n"/>
      <c r="I49" s="156">
        <f>'12. Income Statement (2)'!Q49</f>
        <v/>
      </c>
      <c r="J49" s="159" t="n"/>
      <c r="K49" s="145" t="n"/>
      <c r="L49" s="156">
        <f>'15. Income Statement (3)'!Q49</f>
        <v/>
      </c>
      <c r="M49" s="159" t="n"/>
      <c r="N49" s="145" t="n"/>
      <c r="O49" s="145" t="n"/>
    </row>
    <row r="50" outlineLevel="1" ht="12.75" customHeight="1" s="131">
      <c r="A50" s="137" t="n"/>
      <c r="B50" s="137">
        <f>'8. Income Statement'!B50</f>
        <v/>
      </c>
      <c r="C50" s="137" t="n"/>
      <c r="D50" s="145" t="n"/>
      <c r="E50" s="145" t="n"/>
      <c r="F50" s="156">
        <f>'8. Income Statement'!Q50</f>
        <v/>
      </c>
      <c r="G50" s="159" t="n"/>
      <c r="H50" s="145" t="n"/>
      <c r="I50" s="156">
        <f>'12. Income Statement (2)'!Q50</f>
        <v/>
      </c>
      <c r="J50" s="159" t="n"/>
      <c r="K50" s="145" t="n"/>
      <c r="L50" s="156">
        <f>'15. Income Statement (3)'!Q50</f>
        <v/>
      </c>
      <c r="M50" s="159" t="n"/>
      <c r="N50" s="145" t="n"/>
      <c r="O50" s="145" t="n"/>
    </row>
    <row r="51" outlineLevel="1" ht="12.75" customHeight="1" s="131">
      <c r="A51" s="137" t="n"/>
      <c r="B51" s="137">
        <f>'8. Income Statement'!B51</f>
        <v/>
      </c>
      <c r="C51" s="137" t="n"/>
      <c r="D51" s="145" t="n"/>
      <c r="E51" s="145" t="n"/>
      <c r="F51" s="156">
        <f>'8. Income Statement'!Q51</f>
        <v/>
      </c>
      <c r="G51" s="159" t="n"/>
      <c r="H51" s="145" t="n"/>
      <c r="I51" s="156">
        <f>'12. Income Statement (2)'!Q51</f>
        <v/>
      </c>
      <c r="J51" s="159" t="n"/>
      <c r="K51" s="145" t="n"/>
      <c r="L51" s="156">
        <f>'15. Income Statement (3)'!Q51</f>
        <v/>
      </c>
      <c r="M51" s="159" t="n"/>
      <c r="N51" s="145" t="n"/>
      <c r="O51" s="145" t="n"/>
    </row>
    <row r="52" outlineLevel="1" ht="12.75" customHeight="1" s="131">
      <c r="A52" s="137" t="n"/>
      <c r="B52" s="137">
        <f>'8. Income Statement'!B52</f>
        <v/>
      </c>
      <c r="C52" s="137" t="n"/>
      <c r="D52" s="145" t="n"/>
      <c r="E52" s="145" t="n"/>
      <c r="F52" s="156">
        <f>'8. Income Statement'!Q52</f>
        <v/>
      </c>
      <c r="G52" s="159" t="n"/>
      <c r="H52" s="145" t="n"/>
      <c r="I52" s="156">
        <f>'12. Income Statement (2)'!Q52</f>
        <v/>
      </c>
      <c r="J52" s="159" t="n"/>
      <c r="K52" s="145" t="n"/>
      <c r="L52" s="156">
        <f>'15. Income Statement (3)'!Q52</f>
        <v/>
      </c>
      <c r="M52" s="159" t="n"/>
      <c r="N52" s="145" t="n"/>
      <c r="O52" s="145" t="n"/>
    </row>
    <row r="53" outlineLevel="1" ht="12.75" customHeight="1" s="131">
      <c r="A53" s="137" t="n"/>
      <c r="B53" s="137">
        <f>'8. Income Statement'!B53</f>
        <v/>
      </c>
      <c r="C53" s="137" t="n"/>
      <c r="D53" s="145" t="n"/>
      <c r="E53" s="145" t="n"/>
      <c r="F53" s="162">
        <f>'8. Income Statement'!Q53</f>
        <v/>
      </c>
      <c r="G53" s="159" t="n"/>
      <c r="H53" s="145" t="n"/>
      <c r="I53" s="162">
        <f>'12. Income Statement (2)'!Q53</f>
        <v/>
      </c>
      <c r="J53" s="159" t="n"/>
      <c r="K53" s="145" t="n"/>
      <c r="L53" s="162">
        <f>'15. Income Statement (3)'!Q53</f>
        <v/>
      </c>
      <c r="M53" s="159" t="n"/>
      <c r="N53" s="145" t="n"/>
      <c r="O53" s="145" t="n"/>
    </row>
    <row r="54" ht="12.75" customHeight="1" s="131">
      <c r="A54" s="137">
        <f>'8. Income Statement'!A54</f>
        <v/>
      </c>
      <c r="B54" s="137" t="n"/>
      <c r="C54" s="137" t="n"/>
      <c r="D54" s="145" t="n"/>
      <c r="E54" s="145" t="n"/>
      <c r="F54" s="182">
        <f>SUM(F34:F53)</f>
        <v/>
      </c>
      <c r="G54" s="159">
        <f>IF(F54=0,0,F54/F13)</f>
        <v/>
      </c>
      <c r="H54" s="145" t="n"/>
      <c r="I54" s="182">
        <f>SUM(I34:I53)</f>
        <v/>
      </c>
      <c r="J54" s="159">
        <f>IF(I54=0,0,I54/I13)</f>
        <v/>
      </c>
      <c r="K54" s="145" t="n"/>
      <c r="L54" s="182">
        <f>SUM(L34:L53)</f>
        <v/>
      </c>
      <c r="M54" s="159">
        <f>IF(L54=0,0,L54/L13)</f>
        <v/>
      </c>
      <c r="N54" s="145" t="n"/>
      <c r="O54" s="145" t="n"/>
    </row>
    <row r="55" ht="12.75" customHeight="1" s="131">
      <c r="A55" s="137" t="n"/>
      <c r="B55" s="137" t="n"/>
      <c r="C55" s="137" t="n"/>
      <c r="D55" s="145" t="n"/>
      <c r="E55" s="145" t="n"/>
      <c r="F55" s="145" t="n"/>
      <c r="G55" s="159" t="n"/>
      <c r="H55" s="145" t="n"/>
      <c r="I55" s="145" t="n"/>
      <c r="J55" s="159" t="n"/>
      <c r="K55" s="145" t="n"/>
      <c r="L55" s="145" t="n"/>
      <c r="M55" s="159" t="n"/>
      <c r="N55" s="145" t="n"/>
      <c r="O55" s="145" t="n"/>
      <c r="P55" s="130" t="n"/>
      <c r="Q55" s="130" t="n"/>
      <c r="R55" s="130" t="n"/>
      <c r="S55" s="130" t="n"/>
    </row>
    <row r="56" hidden="1" outlineLevel="1" ht="12.75" customHeight="1" s="131">
      <c r="A56" s="137">
        <f>'8. Income Statement'!A56</f>
        <v/>
      </c>
      <c r="B56" s="137" t="n"/>
      <c r="C56" s="137" t="n"/>
      <c r="D56" s="145" t="n"/>
      <c r="E56" s="145" t="n"/>
      <c r="F56" s="145" t="n"/>
      <c r="G56" s="159" t="n"/>
      <c r="H56" s="145" t="n"/>
      <c r="I56" s="145" t="n"/>
      <c r="J56" s="159" t="n"/>
      <c r="K56" s="145" t="n"/>
      <c r="L56" s="145" t="n"/>
      <c r="M56" s="159" t="n"/>
      <c r="N56" s="145" t="n"/>
      <c r="O56" s="145" t="n"/>
      <c r="P56" s="130" t="n"/>
      <c r="Q56" s="130" t="n"/>
      <c r="R56" s="130" t="n"/>
      <c r="S56" s="130" t="n"/>
    </row>
    <row r="57" hidden="1" outlineLevel="1" ht="12.75" customHeight="1" s="131">
      <c r="A57" s="137" t="n"/>
      <c r="B57" s="137" t="inlineStr">
        <is>
          <t>Amortized Start-up Expenses</t>
        </is>
      </c>
      <c r="C57" s="137" t="n"/>
      <c r="D57" s="145" t="n"/>
      <c r="E57" s="145" t="n"/>
      <c r="F57" s="182">
        <f>'8. Income Statement'!Q57</f>
        <v/>
      </c>
      <c r="G57" s="225" t="n"/>
      <c r="H57" s="182" t="n"/>
      <c r="I57" s="182">
        <f>'12. Income Statement (2)'!Q57</f>
        <v/>
      </c>
      <c r="J57" s="225" t="n"/>
      <c r="K57" s="182" t="n"/>
      <c r="L57" s="182">
        <f>'15. Income Statement (3)'!Q57</f>
        <v/>
      </c>
      <c r="M57" s="159" t="n"/>
      <c r="N57" s="145" t="n"/>
      <c r="O57" s="145" t="n"/>
      <c r="P57" s="130" t="n"/>
      <c r="Q57" s="130" t="n"/>
      <c r="R57" s="130" t="n"/>
      <c r="S57" s="130" t="n"/>
    </row>
    <row r="58" hidden="1" outlineLevel="1" ht="12.75" customHeight="1" s="131">
      <c r="A58" s="137" t="n"/>
      <c r="B58" s="137">
        <f>'8. Income Statement'!B58</f>
        <v/>
      </c>
      <c r="C58" s="137" t="n"/>
      <c r="D58" s="145" t="n"/>
      <c r="E58" s="145" t="n"/>
      <c r="F58" s="156">
        <f>'8. Income Statement'!Q58</f>
        <v/>
      </c>
      <c r="G58" s="159" t="n"/>
      <c r="H58" s="145" t="n"/>
      <c r="I58" s="156">
        <f>'12. Income Statement (2)'!Q58</f>
        <v/>
      </c>
      <c r="J58" s="159" t="n"/>
      <c r="K58" s="145" t="n"/>
      <c r="L58" s="156">
        <f>'15. Income Statement (3)'!Q58</f>
        <v/>
      </c>
      <c r="M58" s="159" t="n"/>
      <c r="N58" s="145" t="n"/>
      <c r="O58" s="145" t="n"/>
      <c r="P58" s="130" t="n"/>
      <c r="Q58" s="130" t="n"/>
      <c r="R58" s="130" t="n"/>
      <c r="S58" s="130" t="n"/>
    </row>
    <row r="59" hidden="1" outlineLevel="1" ht="12.75" customHeight="1" s="131">
      <c r="A59" s="137" t="n"/>
      <c r="B59" s="137">
        <f>'8. Income Statement'!B59</f>
        <v/>
      </c>
      <c r="C59" s="137" t="n"/>
      <c r="D59" s="145" t="n"/>
      <c r="E59" s="145" t="n"/>
      <c r="F59" s="156" t="n"/>
      <c r="G59" s="159" t="n"/>
      <c r="H59" s="145" t="n"/>
      <c r="I59" s="156" t="n"/>
      <c r="J59" s="159" t="n"/>
      <c r="K59" s="145" t="n"/>
      <c r="L59" s="156" t="n"/>
      <c r="M59" s="159" t="n"/>
      <c r="N59" s="145" t="n"/>
      <c r="O59" s="145" t="n"/>
      <c r="P59" s="130" t="n"/>
      <c r="Q59" s="130" t="n"/>
      <c r="R59" s="130" t="n"/>
      <c r="S59" s="130" t="n"/>
    </row>
    <row r="60" hidden="1" outlineLevel="1" ht="12.75" customHeight="1" s="131">
      <c r="A60" s="137" t="n"/>
      <c r="B60" s="137" t="n"/>
      <c r="C60" s="137">
        <f>'8. Income Statement'!C60</f>
        <v/>
      </c>
      <c r="D60" s="145" t="n"/>
      <c r="E60" s="145" t="n"/>
      <c r="F60" s="156">
        <f>'8. Income Statement'!Q60</f>
        <v/>
      </c>
      <c r="G60" s="159" t="n"/>
      <c r="H60" s="145" t="n"/>
      <c r="I60" s="156">
        <f>'12. Income Statement (2)'!Q60</f>
        <v/>
      </c>
      <c r="J60" s="159" t="n"/>
      <c r="K60" s="145" t="n"/>
      <c r="L60" s="156">
        <f>'15. Income Statement (3)'!Q60</f>
        <v/>
      </c>
      <c r="M60" s="159" t="n"/>
      <c r="N60" s="145" t="n"/>
      <c r="O60" s="145" t="n"/>
      <c r="P60" s="130" t="n"/>
      <c r="Q60" s="130" t="n"/>
      <c r="R60" s="130" t="n"/>
      <c r="S60" s="130" t="n"/>
    </row>
    <row r="61" hidden="1" outlineLevel="1" ht="12.75" customHeight="1" s="131">
      <c r="A61" s="137" t="n"/>
      <c r="B61" s="137" t="n"/>
      <c r="C61" s="137">
        <f>'8. Income Statement'!C61</f>
        <v/>
      </c>
      <c r="D61" s="145" t="n"/>
      <c r="E61" s="145" t="n"/>
      <c r="F61" s="156">
        <f>'8. Income Statement'!Q61</f>
        <v/>
      </c>
      <c r="G61" s="159" t="n"/>
      <c r="H61" s="145" t="n"/>
      <c r="I61" s="156">
        <f>'12. Income Statement (2)'!Q61</f>
        <v/>
      </c>
      <c r="J61" s="159" t="n"/>
      <c r="K61" s="145" t="n"/>
      <c r="L61" s="156">
        <f>'15. Income Statement (3)'!Q61</f>
        <v/>
      </c>
      <c r="M61" s="159" t="n"/>
      <c r="N61" s="145" t="n"/>
      <c r="O61" s="145" t="n"/>
      <c r="P61" s="130" t="n"/>
      <c r="Q61" s="130" t="n"/>
      <c r="R61" s="130" t="n"/>
      <c r="S61" s="130" t="n"/>
    </row>
    <row r="62" hidden="1" outlineLevel="1" ht="12.75" customHeight="1" s="131">
      <c r="A62" s="137" t="n"/>
      <c r="B62" s="137" t="n"/>
      <c r="C62" s="137">
        <f>'8. Income Statement'!C62</f>
        <v/>
      </c>
      <c r="D62" s="145" t="n"/>
      <c r="E62" s="145" t="n"/>
      <c r="F62" s="156">
        <f>'8. Income Statement'!Q62</f>
        <v/>
      </c>
      <c r="G62" s="159" t="n"/>
      <c r="H62" s="145" t="n"/>
      <c r="I62" s="156">
        <f>'12. Income Statement (2)'!Q62</f>
        <v/>
      </c>
      <c r="J62" s="159" t="n"/>
      <c r="K62" s="145" t="n"/>
      <c r="L62" s="156">
        <f>'15. Income Statement (3)'!Q62</f>
        <v/>
      </c>
      <c r="M62" s="159" t="n"/>
      <c r="N62" s="145" t="n"/>
      <c r="O62" s="145" t="n"/>
      <c r="P62" s="130" t="n"/>
      <c r="Q62" s="130" t="n"/>
      <c r="R62" s="130" t="n"/>
      <c r="S62" s="130" t="n"/>
    </row>
    <row r="63" hidden="1" outlineLevel="1" ht="12.75" customHeight="1" s="131">
      <c r="A63" s="137" t="n"/>
      <c r="B63" s="137">
        <f>'8. Income Statement'!B63</f>
        <v/>
      </c>
      <c r="C63" s="137" t="n"/>
      <c r="D63" s="145" t="n"/>
      <c r="E63" s="145" t="n"/>
      <c r="F63" s="162">
        <f>'8. Income Statement'!Q63</f>
        <v/>
      </c>
      <c r="G63" s="159" t="n"/>
      <c r="H63" s="145" t="n"/>
      <c r="I63" s="162">
        <f>'12. Income Statement (2)'!Q63</f>
        <v/>
      </c>
      <c r="J63" s="159" t="n"/>
      <c r="K63" s="145" t="n"/>
      <c r="L63" s="162">
        <f>'15. Income Statement (3)'!Q63</f>
        <v/>
      </c>
      <c r="M63" s="159" t="n"/>
      <c r="N63" s="145" t="n"/>
      <c r="O63" s="145" t="n"/>
      <c r="P63" s="130" t="n"/>
      <c r="Q63" s="130" t="n"/>
      <c r="R63" s="130" t="n"/>
      <c r="S63" s="130" t="n"/>
    </row>
    <row r="64" ht="12.75" customHeight="1" s="131">
      <c r="A64" s="137">
        <f>'8. Income Statement'!A64</f>
        <v/>
      </c>
      <c r="B64" s="137" t="n"/>
      <c r="C64" s="137" t="n"/>
      <c r="D64" s="145" t="n"/>
      <c r="E64" s="145" t="n"/>
      <c r="F64" s="182">
        <f>SUM(F57:F63)</f>
        <v/>
      </c>
      <c r="G64" s="159">
        <f>IF(F64=0,0,F64/F13)</f>
        <v/>
      </c>
      <c r="H64" s="145" t="n"/>
      <c r="I64" s="182">
        <f>SUM(I57:I63)</f>
        <v/>
      </c>
      <c r="J64" s="159">
        <f>IF(I64=0,0,I64/I13)</f>
        <v/>
      </c>
      <c r="K64" s="145" t="n"/>
      <c r="L64" s="182">
        <f>SUM(L57:L63)</f>
        <v/>
      </c>
      <c r="M64" s="159">
        <f>IF(L64=0,0,L64/L13)</f>
        <v/>
      </c>
      <c r="N64" s="145" t="n"/>
      <c r="O64" s="145" t="n"/>
      <c r="P64" s="130" t="n"/>
      <c r="Q64" s="130" t="n"/>
      <c r="R64" s="130" t="n"/>
      <c r="S64" s="130" t="n"/>
    </row>
    <row r="65" ht="12.75" customHeight="1" s="131">
      <c r="A65" s="137" t="n"/>
      <c r="B65" s="137" t="n"/>
      <c r="C65" s="137" t="n"/>
      <c r="D65" s="145" t="n"/>
      <c r="E65" s="145" t="n"/>
      <c r="F65" s="183" t="n"/>
      <c r="G65" s="159" t="n"/>
      <c r="H65" s="145" t="n"/>
      <c r="I65" s="183" t="n"/>
      <c r="J65" s="159" t="n"/>
      <c r="K65" s="145" t="n"/>
      <c r="L65" s="183" t="n"/>
      <c r="M65" s="159" t="n"/>
      <c r="N65" s="145" t="n"/>
      <c r="O65" s="145" t="n"/>
      <c r="P65" s="130" t="n"/>
      <c r="Q65" s="130" t="n"/>
      <c r="R65" s="130" t="n"/>
      <c r="S65" s="130" t="n"/>
    </row>
    <row r="66" ht="15.95" customHeight="1" s="131">
      <c r="A66" s="137">
        <f>'8. Income Statement'!A66</f>
        <v/>
      </c>
      <c r="B66" s="137" t="n"/>
      <c r="C66" s="137" t="n"/>
      <c r="D66" s="145" t="n"/>
      <c r="E66" s="145" t="n"/>
      <c r="F66" s="219">
        <f>'8. Income Statement'!Q66</f>
        <v/>
      </c>
      <c r="G66" s="159">
        <f>IF(F66=0,0,F66/F13)</f>
        <v/>
      </c>
      <c r="H66" s="145" t="n"/>
      <c r="I66" s="219">
        <f>'12. Income Statement (2)'!Q66</f>
        <v/>
      </c>
      <c r="J66" s="159">
        <f>IF(I66=0,0,I66/I13)</f>
        <v/>
      </c>
      <c r="K66" s="145" t="n"/>
      <c r="L66" s="219">
        <f>'15. Income Statement (3)'!Q66</f>
        <v/>
      </c>
      <c r="M66" s="159">
        <f>IF(L66=0,0,L66/L13)</f>
        <v/>
      </c>
      <c r="N66" s="145" t="n"/>
      <c r="O66" s="145" t="n"/>
      <c r="P66" s="130" t="n"/>
      <c r="Q66" s="130" t="n"/>
      <c r="R66" s="130" t="n"/>
      <c r="S66" s="130" t="n"/>
    </row>
    <row r="67" ht="12.75" customHeight="1" s="131">
      <c r="A67" s="137" t="n"/>
      <c r="B67" s="137" t="n"/>
      <c r="C67" s="137" t="n"/>
      <c r="D67" s="145" t="n"/>
      <c r="E67" s="145" t="n"/>
      <c r="F67" s="145" t="n"/>
      <c r="G67" s="145" t="n"/>
      <c r="H67" s="145" t="n"/>
      <c r="I67" s="145" t="n"/>
      <c r="J67" s="145" t="n"/>
      <c r="K67" s="145" t="n"/>
      <c r="L67" s="145" t="n"/>
      <c r="M67" s="145" t="n"/>
      <c r="N67" s="145" t="n"/>
      <c r="O67" s="145" t="n"/>
      <c r="P67" s="130" t="n"/>
      <c r="Q67" s="130" t="n"/>
      <c r="R67" s="130" t="n"/>
      <c r="S67" s="130" t="n"/>
    </row>
    <row r="68" ht="12.75" customHeight="1" s="131">
      <c r="A68" s="137" t="n"/>
      <c r="B68" s="137" t="n"/>
      <c r="C68" s="137" t="n"/>
      <c r="D68" s="145" t="n"/>
      <c r="E68" s="145" t="n"/>
      <c r="F68" s="145" t="n"/>
      <c r="G68" s="145" t="n"/>
      <c r="H68" s="145" t="n"/>
      <c r="I68" s="145" t="n"/>
      <c r="J68" s="145" t="n"/>
      <c r="K68" s="145" t="n"/>
      <c r="L68" s="145" t="n"/>
      <c r="M68" s="145" t="n"/>
      <c r="N68" s="145" t="n"/>
      <c r="O68" s="145" t="n"/>
    </row>
    <row r="69" ht="12.75" customHeight="1" s="131">
      <c r="A69" s="137" t="n"/>
      <c r="B69" s="137" t="n"/>
      <c r="C69" s="137" t="n"/>
      <c r="D69" s="145" t="n"/>
      <c r="E69" s="145" t="n"/>
      <c r="F69" s="145" t="n"/>
      <c r="G69" s="145" t="n"/>
      <c r="H69" s="145" t="n"/>
      <c r="I69" s="145" t="n"/>
      <c r="J69" s="145" t="n"/>
      <c r="K69" s="145" t="n"/>
      <c r="L69" s="145" t="n"/>
      <c r="M69" s="145" t="n"/>
      <c r="N69" s="145" t="n"/>
      <c r="O69" s="145" t="n"/>
    </row>
    <row r="70" ht="12.75" customHeight="1" s="131">
      <c r="A70" s="137" t="n"/>
      <c r="B70" s="137" t="n"/>
      <c r="C70" s="137" t="n"/>
      <c r="D70" s="145" t="n"/>
      <c r="E70" s="145" t="n"/>
      <c r="F70" s="145" t="n"/>
      <c r="G70" s="145" t="n"/>
      <c r="H70" s="145" t="n"/>
      <c r="I70" s="145" t="n"/>
      <c r="J70" s="145" t="n"/>
      <c r="K70" s="145" t="n"/>
      <c r="L70" s="145" t="n"/>
      <c r="M70" s="145" t="n"/>
      <c r="N70" s="145" t="n"/>
      <c r="O70" s="145" t="n"/>
    </row>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row r="90"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Q72"/>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1"/>
  <cols>
    <col width="2.99" customWidth="1" style="168" min="1" max="3"/>
    <col width="22.75" customWidth="1" style="130" min="4" max="4"/>
    <col width="10.72" customWidth="1" style="130" min="5" max="16"/>
    <col width="15.73" customWidth="1" style="130" min="17" max="17"/>
  </cols>
  <sheetData>
    <row r="1" ht="15.75" customHeight="1" s="131">
      <c r="A1" s="142">
        <f>'1. Required Start-Up Funds'!A1</f>
        <v/>
      </c>
    </row>
    <row r="2" ht="15.75" customHeight="1" s="131">
      <c r="A2" s="142" t="inlineStr">
        <is>
          <t>Projected Income Statement - Year Two</t>
        </is>
      </c>
    </row>
    <row r="3" ht="12.75" customHeight="1" s="131">
      <c r="A3" s="137" t="n"/>
      <c r="B3" s="137" t="n"/>
      <c r="C3" s="137" t="n"/>
      <c r="D3" s="145" t="n"/>
      <c r="E3" s="145" t="n"/>
      <c r="F3" s="145" t="n"/>
      <c r="G3" s="145" t="n"/>
      <c r="H3" s="145" t="n"/>
      <c r="I3" s="145" t="n"/>
      <c r="J3" s="145" t="n"/>
      <c r="K3" s="145" t="n"/>
      <c r="L3" s="145" t="n"/>
      <c r="M3" s="145" t="n"/>
      <c r="N3" s="145" t="n"/>
      <c r="O3" s="145" t="n"/>
      <c r="P3" s="145" t="n"/>
      <c r="Q3" s="145" t="n"/>
    </row>
    <row r="4" ht="12.75" customHeight="1" s="131">
      <c r="A4" s="137" t="n"/>
      <c r="B4" s="137" t="n"/>
      <c r="C4" s="137" t="n"/>
      <c r="D4" s="145" t="n"/>
      <c r="E4" s="145" t="n"/>
      <c r="F4" s="145" t="n"/>
      <c r="G4" s="145" t="n"/>
      <c r="H4" s="145" t="n"/>
      <c r="I4" s="145" t="n"/>
      <c r="J4" s="145" t="n"/>
      <c r="K4" s="145" t="n"/>
      <c r="L4" s="145" t="n"/>
      <c r="M4" s="145" t="n"/>
      <c r="N4" s="145" t="n"/>
      <c r="O4" s="145" t="n"/>
      <c r="P4" s="145" t="n"/>
      <c r="Q4" s="145" t="n"/>
    </row>
    <row r="5" ht="12.75" customHeight="1" s="131">
      <c r="A5" s="137" t="n"/>
      <c r="B5" s="137" t="n"/>
      <c r="C5" s="137" t="n"/>
      <c r="D5" s="145" t="n"/>
      <c r="E5" s="145" t="n"/>
      <c r="F5" s="145" t="n"/>
      <c r="G5" s="145" t="n"/>
      <c r="H5" s="145" t="n"/>
      <c r="I5" s="145" t="n"/>
      <c r="J5" s="145" t="n"/>
      <c r="K5" s="145" t="n"/>
      <c r="L5" s="145" t="n"/>
      <c r="M5" s="145" t="n"/>
      <c r="N5" s="145" t="n"/>
      <c r="O5" s="145" t="n"/>
      <c r="P5" s="145" t="n"/>
      <c r="Q5" s="145" t="n"/>
    </row>
    <row r="6" ht="12.75" customHeight="1" s="131">
      <c r="A6" s="137" t="n"/>
      <c r="B6" s="137" t="n"/>
      <c r="C6" s="137" t="n"/>
      <c r="D6" s="145" t="n"/>
      <c r="E6" s="172">
        <f>'4. Projected Sales Forecast'!H6</f>
        <v/>
      </c>
      <c r="F6" s="172">
        <f>'4. Projected Sales Forecast'!I6</f>
        <v/>
      </c>
      <c r="G6" s="172">
        <f>'4. Projected Sales Forecast'!J6</f>
        <v/>
      </c>
      <c r="H6" s="172">
        <f>'4. Projected Sales Forecast'!K6</f>
        <v/>
      </c>
      <c r="I6" s="172">
        <f>'4. Projected Sales Forecast'!L6</f>
        <v/>
      </c>
      <c r="J6" s="172">
        <f>'4. Projected Sales Forecast'!M6</f>
        <v/>
      </c>
      <c r="K6" s="172">
        <f>'4. Projected Sales Forecast'!N6</f>
        <v/>
      </c>
      <c r="L6" s="172">
        <f>'4. Projected Sales Forecast'!O6</f>
        <v/>
      </c>
      <c r="M6" s="172">
        <f>'4. Projected Sales Forecast'!P6</f>
        <v/>
      </c>
      <c r="N6" s="172">
        <f>'4. Projected Sales Forecast'!Q6</f>
        <v/>
      </c>
      <c r="O6" s="172">
        <f>'4. Projected Sales Forecast'!R6</f>
        <v/>
      </c>
      <c r="P6" s="172">
        <f>'4. Projected Sales Forecast'!S6</f>
        <v/>
      </c>
      <c r="Q6" s="172" t="inlineStr">
        <is>
          <t>Totals</t>
        </is>
      </c>
    </row>
    <row r="7" ht="12.75" customHeight="1" s="131">
      <c r="A7" s="137" t="n"/>
      <c r="B7" s="137" t="n"/>
      <c r="C7" s="137" t="n"/>
      <c r="D7" s="145" t="n"/>
      <c r="E7" s="145" t="n"/>
      <c r="F7" s="145" t="n"/>
      <c r="G7" s="145" t="n"/>
      <c r="H7" s="145" t="n"/>
      <c r="I7" s="145" t="n"/>
      <c r="J7" s="145" t="n"/>
      <c r="K7" s="145" t="n"/>
      <c r="L7" s="145" t="n"/>
      <c r="M7" s="145" t="n"/>
      <c r="N7" s="145" t="n"/>
      <c r="O7" s="145" t="n"/>
      <c r="P7" s="145" t="n"/>
      <c r="Q7" s="145" t="n"/>
    </row>
    <row r="8" outlineLevel="1" ht="12.75" customHeight="1" s="131">
      <c r="A8" s="137" t="inlineStr">
        <is>
          <t>Income</t>
        </is>
      </c>
      <c r="B8" s="137" t="n"/>
      <c r="C8" s="137" t="n"/>
      <c r="D8" s="145" t="n"/>
      <c r="E8" s="145" t="n"/>
      <c r="F8" s="145" t="n"/>
      <c r="G8" s="145" t="n"/>
      <c r="H8" s="145" t="n"/>
      <c r="I8" s="145" t="n"/>
      <c r="J8" s="145" t="n"/>
      <c r="K8" s="145" t="n"/>
      <c r="L8" s="145" t="n"/>
      <c r="M8" s="145" t="n"/>
      <c r="N8" s="145" t="n"/>
      <c r="O8" s="145" t="n"/>
      <c r="P8" s="145" t="n"/>
      <c r="Q8" s="145" t="n"/>
    </row>
    <row r="9" outlineLevel="1" ht="12.75" customHeight="1" s="131">
      <c r="A9" s="137" t="n"/>
      <c r="B9" s="137">
        <f>'4. Projected Sales Forecast'!A8</f>
        <v/>
      </c>
      <c r="C9" s="137" t="n"/>
      <c r="D9" s="145" t="n"/>
      <c r="E9" s="156">
        <f>'4. Projected Sales Forecast'!$E$9*'4. Projected Sales Forecast'!H15</f>
        <v/>
      </c>
      <c r="F9" s="156">
        <f>'4. Projected Sales Forecast'!$E$9*'4. Projected Sales Forecast'!I15</f>
        <v/>
      </c>
      <c r="G9" s="156">
        <f>'4. Projected Sales Forecast'!$E$9*'4. Projected Sales Forecast'!J15</f>
        <v/>
      </c>
      <c r="H9" s="156">
        <f>'4. Projected Sales Forecast'!$E$9*'4. Projected Sales Forecast'!K15</f>
        <v/>
      </c>
      <c r="I9" s="156">
        <f>'4. Projected Sales Forecast'!$E$9*'4. Projected Sales Forecast'!L15</f>
        <v/>
      </c>
      <c r="J9" s="156">
        <f>'4. Projected Sales Forecast'!$E$9*'4. Projected Sales Forecast'!M15</f>
        <v/>
      </c>
      <c r="K9" s="156">
        <f>'4. Projected Sales Forecast'!$E$9*'4. Projected Sales Forecast'!N15</f>
        <v/>
      </c>
      <c r="L9" s="156">
        <f>'4. Projected Sales Forecast'!$E$9*'4. Projected Sales Forecast'!O15</f>
        <v/>
      </c>
      <c r="M9" s="156">
        <f>'4. Projected Sales Forecast'!$E$9*'4. Projected Sales Forecast'!P15</f>
        <v/>
      </c>
      <c r="N9" s="156">
        <f>'4. Projected Sales Forecast'!$E$9*'4. Projected Sales Forecast'!Q15</f>
        <v/>
      </c>
      <c r="O9" s="156">
        <f>'4. Projected Sales Forecast'!$E$9*'4. Projected Sales Forecast'!R15</f>
        <v/>
      </c>
      <c r="P9" s="156">
        <f>'4. Projected Sales Forecast'!$E$9*'4. Projected Sales Forecast'!S15</f>
        <v/>
      </c>
      <c r="Q9" s="182">
        <f>SUM(E9:P9)</f>
        <v/>
      </c>
    </row>
    <row r="10" outlineLevel="1" ht="12.75" customHeight="1" s="131">
      <c r="A10" s="137" t="n"/>
      <c r="B10" s="137">
        <f>'4. Projected Sales Forecast'!A30</f>
        <v/>
      </c>
      <c r="C10" s="137" t="n"/>
      <c r="D10" s="145" t="n"/>
      <c r="E10" s="156">
        <f>'4. Projected Sales Forecast'!$E$31*'4. Projected Sales Forecast'!H37</f>
        <v/>
      </c>
      <c r="F10" s="156">
        <f>'4. Projected Sales Forecast'!$E$31*'4. Projected Sales Forecast'!I37</f>
        <v/>
      </c>
      <c r="G10" s="156">
        <f>'4. Projected Sales Forecast'!$E$31*'4. Projected Sales Forecast'!J37</f>
        <v/>
      </c>
      <c r="H10" s="156">
        <f>'4. Projected Sales Forecast'!$E$31*'4. Projected Sales Forecast'!K37</f>
        <v/>
      </c>
      <c r="I10" s="156">
        <f>'4. Projected Sales Forecast'!$E$31*'4. Projected Sales Forecast'!L37</f>
        <v/>
      </c>
      <c r="J10" s="156">
        <f>'4. Projected Sales Forecast'!$E$31*'4. Projected Sales Forecast'!M37</f>
        <v/>
      </c>
      <c r="K10" s="156">
        <f>'4. Projected Sales Forecast'!$E$31*'4. Projected Sales Forecast'!N37</f>
        <v/>
      </c>
      <c r="L10" s="156">
        <f>'4. Projected Sales Forecast'!$E$31*'4. Projected Sales Forecast'!O37</f>
        <v/>
      </c>
      <c r="M10" s="156">
        <f>'4. Projected Sales Forecast'!$E$31*'4. Projected Sales Forecast'!P37</f>
        <v/>
      </c>
      <c r="N10" s="156">
        <f>'4. Projected Sales Forecast'!$E$31*'4. Projected Sales Forecast'!Q37</f>
        <v/>
      </c>
      <c r="O10" s="156">
        <f>'4. Projected Sales Forecast'!$E$31*'4. Projected Sales Forecast'!R37</f>
        <v/>
      </c>
      <c r="P10" s="156">
        <f>'4. Projected Sales Forecast'!$E$31*'4. Projected Sales Forecast'!S37</f>
        <v/>
      </c>
      <c r="Q10" s="182">
        <f>SUM(E10:P10)</f>
        <v/>
      </c>
    </row>
    <row r="11" outlineLevel="1" ht="12.75" customHeight="1" s="131">
      <c r="A11" s="137" t="n"/>
      <c r="B11" s="137">
        <f>IF('5. Projected Sales Forecast (2)'!E9&gt;0,'5. Projected Sales Forecast (2)'!A8,"")</f>
        <v/>
      </c>
      <c r="C11" s="137" t="n"/>
      <c r="D11" s="145" t="n"/>
      <c r="E11" s="156">
        <f>IF('5. Projected Sales Forecast (2)'!$E$9&gt;0,'5. Projected Sales Forecast (2)'!$E$9*'5. Projected Sales Forecast (2)'!H15,"")</f>
        <v/>
      </c>
      <c r="F11" s="156">
        <f>IF('5. Projected Sales Forecast (2)'!$E$9&gt;0,'5. Projected Sales Forecast (2)'!$E$9*'5. Projected Sales Forecast (2)'!I15,"")</f>
        <v/>
      </c>
      <c r="G11" s="156">
        <f>IF('5. Projected Sales Forecast (2)'!$E$9&gt;0,'5. Projected Sales Forecast (2)'!$E$9*'5. Projected Sales Forecast (2)'!J15,"")</f>
        <v/>
      </c>
      <c r="H11" s="156">
        <f>IF('5. Projected Sales Forecast (2)'!$E$9&gt;0,'5. Projected Sales Forecast (2)'!$E$9*'5. Projected Sales Forecast (2)'!K15,"")</f>
        <v/>
      </c>
      <c r="I11" s="156">
        <f>IF('5. Projected Sales Forecast (2)'!$E$9&gt;0,'5. Projected Sales Forecast (2)'!$E$9*'5. Projected Sales Forecast (2)'!L15,"")</f>
        <v/>
      </c>
      <c r="J11" s="156">
        <f>IF('5. Projected Sales Forecast (2)'!$E$9&gt;0,'5. Projected Sales Forecast (2)'!$E$9*'5. Projected Sales Forecast (2)'!M15,"")</f>
        <v/>
      </c>
      <c r="K11" s="156">
        <f>IF('5. Projected Sales Forecast (2)'!$E$9&gt;0,'5. Projected Sales Forecast (2)'!$E$9*'5. Projected Sales Forecast (2)'!N15,"")</f>
        <v/>
      </c>
      <c r="L11" s="156">
        <f>IF('5. Projected Sales Forecast (2)'!$E$9&gt;0,'5. Projected Sales Forecast (2)'!$E$9*'5. Projected Sales Forecast (2)'!O15,"")</f>
        <v/>
      </c>
      <c r="M11" s="156">
        <f>IF('5. Projected Sales Forecast (2)'!$E$9&gt;0,'5. Projected Sales Forecast (2)'!$E$9*'5. Projected Sales Forecast (2)'!P15,"")</f>
        <v/>
      </c>
      <c r="N11" s="156">
        <f>IF('5. Projected Sales Forecast (2)'!$E$9&gt;0,'5. Projected Sales Forecast (2)'!$E$9*'5. Projected Sales Forecast (2)'!Q15,"")</f>
        <v/>
      </c>
      <c r="O11" s="156">
        <f>IF('5. Projected Sales Forecast (2)'!$E$9&gt;0,'5. Projected Sales Forecast (2)'!$E$9*'5. Projected Sales Forecast (2)'!R15,"")</f>
        <v/>
      </c>
      <c r="P11" s="156">
        <f>IF('5. Projected Sales Forecast (2)'!$E$9&gt;0,'5. Projected Sales Forecast (2)'!$E$9*'5. Projected Sales Forecast (2)'!S15,"")</f>
        <v/>
      </c>
      <c r="Q11" s="182">
        <f>SUM(E11:P11)</f>
        <v/>
      </c>
    </row>
    <row r="12" outlineLevel="1" ht="12.75" customHeight="1" s="131">
      <c r="A12" s="137" t="n"/>
      <c r="B12" s="137">
        <f>IF('5. Projected Sales Forecast (2)'!E31&gt;0,'5. Projected Sales Forecast (2)'!A30,"")</f>
        <v/>
      </c>
      <c r="C12" s="137" t="n"/>
      <c r="D12" s="145" t="n"/>
      <c r="E12" s="162">
        <f>IF('5. Projected Sales Forecast (2)'!$E$31&gt;0,'5. Projected Sales Forecast (2)'!$E$31*'5. Projected Sales Forecast (2)'!H37,"")</f>
        <v/>
      </c>
      <c r="F12" s="162">
        <f>IF('5. Projected Sales Forecast (2)'!$E$31&gt;0,'5. Projected Sales Forecast (2)'!$E$31*'5. Projected Sales Forecast (2)'!I37,"")</f>
        <v/>
      </c>
      <c r="G12" s="162">
        <f>IF('5. Projected Sales Forecast (2)'!$E$31&gt;0,'5. Projected Sales Forecast (2)'!$E$31*'5. Projected Sales Forecast (2)'!J37,"")</f>
        <v/>
      </c>
      <c r="H12" s="162">
        <f>IF('5. Projected Sales Forecast (2)'!$E$31&gt;0,'5. Projected Sales Forecast (2)'!$E$31*'5. Projected Sales Forecast (2)'!K37,"")</f>
        <v/>
      </c>
      <c r="I12" s="162">
        <f>IF('5. Projected Sales Forecast (2)'!$E$31&gt;0,'5. Projected Sales Forecast (2)'!$E$31*'5. Projected Sales Forecast (2)'!L37,"")</f>
        <v/>
      </c>
      <c r="J12" s="162">
        <f>IF('5. Projected Sales Forecast (2)'!$E$31&gt;0,'5. Projected Sales Forecast (2)'!$E$31*'5. Projected Sales Forecast (2)'!M37,"")</f>
        <v/>
      </c>
      <c r="K12" s="162">
        <f>IF('5. Projected Sales Forecast (2)'!$E$31&gt;0,'5. Projected Sales Forecast (2)'!$E$31*'5. Projected Sales Forecast (2)'!N37,"")</f>
        <v/>
      </c>
      <c r="L12" s="162">
        <f>IF('5. Projected Sales Forecast (2)'!$E$31&gt;0,'5. Projected Sales Forecast (2)'!$E$31*'5. Projected Sales Forecast (2)'!O37,"")</f>
        <v/>
      </c>
      <c r="M12" s="162">
        <f>IF('5. Projected Sales Forecast (2)'!$E$31&gt;0,'5. Projected Sales Forecast (2)'!$E$31*'5. Projected Sales Forecast (2)'!P37,"")</f>
        <v/>
      </c>
      <c r="N12" s="162">
        <f>IF('5. Projected Sales Forecast (2)'!$E$31&gt;0,'5. Projected Sales Forecast (2)'!$E$31*'5. Projected Sales Forecast (2)'!Q37,"")</f>
        <v/>
      </c>
      <c r="O12" s="162">
        <f>IF('5. Projected Sales Forecast (2)'!$E$31&gt;0,'5. Projected Sales Forecast (2)'!$E$31*'5. Projected Sales Forecast (2)'!R37,"")</f>
        <v/>
      </c>
      <c r="P12" s="162">
        <f>IF('5. Projected Sales Forecast (2)'!$E$31&gt;0,'5. Projected Sales Forecast (2)'!$E$31*'5. Projected Sales Forecast (2)'!S37,"")</f>
        <v/>
      </c>
      <c r="Q12" s="218">
        <f>SUM(E12:P12)</f>
        <v/>
      </c>
    </row>
    <row r="13" ht="12.75" customHeight="1" s="131">
      <c r="A13" s="137" t="inlineStr">
        <is>
          <t>Total Income</t>
        </is>
      </c>
      <c r="B13" s="137" t="n"/>
      <c r="C13" s="137" t="n"/>
      <c r="D13" s="145" t="n"/>
      <c r="E13" s="182">
        <f>SUM(E9:E12)</f>
        <v/>
      </c>
      <c r="F13" s="182">
        <f>SUM(F9:F12)</f>
        <v/>
      </c>
      <c r="G13" s="182">
        <f>SUM(G9:G12)</f>
        <v/>
      </c>
      <c r="H13" s="182">
        <f>SUM(H9:H12)</f>
        <v/>
      </c>
      <c r="I13" s="182">
        <f>SUM(I9:I12)</f>
        <v/>
      </c>
      <c r="J13" s="182">
        <f>SUM(J9:J12)</f>
        <v/>
      </c>
      <c r="K13" s="182">
        <f>SUM(K9:K12)</f>
        <v/>
      </c>
      <c r="L13" s="182">
        <f>SUM(L9:L12)</f>
        <v/>
      </c>
      <c r="M13" s="182">
        <f>SUM(M9:M12)</f>
        <v/>
      </c>
      <c r="N13" s="182">
        <f>SUM(N9:N12)</f>
        <v/>
      </c>
      <c r="O13" s="182">
        <f>SUM(O9:O12)</f>
        <v/>
      </c>
      <c r="P13" s="182">
        <f>SUM(P9:P12)</f>
        <v/>
      </c>
      <c r="Q13" s="182">
        <f>SUM(Q9:Q12)</f>
        <v/>
      </c>
    </row>
    <row r="14" ht="12.75" customHeight="1" s="131">
      <c r="A14" s="137" t="n"/>
      <c r="B14" s="137" t="n"/>
      <c r="C14" s="137" t="n"/>
      <c r="D14" s="145" t="n"/>
      <c r="E14" s="145" t="n"/>
      <c r="F14" s="145" t="n"/>
      <c r="G14" s="145" t="n"/>
      <c r="H14" s="145" t="n"/>
      <c r="I14" s="145" t="n"/>
      <c r="J14" s="145" t="n"/>
      <c r="K14" s="145" t="n"/>
      <c r="L14" s="145" t="n"/>
      <c r="M14" s="145" t="n"/>
      <c r="N14" s="145" t="n"/>
      <c r="O14" s="145" t="n"/>
      <c r="P14" s="145" t="n"/>
      <c r="Q14" s="145" t="n"/>
    </row>
    <row r="15" outlineLevel="1" ht="12.75" customHeight="1" s="131">
      <c r="A15" s="137" t="inlineStr">
        <is>
          <t>Cost of Sales</t>
        </is>
      </c>
      <c r="B15" s="137" t="n"/>
      <c r="C15" s="137" t="n"/>
      <c r="D15" s="145" t="n"/>
      <c r="E15" s="156" t="n"/>
      <c r="F15" s="156" t="n"/>
      <c r="G15" s="156" t="n"/>
      <c r="H15" s="156" t="n"/>
      <c r="I15" s="156" t="n"/>
      <c r="J15" s="156" t="n"/>
      <c r="K15" s="156" t="n"/>
      <c r="L15" s="156" t="n"/>
      <c r="M15" s="156" t="n"/>
      <c r="N15" s="156" t="n"/>
      <c r="O15" s="156" t="n"/>
      <c r="P15" s="156" t="n"/>
      <c r="Q15" s="156" t="n"/>
    </row>
    <row r="16" outlineLevel="1" ht="12.75" customHeight="1" s="131">
      <c r="A16" s="137" t="n"/>
      <c r="B16" s="137">
        <f>B9</f>
        <v/>
      </c>
      <c r="C16" s="137" t="n"/>
      <c r="D16" s="145" t="n"/>
      <c r="E16" s="156">
        <f>'4. Projected Sales Forecast'!$E$10*'4. Projected Sales Forecast'!H15</f>
        <v/>
      </c>
      <c r="F16" s="156">
        <f>'4. Projected Sales Forecast'!$E$10*'4. Projected Sales Forecast'!I15</f>
        <v/>
      </c>
      <c r="G16" s="156">
        <f>'4. Projected Sales Forecast'!$E$10*'4. Projected Sales Forecast'!J15</f>
        <v/>
      </c>
      <c r="H16" s="156">
        <f>'4. Projected Sales Forecast'!$E$10*'4. Projected Sales Forecast'!K15</f>
        <v/>
      </c>
      <c r="I16" s="156">
        <f>'4. Projected Sales Forecast'!$E$10*'4. Projected Sales Forecast'!L15</f>
        <v/>
      </c>
      <c r="J16" s="156">
        <f>'4. Projected Sales Forecast'!$E$10*'4. Projected Sales Forecast'!M15</f>
        <v/>
      </c>
      <c r="K16" s="156">
        <f>'4. Projected Sales Forecast'!$E$10*'4. Projected Sales Forecast'!N15</f>
        <v/>
      </c>
      <c r="L16" s="156">
        <f>'4. Projected Sales Forecast'!$E$10*'4. Projected Sales Forecast'!O15</f>
        <v/>
      </c>
      <c r="M16" s="156">
        <f>'4. Projected Sales Forecast'!$E$10*'4. Projected Sales Forecast'!P15</f>
        <v/>
      </c>
      <c r="N16" s="156">
        <f>'4. Projected Sales Forecast'!$E$10*'4. Projected Sales Forecast'!Q15</f>
        <v/>
      </c>
      <c r="O16" s="156">
        <f>'4. Projected Sales Forecast'!$E$10*'4. Projected Sales Forecast'!R15</f>
        <v/>
      </c>
      <c r="P16" s="156">
        <f>'4. Projected Sales Forecast'!$E$10*'4. Projected Sales Forecast'!S15</f>
        <v/>
      </c>
      <c r="Q16" s="156">
        <f>SUM(E16:P16)</f>
        <v/>
      </c>
    </row>
    <row r="17" outlineLevel="1" ht="12.75" customHeight="1" s="131">
      <c r="A17" s="137" t="n"/>
      <c r="B17" s="137">
        <f>B10</f>
        <v/>
      </c>
      <c r="C17" s="137" t="n"/>
      <c r="D17" s="145" t="n"/>
      <c r="E17" s="182">
        <f>'4. Projected Sales Forecast'!$E$32*'4. Projected Sales Forecast'!H37</f>
        <v/>
      </c>
      <c r="F17" s="182">
        <f>'4. Projected Sales Forecast'!$E$32*'4. Projected Sales Forecast'!I37</f>
        <v/>
      </c>
      <c r="G17" s="182">
        <f>'4. Projected Sales Forecast'!$E$32*'4. Projected Sales Forecast'!J37</f>
        <v/>
      </c>
      <c r="H17" s="182">
        <f>'4. Projected Sales Forecast'!$E$32*'4. Projected Sales Forecast'!K37</f>
        <v/>
      </c>
      <c r="I17" s="182">
        <f>'4. Projected Sales Forecast'!$E$32*'4. Projected Sales Forecast'!L37</f>
        <v/>
      </c>
      <c r="J17" s="182">
        <f>'4. Projected Sales Forecast'!$E$32*'4. Projected Sales Forecast'!M37</f>
        <v/>
      </c>
      <c r="K17" s="182">
        <f>'4. Projected Sales Forecast'!$E$32*'4. Projected Sales Forecast'!N37</f>
        <v/>
      </c>
      <c r="L17" s="182">
        <f>'4. Projected Sales Forecast'!$E$32*'4. Projected Sales Forecast'!O37</f>
        <v/>
      </c>
      <c r="M17" s="182">
        <f>'4. Projected Sales Forecast'!$E$32*'4. Projected Sales Forecast'!P37</f>
        <v/>
      </c>
      <c r="N17" s="182">
        <f>'4. Projected Sales Forecast'!$E$32*'4. Projected Sales Forecast'!Q37</f>
        <v/>
      </c>
      <c r="O17" s="182">
        <f>'4. Projected Sales Forecast'!$E$32*'4. Projected Sales Forecast'!R37</f>
        <v/>
      </c>
      <c r="P17" s="182">
        <f>'4. Projected Sales Forecast'!$E$32*'4. Projected Sales Forecast'!S37</f>
        <v/>
      </c>
      <c r="Q17" s="156">
        <f>SUM(E17:P17)</f>
        <v/>
      </c>
    </row>
    <row r="18" outlineLevel="1" ht="12.75" customHeight="1" s="131">
      <c r="A18" s="137" t="n"/>
      <c r="B18" s="137">
        <f>B11</f>
        <v/>
      </c>
      <c r="C18" s="137" t="n"/>
      <c r="D18" s="145" t="n"/>
      <c r="E18" s="182">
        <f>IF('5. Projected Sales Forecast (2)'!$E$10&gt;0,'5. Projected Sales Forecast (2)'!$E$10*'5. Projected Sales Forecast (2)'!H15,"")</f>
        <v/>
      </c>
      <c r="F18" s="182">
        <f>IF('5. Projected Sales Forecast (2)'!$E$10&gt;0,'5. Projected Sales Forecast (2)'!$E$10*'5. Projected Sales Forecast (2)'!I15,"")</f>
        <v/>
      </c>
      <c r="G18" s="182">
        <f>IF('5. Projected Sales Forecast (2)'!$E$10&gt;0,'5. Projected Sales Forecast (2)'!$E$10*'5. Projected Sales Forecast (2)'!J15,"")</f>
        <v/>
      </c>
      <c r="H18" s="182">
        <f>IF('5. Projected Sales Forecast (2)'!$E$10&gt;0,'5. Projected Sales Forecast (2)'!$E$10*'5. Projected Sales Forecast (2)'!K15,"")</f>
        <v/>
      </c>
      <c r="I18" s="182">
        <f>IF('5. Projected Sales Forecast (2)'!$E$10&gt;0,'5. Projected Sales Forecast (2)'!$E$10*'5. Projected Sales Forecast (2)'!L15,"")</f>
        <v/>
      </c>
      <c r="J18" s="182">
        <f>IF('5. Projected Sales Forecast (2)'!$E$10&gt;0,'5. Projected Sales Forecast (2)'!$E$10*'5. Projected Sales Forecast (2)'!M15,"")</f>
        <v/>
      </c>
      <c r="K18" s="182">
        <f>IF('5. Projected Sales Forecast (2)'!$E$10&gt;0,'5. Projected Sales Forecast (2)'!$E$10*'5. Projected Sales Forecast (2)'!N15,"")</f>
        <v/>
      </c>
      <c r="L18" s="182">
        <f>IF('5. Projected Sales Forecast (2)'!$E$10&gt;0,'5. Projected Sales Forecast (2)'!$E$10*'5. Projected Sales Forecast (2)'!O15,"")</f>
        <v/>
      </c>
      <c r="M18" s="182">
        <f>IF('5. Projected Sales Forecast (2)'!$E$10&gt;0,'5. Projected Sales Forecast (2)'!$E$10*'5. Projected Sales Forecast (2)'!P15,"")</f>
        <v/>
      </c>
      <c r="N18" s="182">
        <f>IF('5. Projected Sales Forecast (2)'!$E$10&gt;0,'5. Projected Sales Forecast (2)'!$E$10*'5. Projected Sales Forecast (2)'!Q15,"")</f>
        <v/>
      </c>
      <c r="O18" s="182">
        <f>IF('5. Projected Sales Forecast (2)'!$E$10&gt;0,'5. Projected Sales Forecast (2)'!$E$10*'5. Projected Sales Forecast (2)'!R15,"")</f>
        <v/>
      </c>
      <c r="P18" s="182">
        <f>IF('5. Projected Sales Forecast (2)'!$E$10&gt;0,'5. Projected Sales Forecast (2)'!$E$10*'5. Projected Sales Forecast (2)'!S15,"")</f>
        <v/>
      </c>
      <c r="Q18" s="156">
        <f>SUM(E18:P18)</f>
        <v/>
      </c>
    </row>
    <row r="19" outlineLevel="1" ht="12.75" customHeight="1" s="131">
      <c r="A19" s="137" t="n"/>
      <c r="B19" s="137">
        <f>B12</f>
        <v/>
      </c>
      <c r="C19" s="137" t="n"/>
      <c r="D19" s="145" t="n"/>
      <c r="E19" s="162">
        <f>IF('5. Projected Sales Forecast (2)'!$E$32&gt;0,'5. Projected Sales Forecast (2)'!$E$32*'5. Projected Sales Forecast (2)'!H37,"")</f>
        <v/>
      </c>
      <c r="F19" s="162">
        <f>IF('5. Projected Sales Forecast (2)'!$E$32&gt;0,'5. Projected Sales Forecast (2)'!$E$32*'5. Projected Sales Forecast (2)'!I37,"")</f>
        <v/>
      </c>
      <c r="G19" s="162">
        <f>IF('5. Projected Sales Forecast (2)'!$E$32&gt;0,'5. Projected Sales Forecast (2)'!$E$32*'5. Projected Sales Forecast (2)'!J37,"")</f>
        <v/>
      </c>
      <c r="H19" s="162">
        <f>IF('5. Projected Sales Forecast (2)'!$E$32&gt;0,'5. Projected Sales Forecast (2)'!$E$32*'5. Projected Sales Forecast (2)'!K37,"")</f>
        <v/>
      </c>
      <c r="I19" s="162">
        <f>IF('5. Projected Sales Forecast (2)'!$E$32&gt;0,'5. Projected Sales Forecast (2)'!$E$32*'5. Projected Sales Forecast (2)'!L37,"")</f>
        <v/>
      </c>
      <c r="J19" s="162">
        <f>IF('5. Projected Sales Forecast (2)'!$E$32&gt;0,'5. Projected Sales Forecast (2)'!$E$32*'5. Projected Sales Forecast (2)'!M37,"")</f>
        <v/>
      </c>
      <c r="K19" s="162">
        <f>IF('5. Projected Sales Forecast (2)'!$E$32&gt;0,'5. Projected Sales Forecast (2)'!$E$32*'5. Projected Sales Forecast (2)'!N37,"")</f>
        <v/>
      </c>
      <c r="L19" s="162">
        <f>IF('5. Projected Sales Forecast (2)'!$E$32&gt;0,'5. Projected Sales Forecast (2)'!$E$32*'5. Projected Sales Forecast (2)'!O37,"")</f>
        <v/>
      </c>
      <c r="M19" s="162">
        <f>IF('5. Projected Sales Forecast (2)'!$E$32&gt;0,'5. Projected Sales Forecast (2)'!$E$32*'5. Projected Sales Forecast (2)'!P37,"")</f>
        <v/>
      </c>
      <c r="N19" s="162">
        <f>IF('5. Projected Sales Forecast (2)'!$E$32&gt;0,'5. Projected Sales Forecast (2)'!$E$32*'5. Projected Sales Forecast (2)'!Q37,"")</f>
        <v/>
      </c>
      <c r="O19" s="162">
        <f>IF('5. Projected Sales Forecast (2)'!$E$32&gt;0,'5. Projected Sales Forecast (2)'!$E$32*'5. Projected Sales Forecast (2)'!R37,"")</f>
        <v/>
      </c>
      <c r="P19" s="162">
        <f>IF('5. Projected Sales Forecast (2)'!$E$32&gt;0,'5. Projected Sales Forecast (2)'!$E$32*'5. Projected Sales Forecast (2)'!S37,"")</f>
        <v/>
      </c>
      <c r="Q19" s="162">
        <f>SUM(E19:P19)</f>
        <v/>
      </c>
    </row>
    <row r="20" ht="12.75" customHeight="1" s="131">
      <c r="A20" s="137" t="inlineStr">
        <is>
          <t>Total Cost of Sales</t>
        </is>
      </c>
      <c r="B20" s="137" t="n"/>
      <c r="C20" s="137" t="n"/>
      <c r="D20" s="145" t="n"/>
      <c r="E20" s="156">
        <f>SUM(E16:E19)</f>
        <v/>
      </c>
      <c r="F20" s="156">
        <f>SUM(F16:F19)</f>
        <v/>
      </c>
      <c r="G20" s="156">
        <f>SUM(G16:G19)</f>
        <v/>
      </c>
      <c r="H20" s="156">
        <f>SUM(H16:H19)</f>
        <v/>
      </c>
      <c r="I20" s="156">
        <f>SUM(I16:I19)</f>
        <v/>
      </c>
      <c r="J20" s="156">
        <f>SUM(J16:J19)</f>
        <v/>
      </c>
      <c r="K20" s="156">
        <f>SUM(K16:K19)</f>
        <v/>
      </c>
      <c r="L20" s="156">
        <f>SUM(L16:L19)</f>
        <v/>
      </c>
      <c r="M20" s="156">
        <f>SUM(M16:M19)</f>
        <v/>
      </c>
      <c r="N20" s="156">
        <f>SUM(N16:N19)</f>
        <v/>
      </c>
      <c r="O20" s="156">
        <f>SUM(O16:O19)</f>
        <v/>
      </c>
      <c r="P20" s="156">
        <f>SUM(P16:P19)</f>
        <v/>
      </c>
      <c r="Q20" s="156">
        <f>SUM(Q16:Q19)</f>
        <v/>
      </c>
    </row>
    <row r="21" ht="12.75" customHeight="1" s="131">
      <c r="A21" s="137" t="n"/>
      <c r="B21" s="137" t="n"/>
      <c r="C21" s="137" t="n"/>
      <c r="D21" s="145" t="n"/>
      <c r="E21" s="182" t="n"/>
      <c r="F21" s="182" t="n"/>
      <c r="G21" s="182" t="n"/>
      <c r="H21" s="182" t="n"/>
      <c r="I21" s="182" t="n"/>
      <c r="J21" s="182" t="n"/>
      <c r="K21" s="182" t="n"/>
      <c r="L21" s="182" t="n"/>
      <c r="M21" s="182" t="n"/>
      <c r="N21" s="182" t="n"/>
      <c r="O21" s="182" t="n"/>
      <c r="P21" s="182" t="n"/>
      <c r="Q21" s="182" t="n"/>
    </row>
    <row r="22" ht="12.75" customHeight="1" s="131">
      <c r="A22" s="137" t="inlineStr">
        <is>
          <t>Gross Margin</t>
        </is>
      </c>
      <c r="B22" s="137" t="n"/>
      <c r="C22" s="137" t="n"/>
      <c r="D22" s="145" t="n"/>
      <c r="E22" s="218">
        <f>E13-E20</f>
        <v/>
      </c>
      <c r="F22" s="218">
        <f>F13-F20</f>
        <v/>
      </c>
      <c r="G22" s="218">
        <f>G13-G20</f>
        <v/>
      </c>
      <c r="H22" s="218">
        <f>H13-H20</f>
        <v/>
      </c>
      <c r="I22" s="218">
        <f>I13-I20</f>
        <v/>
      </c>
      <c r="J22" s="218">
        <f>J13-J20</f>
        <v/>
      </c>
      <c r="K22" s="218">
        <f>K13-K20</f>
        <v/>
      </c>
      <c r="L22" s="218">
        <f>L13-L20</f>
        <v/>
      </c>
      <c r="M22" s="218">
        <f>M13-M20</f>
        <v/>
      </c>
      <c r="N22" s="218">
        <f>N13-N20</f>
        <v/>
      </c>
      <c r="O22" s="218">
        <f>O13-O20</f>
        <v/>
      </c>
      <c r="P22" s="218">
        <f>P13-P20</f>
        <v/>
      </c>
      <c r="Q22" s="218">
        <f>Q13-Q20</f>
        <v/>
      </c>
    </row>
    <row r="23" ht="12.75" customHeight="1" s="131">
      <c r="A23" s="137" t="n"/>
      <c r="B23" s="137" t="n"/>
      <c r="C23" s="137" t="n"/>
      <c r="D23" s="145" t="n"/>
      <c r="E23" s="156" t="n"/>
      <c r="F23" s="156" t="n"/>
      <c r="G23" s="156" t="n"/>
      <c r="H23" s="156" t="n"/>
      <c r="I23" s="156" t="n"/>
      <c r="J23" s="156" t="n"/>
      <c r="K23" s="156" t="n"/>
      <c r="L23" s="156" t="n"/>
      <c r="M23" s="156" t="n"/>
      <c r="N23" s="156" t="n"/>
      <c r="O23" s="156" t="n"/>
      <c r="P23" s="156" t="n"/>
      <c r="Q23" s="156" t="n"/>
    </row>
    <row r="24" hidden="1" outlineLevel="1" ht="12.75" customHeight="1" s="131">
      <c r="A24" s="137">
        <f>'2. Salaries and Wages'!A10</f>
        <v/>
      </c>
      <c r="B24" s="137" t="n"/>
      <c r="C24" s="137" t="n"/>
      <c r="D24" s="145" t="n"/>
      <c r="E24" s="156" t="n"/>
      <c r="F24" s="156" t="n"/>
      <c r="G24" s="156" t="n"/>
      <c r="H24" s="156" t="n"/>
      <c r="I24" s="156" t="n"/>
      <c r="J24" s="156" t="n"/>
      <c r="K24" s="156" t="n"/>
      <c r="L24" s="156" t="n"/>
      <c r="M24" s="156" t="n"/>
      <c r="N24" s="156" t="n"/>
      <c r="O24" s="156" t="n"/>
      <c r="P24" s="156" t="n"/>
      <c r="Q24" s="156" t="n"/>
    </row>
    <row r="25" hidden="1" outlineLevel="1" ht="12.75" customHeight="1" s="131">
      <c r="A25" s="137" t="n"/>
      <c r="B25" s="137">
        <f>'2. Salaries and Wages'!B11</f>
        <v/>
      </c>
      <c r="C25" s="137" t="n"/>
      <c r="D25" s="145" t="n"/>
      <c r="E25" s="156">
        <f>'2. Salaries and Wages'!N11/12</f>
        <v/>
      </c>
      <c r="F25" s="156">
        <f>E25</f>
        <v/>
      </c>
      <c r="G25" s="156">
        <f>F25</f>
        <v/>
      </c>
      <c r="H25" s="156">
        <f>G25</f>
        <v/>
      </c>
      <c r="I25" s="156">
        <f>H25</f>
        <v/>
      </c>
      <c r="J25" s="156">
        <f>I25</f>
        <v/>
      </c>
      <c r="K25" s="156">
        <f>J25</f>
        <v/>
      </c>
      <c r="L25" s="156">
        <f>K25</f>
        <v/>
      </c>
      <c r="M25" s="156">
        <f>L25</f>
        <v/>
      </c>
      <c r="N25" s="156">
        <f>M25</f>
        <v/>
      </c>
      <c r="O25" s="156">
        <f>N25</f>
        <v/>
      </c>
      <c r="P25" s="156">
        <f>O25</f>
        <v/>
      </c>
      <c r="Q25" s="156">
        <f>SUM(E25:P25)</f>
        <v/>
      </c>
    </row>
    <row r="26" hidden="1" outlineLevel="1" ht="12.75" customHeight="1" s="131">
      <c r="A26" s="137" t="n"/>
      <c r="B26" s="137">
        <f>'2. Salaries and Wages'!B12</f>
        <v/>
      </c>
      <c r="C26" s="137" t="n"/>
      <c r="D26" s="145" t="n"/>
      <c r="E26" s="156">
        <f>'2. Salaries and Wages'!N12/12</f>
        <v/>
      </c>
      <c r="F26" s="156">
        <f>E26</f>
        <v/>
      </c>
      <c r="G26" s="156">
        <f>F26</f>
        <v/>
      </c>
      <c r="H26" s="156">
        <f>G26</f>
        <v/>
      </c>
      <c r="I26" s="156">
        <f>H26</f>
        <v/>
      </c>
      <c r="J26" s="156">
        <f>I26</f>
        <v/>
      </c>
      <c r="K26" s="156">
        <f>J26</f>
        <v/>
      </c>
      <c r="L26" s="156">
        <f>K26</f>
        <v/>
      </c>
      <c r="M26" s="156">
        <f>L26</f>
        <v/>
      </c>
      <c r="N26" s="156">
        <f>M26</f>
        <v/>
      </c>
      <c r="O26" s="156">
        <f>N26</f>
        <v/>
      </c>
      <c r="P26" s="156">
        <f>O26</f>
        <v/>
      </c>
      <c r="Q26" s="156">
        <f>SUM(E26:P26)</f>
        <v/>
      </c>
    </row>
    <row r="27" hidden="1" outlineLevel="1" ht="12.75" customHeight="1" s="131">
      <c r="A27" s="137" t="n"/>
      <c r="B27" s="137">
        <f>'2. Salaries and Wages'!C14</f>
        <v/>
      </c>
      <c r="C27" s="137" t="n"/>
      <c r="D27" s="145" t="n"/>
      <c r="E27" s="156">
        <f>'2. Salaries and Wages'!N14/12</f>
        <v/>
      </c>
      <c r="F27" s="156">
        <f>E27</f>
        <v/>
      </c>
      <c r="G27" s="156">
        <f>F27</f>
        <v/>
      </c>
      <c r="H27" s="156">
        <f>G27</f>
        <v/>
      </c>
      <c r="I27" s="156">
        <f>H27</f>
        <v/>
      </c>
      <c r="J27" s="156">
        <f>I27</f>
        <v/>
      </c>
      <c r="K27" s="156">
        <f>J27</f>
        <v/>
      </c>
      <c r="L27" s="156">
        <f>K27</f>
        <v/>
      </c>
      <c r="M27" s="156">
        <f>L27</f>
        <v/>
      </c>
      <c r="N27" s="156">
        <f>M27</f>
        <v/>
      </c>
      <c r="O27" s="156">
        <f>N27</f>
        <v/>
      </c>
      <c r="P27" s="156">
        <f>O27</f>
        <v/>
      </c>
      <c r="Q27" s="156">
        <f>SUM(E27:P27)</f>
        <v/>
      </c>
    </row>
    <row r="28" hidden="1" outlineLevel="1" ht="12.75" customHeight="1" s="131">
      <c r="A28" s="137" t="n"/>
      <c r="B28" s="137">
        <f>'2. Salaries and Wages'!C17</f>
        <v/>
      </c>
      <c r="C28" s="137" t="n"/>
      <c r="D28" s="145" t="n"/>
      <c r="E28" s="156">
        <f>'2. Salaries and Wages'!N17/12</f>
        <v/>
      </c>
      <c r="F28" s="156">
        <f>E28</f>
        <v/>
      </c>
      <c r="G28" s="156">
        <f>F28</f>
        <v/>
      </c>
      <c r="H28" s="156">
        <f>G28</f>
        <v/>
      </c>
      <c r="I28" s="156">
        <f>H28</f>
        <v/>
      </c>
      <c r="J28" s="156">
        <f>I28</f>
        <v/>
      </c>
      <c r="K28" s="156">
        <f>J28</f>
        <v/>
      </c>
      <c r="L28" s="156">
        <f>K28</f>
        <v/>
      </c>
      <c r="M28" s="156">
        <f>L28</f>
        <v/>
      </c>
      <c r="N28" s="156">
        <f>M28</f>
        <v/>
      </c>
      <c r="O28" s="156">
        <f>N28</f>
        <v/>
      </c>
      <c r="P28" s="156">
        <f>O28</f>
        <v/>
      </c>
      <c r="Q28" s="156">
        <f>SUM(E28:P28)</f>
        <v/>
      </c>
    </row>
    <row r="29" hidden="1" outlineLevel="1" ht="12.75" customHeight="1" s="131">
      <c r="A29" s="137" t="n"/>
      <c r="B29" s="137">
        <f>'2. Salaries and Wages'!B20</f>
        <v/>
      </c>
      <c r="C29" s="137" t="n"/>
      <c r="D29" s="145" t="n"/>
      <c r="E29" s="156">
        <f>'2. Salaries and Wages'!N20/12</f>
        <v/>
      </c>
      <c r="F29" s="156">
        <f>E29</f>
        <v/>
      </c>
      <c r="G29" s="156">
        <f>F29</f>
        <v/>
      </c>
      <c r="H29" s="156">
        <f>G29</f>
        <v/>
      </c>
      <c r="I29" s="156">
        <f>H29</f>
        <v/>
      </c>
      <c r="J29" s="156">
        <f>I29</f>
        <v/>
      </c>
      <c r="K29" s="156">
        <f>J29</f>
        <v/>
      </c>
      <c r="L29" s="156">
        <f>K29</f>
        <v/>
      </c>
      <c r="M29" s="156">
        <f>L29</f>
        <v/>
      </c>
      <c r="N29" s="156">
        <f>M29</f>
        <v/>
      </c>
      <c r="O29" s="156">
        <f>N29</f>
        <v/>
      </c>
      <c r="P29" s="156">
        <f>O29</f>
        <v/>
      </c>
      <c r="Q29" s="156">
        <f>SUM(E29:P29)</f>
        <v/>
      </c>
    </row>
    <row r="30" hidden="1" outlineLevel="1" ht="12.75" customHeight="1" s="131">
      <c r="A30" s="137" t="n"/>
      <c r="B30" s="137">
        <f>'2. Salaries and Wages'!A23</f>
        <v/>
      </c>
      <c r="C30" s="137" t="n"/>
      <c r="D30" s="145" t="n"/>
      <c r="E30" s="162">
        <f>'2. Salaries and Wages'!N32/12</f>
        <v/>
      </c>
      <c r="F30" s="162">
        <f>E30</f>
        <v/>
      </c>
      <c r="G30" s="162">
        <f>F30</f>
        <v/>
      </c>
      <c r="H30" s="162">
        <f>G30</f>
        <v/>
      </c>
      <c r="I30" s="162">
        <f>H30</f>
        <v/>
      </c>
      <c r="J30" s="162">
        <f>I30</f>
        <v/>
      </c>
      <c r="K30" s="162">
        <f>J30</f>
        <v/>
      </c>
      <c r="L30" s="162">
        <f>K30</f>
        <v/>
      </c>
      <c r="M30" s="162">
        <f>L30</f>
        <v/>
      </c>
      <c r="N30" s="162">
        <f>M30</f>
        <v/>
      </c>
      <c r="O30" s="162">
        <f>N30</f>
        <v/>
      </c>
      <c r="P30" s="162">
        <f>O30</f>
        <v/>
      </c>
      <c r="Q30" s="162">
        <f>SUM(E30:P30)</f>
        <v/>
      </c>
    </row>
    <row r="31" ht="12.75" customHeight="1" s="131">
      <c r="A31" s="137" t="inlineStr">
        <is>
          <t>Total Salary and Wages</t>
        </is>
      </c>
      <c r="B31" s="137" t="n"/>
      <c r="C31" s="137" t="n"/>
      <c r="D31" s="145" t="n"/>
      <c r="E31" s="156">
        <f>SUM(E25:E30)</f>
        <v/>
      </c>
      <c r="F31" s="156">
        <f>SUM(F25:F30)</f>
        <v/>
      </c>
      <c r="G31" s="156">
        <f>SUM(G25:G30)</f>
        <v/>
      </c>
      <c r="H31" s="156">
        <f>SUM(H25:H30)</f>
        <v/>
      </c>
      <c r="I31" s="156">
        <f>SUM(I25:I30)</f>
        <v/>
      </c>
      <c r="J31" s="156">
        <f>SUM(J25:J30)</f>
        <v/>
      </c>
      <c r="K31" s="156">
        <f>SUM(K25:K30)</f>
        <v/>
      </c>
      <c r="L31" s="156">
        <f>SUM(L25:L30)</f>
        <v/>
      </c>
      <c r="M31" s="156">
        <f>SUM(M25:M30)</f>
        <v/>
      </c>
      <c r="N31" s="156">
        <f>SUM(N25:N30)</f>
        <v/>
      </c>
      <c r="O31" s="156">
        <f>SUM(O25:O30)</f>
        <v/>
      </c>
      <c r="P31" s="156">
        <f>SUM(P25:P30)</f>
        <v/>
      </c>
      <c r="Q31" s="156">
        <f>SUM(Q25:Q30)</f>
        <v/>
      </c>
    </row>
    <row r="32" ht="12.75" customHeight="1" s="131">
      <c r="A32" s="137" t="n"/>
      <c r="B32" s="137" t="n"/>
      <c r="C32" s="137" t="n"/>
      <c r="D32" s="145" t="n"/>
      <c r="E32" s="156" t="n"/>
      <c r="F32" s="156" t="n"/>
      <c r="G32" s="156" t="n"/>
      <c r="H32" s="156" t="n"/>
      <c r="I32" s="156" t="n"/>
      <c r="J32" s="156" t="n"/>
      <c r="K32" s="156" t="n"/>
      <c r="L32" s="156" t="n"/>
      <c r="M32" s="156" t="n"/>
      <c r="N32" s="156" t="n"/>
      <c r="O32" s="156" t="n"/>
      <c r="P32" s="156" t="n"/>
      <c r="Q32" s="156" t="n"/>
    </row>
    <row r="33" outlineLevel="1" ht="12.75" customHeight="1" s="131">
      <c r="A33" s="137" t="inlineStr">
        <is>
          <t>Fixed Business Expenses</t>
        </is>
      </c>
      <c r="B33" s="137" t="n"/>
      <c r="C33" s="137" t="n"/>
      <c r="D33" s="145" t="n"/>
      <c r="E33" s="156" t="n"/>
      <c r="F33" s="156" t="n"/>
      <c r="G33" s="156" t="n"/>
      <c r="H33" s="156" t="n"/>
      <c r="I33" s="156" t="n"/>
      <c r="J33" s="156" t="n"/>
      <c r="K33" s="156" t="n"/>
      <c r="L33" s="156" t="n"/>
      <c r="M33" s="156" t="n"/>
      <c r="N33" s="156" t="n"/>
      <c r="O33" s="156" t="n"/>
      <c r="P33" s="156" t="n"/>
      <c r="Q33" s="156" t="n"/>
    </row>
    <row r="34" outlineLevel="1" ht="12.75" customHeight="1" s="131">
      <c r="A34" s="137" t="n"/>
      <c r="B34" s="137">
        <f>'3. Fixed Operating Expenses'!B11</f>
        <v/>
      </c>
      <c r="C34" s="137" t="n"/>
      <c r="D34" s="145" t="n"/>
      <c r="E34" s="156">
        <f>'3. Fixed Operating Expenses'!J11/12</f>
        <v/>
      </c>
      <c r="F34" s="156">
        <f>E34</f>
        <v/>
      </c>
      <c r="G34" s="156">
        <f>F34</f>
        <v/>
      </c>
      <c r="H34" s="156">
        <f>G34</f>
        <v/>
      </c>
      <c r="I34" s="156">
        <f>H34</f>
        <v/>
      </c>
      <c r="J34" s="156">
        <f>I34</f>
        <v/>
      </c>
      <c r="K34" s="156">
        <f>J34</f>
        <v/>
      </c>
      <c r="L34" s="156">
        <f>K34</f>
        <v/>
      </c>
      <c r="M34" s="156">
        <f>L34</f>
        <v/>
      </c>
      <c r="N34" s="156">
        <f>M34</f>
        <v/>
      </c>
      <c r="O34" s="156">
        <f>N34</f>
        <v/>
      </c>
      <c r="P34" s="156">
        <f>O34</f>
        <v/>
      </c>
      <c r="Q34" s="156">
        <f>SUM(E34:P34)</f>
        <v/>
      </c>
    </row>
    <row r="35" outlineLevel="1" ht="12.75" customHeight="1" s="131">
      <c r="A35" s="137" t="n"/>
      <c r="B35" s="137">
        <f>'3. Fixed Operating Expenses'!B12</f>
        <v/>
      </c>
      <c r="C35" s="137" t="n"/>
      <c r="D35" s="145" t="n"/>
      <c r="E35" s="156">
        <f>'3. Fixed Operating Expenses'!J12/12</f>
        <v/>
      </c>
      <c r="F35" s="156">
        <f>E35</f>
        <v/>
      </c>
      <c r="G35" s="156">
        <f>F35</f>
        <v/>
      </c>
      <c r="H35" s="156">
        <f>G35</f>
        <v/>
      </c>
      <c r="I35" s="156">
        <f>H35</f>
        <v/>
      </c>
      <c r="J35" s="156">
        <f>I35</f>
        <v/>
      </c>
      <c r="K35" s="156">
        <f>J35</f>
        <v/>
      </c>
      <c r="L35" s="156">
        <f>K35</f>
        <v/>
      </c>
      <c r="M35" s="156">
        <f>L35</f>
        <v/>
      </c>
      <c r="N35" s="156">
        <f>M35</f>
        <v/>
      </c>
      <c r="O35" s="156">
        <f>N35</f>
        <v/>
      </c>
      <c r="P35" s="156">
        <f>O35</f>
        <v/>
      </c>
      <c r="Q35" s="156">
        <f>SUM(E35:P35)</f>
        <v/>
      </c>
    </row>
    <row r="36" outlineLevel="1" ht="12.75" customHeight="1" s="131">
      <c r="A36" s="137" t="n"/>
      <c r="B36" s="137">
        <f>'3. Fixed Operating Expenses'!B13</f>
        <v/>
      </c>
      <c r="C36" s="137" t="n"/>
      <c r="D36" s="145" t="n"/>
      <c r="E36" s="156">
        <f>'3. Fixed Operating Expenses'!J13/12</f>
        <v/>
      </c>
      <c r="F36" s="156">
        <f>E36</f>
        <v/>
      </c>
      <c r="G36" s="156">
        <f>F36</f>
        <v/>
      </c>
      <c r="H36" s="156">
        <f>G36</f>
        <v/>
      </c>
      <c r="I36" s="156">
        <f>H36</f>
        <v/>
      </c>
      <c r="J36" s="156">
        <f>I36</f>
        <v/>
      </c>
      <c r="K36" s="156">
        <f>J36</f>
        <v/>
      </c>
      <c r="L36" s="156">
        <f>K36</f>
        <v/>
      </c>
      <c r="M36" s="156">
        <f>L36</f>
        <v/>
      </c>
      <c r="N36" s="156">
        <f>M36</f>
        <v/>
      </c>
      <c r="O36" s="156">
        <f>N36</f>
        <v/>
      </c>
      <c r="P36" s="156">
        <f>O36</f>
        <v/>
      </c>
      <c r="Q36" s="156">
        <f>SUM(E36:P36)</f>
        <v/>
      </c>
    </row>
    <row r="37" outlineLevel="1" ht="12.75" customHeight="1" s="131">
      <c r="A37" s="137" t="n"/>
      <c r="B37" s="137">
        <f>'3. Fixed Operating Expenses'!B14</f>
        <v/>
      </c>
      <c r="C37" s="137" t="n"/>
      <c r="D37" s="145" t="n"/>
      <c r="E37" s="156">
        <f>'3. Fixed Operating Expenses'!J14/12</f>
        <v/>
      </c>
      <c r="F37" s="156">
        <f>E37</f>
        <v/>
      </c>
      <c r="G37" s="156">
        <f>F37</f>
        <v/>
      </c>
      <c r="H37" s="156">
        <f>G37</f>
        <v/>
      </c>
      <c r="I37" s="156">
        <f>H37</f>
        <v/>
      </c>
      <c r="J37" s="156">
        <f>I37</f>
        <v/>
      </c>
      <c r="K37" s="156">
        <f>J37</f>
        <v/>
      </c>
      <c r="L37" s="156">
        <f>K37</f>
        <v/>
      </c>
      <c r="M37" s="156">
        <f>L37</f>
        <v/>
      </c>
      <c r="N37" s="156">
        <f>M37</f>
        <v/>
      </c>
      <c r="O37" s="156">
        <f>N37</f>
        <v/>
      </c>
      <c r="P37" s="156">
        <f>O37</f>
        <v/>
      </c>
      <c r="Q37" s="156">
        <f>SUM(E37:P37)</f>
        <v/>
      </c>
    </row>
    <row r="38" outlineLevel="1" ht="12.75" customHeight="1" s="131">
      <c r="A38" s="137" t="n"/>
      <c r="B38" s="137">
        <f>'3. Fixed Operating Expenses'!B15</f>
        <v/>
      </c>
      <c r="C38" s="137" t="n"/>
      <c r="D38" s="145" t="n"/>
      <c r="E38" s="156">
        <f>'3. Fixed Operating Expenses'!J15/12</f>
        <v/>
      </c>
      <c r="F38" s="156">
        <f>E38</f>
        <v/>
      </c>
      <c r="G38" s="156">
        <f>F38</f>
        <v/>
      </c>
      <c r="H38" s="156">
        <f>G38</f>
        <v/>
      </c>
      <c r="I38" s="156">
        <f>H38</f>
        <v/>
      </c>
      <c r="J38" s="156">
        <f>I38</f>
        <v/>
      </c>
      <c r="K38" s="156">
        <f>J38</f>
        <v/>
      </c>
      <c r="L38" s="156">
        <f>K38</f>
        <v/>
      </c>
      <c r="M38" s="156">
        <f>L38</f>
        <v/>
      </c>
      <c r="N38" s="156">
        <f>M38</f>
        <v/>
      </c>
      <c r="O38" s="156">
        <f>N38</f>
        <v/>
      </c>
      <c r="P38" s="156">
        <f>O38</f>
        <v/>
      </c>
      <c r="Q38" s="156">
        <f>SUM(E38:P38)</f>
        <v/>
      </c>
    </row>
    <row r="39" outlineLevel="1" ht="12.75" customHeight="1" s="131">
      <c r="A39" s="137" t="n"/>
      <c r="B39" s="137">
        <f>'3. Fixed Operating Expenses'!B16</f>
        <v/>
      </c>
      <c r="C39" s="137" t="n"/>
      <c r="D39" s="145" t="n"/>
      <c r="E39" s="156">
        <f>'3. Fixed Operating Expenses'!J16/12</f>
        <v/>
      </c>
      <c r="F39" s="156">
        <f>E39</f>
        <v/>
      </c>
      <c r="G39" s="156">
        <f>F39</f>
        <v/>
      </c>
      <c r="H39" s="156">
        <f>G39</f>
        <v/>
      </c>
      <c r="I39" s="156">
        <f>H39</f>
        <v/>
      </c>
      <c r="J39" s="156">
        <f>I39</f>
        <v/>
      </c>
      <c r="K39" s="156">
        <f>J39</f>
        <v/>
      </c>
      <c r="L39" s="156">
        <f>K39</f>
        <v/>
      </c>
      <c r="M39" s="156">
        <f>L39</f>
        <v/>
      </c>
      <c r="N39" s="156">
        <f>M39</f>
        <v/>
      </c>
      <c r="O39" s="156">
        <f>N39</f>
        <v/>
      </c>
      <c r="P39" s="156">
        <f>O39</f>
        <v/>
      </c>
      <c r="Q39" s="156">
        <f>SUM(E39:P39)</f>
        <v/>
      </c>
    </row>
    <row r="40" outlineLevel="1" ht="12.75" customHeight="1" s="131">
      <c r="A40" s="137" t="n"/>
      <c r="B40" s="137">
        <f>'3. Fixed Operating Expenses'!B17</f>
        <v/>
      </c>
      <c r="C40" s="137" t="n"/>
      <c r="D40" s="145" t="n"/>
      <c r="E40" s="156">
        <f>'3. Fixed Operating Expenses'!J17/12</f>
        <v/>
      </c>
      <c r="F40" s="156">
        <f>E40</f>
        <v/>
      </c>
      <c r="G40" s="156">
        <f>F40</f>
        <v/>
      </c>
      <c r="H40" s="156">
        <f>G40</f>
        <v/>
      </c>
      <c r="I40" s="156">
        <f>H40</f>
        <v/>
      </c>
      <c r="J40" s="156">
        <f>I40</f>
        <v/>
      </c>
      <c r="K40" s="156">
        <f>J40</f>
        <v/>
      </c>
      <c r="L40" s="156">
        <f>K40</f>
        <v/>
      </c>
      <c r="M40" s="156">
        <f>L40</f>
        <v/>
      </c>
      <c r="N40" s="156">
        <f>M40</f>
        <v/>
      </c>
      <c r="O40" s="156">
        <f>N40</f>
        <v/>
      </c>
      <c r="P40" s="156">
        <f>O40</f>
        <v/>
      </c>
      <c r="Q40" s="156">
        <f>SUM(E40:P40)</f>
        <v/>
      </c>
    </row>
    <row r="41" outlineLevel="1" ht="12.75" customHeight="1" s="131">
      <c r="A41" s="137" t="n"/>
      <c r="B41" s="137">
        <f>'3. Fixed Operating Expenses'!B18</f>
        <v/>
      </c>
      <c r="C41" s="137" t="n"/>
      <c r="D41" s="145" t="n"/>
      <c r="E41" s="156">
        <f>'3. Fixed Operating Expenses'!J18/12</f>
        <v/>
      </c>
      <c r="F41" s="156">
        <f>E41</f>
        <v/>
      </c>
      <c r="G41" s="156">
        <f>F41</f>
        <v/>
      </c>
      <c r="H41" s="156">
        <f>G41</f>
        <v/>
      </c>
      <c r="I41" s="156">
        <f>H41</f>
        <v/>
      </c>
      <c r="J41" s="156">
        <f>I41</f>
        <v/>
      </c>
      <c r="K41" s="156">
        <f>J41</f>
        <v/>
      </c>
      <c r="L41" s="156">
        <f>K41</f>
        <v/>
      </c>
      <c r="M41" s="156">
        <f>L41</f>
        <v/>
      </c>
      <c r="N41" s="156">
        <f>M41</f>
        <v/>
      </c>
      <c r="O41" s="156">
        <f>N41</f>
        <v/>
      </c>
      <c r="P41" s="156">
        <f>O41</f>
        <v/>
      </c>
      <c r="Q41" s="156">
        <f>SUM(E41:P41)</f>
        <v/>
      </c>
    </row>
    <row r="42" outlineLevel="1" ht="12.75" customHeight="1" s="131">
      <c r="A42" s="137" t="n"/>
      <c r="B42" s="137">
        <f>'3. Fixed Operating Expenses'!B19</f>
        <v/>
      </c>
      <c r="C42" s="137" t="n"/>
      <c r="D42" s="145" t="n"/>
      <c r="E42" s="156">
        <f>'3. Fixed Operating Expenses'!J19/12</f>
        <v/>
      </c>
      <c r="F42" s="156">
        <f>E42</f>
        <v/>
      </c>
      <c r="G42" s="156">
        <f>F42</f>
        <v/>
      </c>
      <c r="H42" s="156">
        <f>G42</f>
        <v/>
      </c>
      <c r="I42" s="156">
        <f>H42</f>
        <v/>
      </c>
      <c r="J42" s="156">
        <f>I42</f>
        <v/>
      </c>
      <c r="K42" s="156">
        <f>J42</f>
        <v/>
      </c>
      <c r="L42" s="156">
        <f>K42</f>
        <v/>
      </c>
      <c r="M42" s="156">
        <f>L42</f>
        <v/>
      </c>
      <c r="N42" s="156">
        <f>M42</f>
        <v/>
      </c>
      <c r="O42" s="156">
        <f>N42</f>
        <v/>
      </c>
      <c r="P42" s="156">
        <f>O42</f>
        <v/>
      </c>
      <c r="Q42" s="156">
        <f>SUM(E42:P42)</f>
        <v/>
      </c>
    </row>
    <row r="43" outlineLevel="1" ht="12.75" customHeight="1" s="131">
      <c r="A43" s="137" t="n"/>
      <c r="B43" s="137">
        <f>'3. Fixed Operating Expenses'!B20</f>
        <v/>
      </c>
      <c r="C43" s="137" t="n"/>
      <c r="D43" s="145" t="n"/>
      <c r="E43" s="156">
        <f>'3. Fixed Operating Expenses'!J20/12</f>
        <v/>
      </c>
      <c r="F43" s="156">
        <f>E43</f>
        <v/>
      </c>
      <c r="G43" s="156">
        <f>F43</f>
        <v/>
      </c>
      <c r="H43" s="156">
        <f>G43</f>
        <v/>
      </c>
      <c r="I43" s="156">
        <f>H43</f>
        <v/>
      </c>
      <c r="J43" s="156">
        <f>I43</f>
        <v/>
      </c>
      <c r="K43" s="156">
        <f>J43</f>
        <v/>
      </c>
      <c r="L43" s="156">
        <f>K43</f>
        <v/>
      </c>
      <c r="M43" s="156">
        <f>L43</f>
        <v/>
      </c>
      <c r="N43" s="156">
        <f>M43</f>
        <v/>
      </c>
      <c r="O43" s="156">
        <f>N43</f>
        <v/>
      </c>
      <c r="P43" s="156">
        <f>O43</f>
        <v/>
      </c>
      <c r="Q43" s="156">
        <f>SUM(E43:P43)</f>
        <v/>
      </c>
    </row>
    <row r="44" outlineLevel="1" ht="12.75" customHeight="1" s="131">
      <c r="A44" s="137" t="n"/>
      <c r="B44" s="137">
        <f>'3. Fixed Operating Expenses'!B21</f>
        <v/>
      </c>
      <c r="C44" s="137" t="n"/>
      <c r="D44" s="145" t="n"/>
      <c r="E44" s="156">
        <f>'3. Fixed Operating Expenses'!J21/12</f>
        <v/>
      </c>
      <c r="F44" s="156">
        <f>E44</f>
        <v/>
      </c>
      <c r="G44" s="156">
        <f>F44</f>
        <v/>
      </c>
      <c r="H44" s="156">
        <f>G44</f>
        <v/>
      </c>
      <c r="I44" s="156">
        <f>H44</f>
        <v/>
      </c>
      <c r="J44" s="156">
        <f>I44</f>
        <v/>
      </c>
      <c r="K44" s="156">
        <f>J44</f>
        <v/>
      </c>
      <c r="L44" s="156">
        <f>K44</f>
        <v/>
      </c>
      <c r="M44" s="156">
        <f>L44</f>
        <v/>
      </c>
      <c r="N44" s="156">
        <f>M44</f>
        <v/>
      </c>
      <c r="O44" s="156">
        <f>N44</f>
        <v/>
      </c>
      <c r="P44" s="156">
        <f>O44</f>
        <v/>
      </c>
      <c r="Q44" s="156">
        <f>SUM(E44:P44)</f>
        <v/>
      </c>
    </row>
    <row r="45" outlineLevel="1" ht="12.75" customHeight="1" s="131">
      <c r="A45" s="137" t="n"/>
      <c r="B45" s="137">
        <f>'3. Fixed Operating Expenses'!B22</f>
        <v/>
      </c>
      <c r="C45" s="137" t="n"/>
      <c r="D45" s="145" t="n"/>
      <c r="E45" s="156">
        <f>'3. Fixed Operating Expenses'!J22/12</f>
        <v/>
      </c>
      <c r="F45" s="156">
        <f>E45</f>
        <v/>
      </c>
      <c r="G45" s="156">
        <f>F45</f>
        <v/>
      </c>
      <c r="H45" s="156">
        <f>G45</f>
        <v/>
      </c>
      <c r="I45" s="156">
        <f>H45</f>
        <v/>
      </c>
      <c r="J45" s="156">
        <f>I45</f>
        <v/>
      </c>
      <c r="K45" s="156">
        <f>J45</f>
        <v/>
      </c>
      <c r="L45" s="156">
        <f>K45</f>
        <v/>
      </c>
      <c r="M45" s="156">
        <f>L45</f>
        <v/>
      </c>
      <c r="N45" s="156">
        <f>M45</f>
        <v/>
      </c>
      <c r="O45" s="156">
        <f>N45</f>
        <v/>
      </c>
      <c r="P45" s="156">
        <f>O45</f>
        <v/>
      </c>
      <c r="Q45" s="156">
        <f>SUM(E45:P45)</f>
        <v/>
      </c>
    </row>
    <row r="46" outlineLevel="1" ht="12.75" customHeight="1" s="131">
      <c r="A46" s="137" t="n"/>
      <c r="B46" s="137">
        <f>'3. Fixed Operating Expenses'!B23</f>
        <v/>
      </c>
      <c r="C46" s="137" t="n"/>
      <c r="D46" s="145" t="n"/>
      <c r="E46" s="156">
        <f>'3. Fixed Operating Expenses'!J23/12</f>
        <v/>
      </c>
      <c r="F46" s="156">
        <f>E46</f>
        <v/>
      </c>
      <c r="G46" s="156">
        <f>F46</f>
        <v/>
      </c>
      <c r="H46" s="156">
        <f>G46</f>
        <v/>
      </c>
      <c r="I46" s="156">
        <f>H46</f>
        <v/>
      </c>
      <c r="J46" s="156">
        <f>I46</f>
        <v/>
      </c>
      <c r="K46" s="156">
        <f>J46</f>
        <v/>
      </c>
      <c r="L46" s="156">
        <f>K46</f>
        <v/>
      </c>
      <c r="M46" s="156">
        <f>L46</f>
        <v/>
      </c>
      <c r="N46" s="156">
        <f>M46</f>
        <v/>
      </c>
      <c r="O46" s="156">
        <f>N46</f>
        <v/>
      </c>
      <c r="P46" s="156">
        <f>O46</f>
        <v/>
      </c>
      <c r="Q46" s="156">
        <f>SUM(E46:P46)</f>
        <v/>
      </c>
    </row>
    <row r="47" outlineLevel="1" ht="12.75" customHeight="1" s="131">
      <c r="A47" s="137" t="n"/>
      <c r="B47" s="137">
        <f>'3. Fixed Operating Expenses'!B24</f>
        <v/>
      </c>
      <c r="C47" s="137" t="n"/>
      <c r="D47" s="145" t="n"/>
      <c r="E47" s="156">
        <f>'3. Fixed Operating Expenses'!J24/12</f>
        <v/>
      </c>
      <c r="F47" s="156">
        <f>E47</f>
        <v/>
      </c>
      <c r="G47" s="156">
        <f>F47</f>
        <v/>
      </c>
      <c r="H47" s="156">
        <f>G47</f>
        <v/>
      </c>
      <c r="I47" s="156">
        <f>H47</f>
        <v/>
      </c>
      <c r="J47" s="156">
        <f>I47</f>
        <v/>
      </c>
      <c r="K47" s="156">
        <f>J47</f>
        <v/>
      </c>
      <c r="L47" s="156">
        <f>K47</f>
        <v/>
      </c>
      <c r="M47" s="156">
        <f>L47</f>
        <v/>
      </c>
      <c r="N47" s="156">
        <f>M47</f>
        <v/>
      </c>
      <c r="O47" s="156">
        <f>N47</f>
        <v/>
      </c>
      <c r="P47" s="156">
        <f>O47</f>
        <v/>
      </c>
      <c r="Q47" s="156">
        <f>SUM(E47:P47)</f>
        <v/>
      </c>
    </row>
    <row r="48" outlineLevel="1" ht="12.75" customHeight="1" s="131">
      <c r="A48" s="137" t="n"/>
      <c r="B48" s="137">
        <f>'3. Fixed Operating Expenses'!B25</f>
        <v/>
      </c>
      <c r="C48" s="137" t="n"/>
      <c r="D48" s="145" t="n"/>
      <c r="E48" s="156">
        <f>'3. Fixed Operating Expenses'!J25/12</f>
        <v/>
      </c>
      <c r="F48" s="156">
        <f>E48</f>
        <v/>
      </c>
      <c r="G48" s="156">
        <f>F48</f>
        <v/>
      </c>
      <c r="H48" s="156">
        <f>G48</f>
        <v/>
      </c>
      <c r="I48" s="156">
        <f>H48</f>
        <v/>
      </c>
      <c r="J48" s="156">
        <f>I48</f>
        <v/>
      </c>
      <c r="K48" s="156">
        <f>J48</f>
        <v/>
      </c>
      <c r="L48" s="156">
        <f>K48</f>
        <v/>
      </c>
      <c r="M48" s="156">
        <f>L48</f>
        <v/>
      </c>
      <c r="N48" s="156">
        <f>M48</f>
        <v/>
      </c>
      <c r="O48" s="156">
        <f>N48</f>
        <v/>
      </c>
      <c r="P48" s="156">
        <f>O48</f>
        <v/>
      </c>
      <c r="Q48" s="156">
        <f>SUM(E48:P48)</f>
        <v/>
      </c>
    </row>
    <row r="49" outlineLevel="1" ht="12.75" customHeight="1" s="131">
      <c r="A49" s="137" t="n"/>
      <c r="B49" s="137">
        <f>'3. Fixed Operating Expenses'!B26</f>
        <v/>
      </c>
      <c r="C49" s="137" t="n"/>
      <c r="D49" s="145" t="n"/>
      <c r="E49" s="156">
        <f>'3. Fixed Operating Expenses'!J26/12</f>
        <v/>
      </c>
      <c r="F49" s="156">
        <f>E49</f>
        <v/>
      </c>
      <c r="G49" s="156">
        <f>F49</f>
        <v/>
      </c>
      <c r="H49" s="156">
        <f>G49</f>
        <v/>
      </c>
      <c r="I49" s="156">
        <f>H49</f>
        <v/>
      </c>
      <c r="J49" s="156">
        <f>I49</f>
        <v/>
      </c>
      <c r="K49" s="156">
        <f>J49</f>
        <v/>
      </c>
      <c r="L49" s="156">
        <f>K49</f>
        <v/>
      </c>
      <c r="M49" s="156">
        <f>L49</f>
        <v/>
      </c>
      <c r="N49" s="156">
        <f>M49</f>
        <v/>
      </c>
      <c r="O49" s="156">
        <f>N49</f>
        <v/>
      </c>
      <c r="P49" s="156">
        <f>O49</f>
        <v/>
      </c>
      <c r="Q49" s="156">
        <f>SUM(E49:P49)</f>
        <v/>
      </c>
    </row>
    <row r="50" outlineLevel="1" ht="12.75" customHeight="1" s="131">
      <c r="A50" s="137" t="n"/>
      <c r="B50" s="137">
        <f>'3. Fixed Operating Expenses'!B27</f>
        <v/>
      </c>
      <c r="C50" s="137" t="n"/>
      <c r="D50" s="145" t="n"/>
      <c r="E50" s="156">
        <f>'3. Fixed Operating Expenses'!J27/12</f>
        <v/>
      </c>
      <c r="F50" s="156">
        <f>E50</f>
        <v/>
      </c>
      <c r="G50" s="156">
        <f>F50</f>
        <v/>
      </c>
      <c r="H50" s="156">
        <f>G50</f>
        <v/>
      </c>
      <c r="I50" s="156">
        <f>H50</f>
        <v/>
      </c>
      <c r="J50" s="156">
        <f>I50</f>
        <v/>
      </c>
      <c r="K50" s="156">
        <f>J50</f>
        <v/>
      </c>
      <c r="L50" s="156">
        <f>K50</f>
        <v/>
      </c>
      <c r="M50" s="156">
        <f>L50</f>
        <v/>
      </c>
      <c r="N50" s="156">
        <f>M50</f>
        <v/>
      </c>
      <c r="O50" s="156">
        <f>N50</f>
        <v/>
      </c>
      <c r="P50" s="156">
        <f>O50</f>
        <v/>
      </c>
      <c r="Q50" s="156">
        <f>SUM(E50:P50)</f>
        <v/>
      </c>
    </row>
    <row r="51" outlineLevel="1" ht="12.75" customHeight="1" s="131">
      <c r="A51" s="137" t="n"/>
      <c r="B51" s="137">
        <f>'3. Fixed Operating Expenses'!B28</f>
        <v/>
      </c>
      <c r="C51" s="137" t="n"/>
      <c r="D51" s="145" t="n"/>
      <c r="E51" s="156">
        <f>'3. Fixed Operating Expenses'!J28/12</f>
        <v/>
      </c>
      <c r="F51" s="156">
        <f>E51</f>
        <v/>
      </c>
      <c r="G51" s="156">
        <f>F51</f>
        <v/>
      </c>
      <c r="H51" s="156">
        <f>G51</f>
        <v/>
      </c>
      <c r="I51" s="156">
        <f>H51</f>
        <v/>
      </c>
      <c r="J51" s="156">
        <f>I51</f>
        <v/>
      </c>
      <c r="K51" s="156">
        <f>J51</f>
        <v/>
      </c>
      <c r="L51" s="156">
        <f>K51</f>
        <v/>
      </c>
      <c r="M51" s="156">
        <f>L51</f>
        <v/>
      </c>
      <c r="N51" s="156">
        <f>M51</f>
        <v/>
      </c>
      <c r="O51" s="156">
        <f>N51</f>
        <v/>
      </c>
      <c r="P51" s="156">
        <f>O51</f>
        <v/>
      </c>
      <c r="Q51" s="156">
        <f>SUM(E51:P51)</f>
        <v/>
      </c>
    </row>
    <row r="52" outlineLevel="1" ht="12.75" customHeight="1" s="131">
      <c r="A52" s="137" t="n"/>
      <c r="B52" s="137">
        <f>'3. Fixed Operating Expenses'!B29</f>
        <v/>
      </c>
      <c r="C52" s="137" t="n"/>
      <c r="D52" s="145" t="n"/>
      <c r="E52" s="156">
        <f>'3. Fixed Operating Expenses'!J29/12</f>
        <v/>
      </c>
      <c r="F52" s="156">
        <f>E52</f>
        <v/>
      </c>
      <c r="G52" s="156">
        <f>F52</f>
        <v/>
      </c>
      <c r="H52" s="156">
        <f>G52</f>
        <v/>
      </c>
      <c r="I52" s="156">
        <f>H52</f>
        <v/>
      </c>
      <c r="J52" s="156">
        <f>I52</f>
        <v/>
      </c>
      <c r="K52" s="156">
        <f>J52</f>
        <v/>
      </c>
      <c r="L52" s="156">
        <f>K52</f>
        <v/>
      </c>
      <c r="M52" s="156">
        <f>L52</f>
        <v/>
      </c>
      <c r="N52" s="156">
        <f>M52</f>
        <v/>
      </c>
      <c r="O52" s="156">
        <f>N52</f>
        <v/>
      </c>
      <c r="P52" s="156">
        <f>O52</f>
        <v/>
      </c>
      <c r="Q52" s="156">
        <f>SUM(E52:P52)</f>
        <v/>
      </c>
    </row>
    <row r="53" outlineLevel="1" ht="12.75" customHeight="1" s="131">
      <c r="A53" s="137" t="n"/>
      <c r="B53" s="137">
        <f>'3. Fixed Operating Expenses'!B30</f>
        <v/>
      </c>
      <c r="C53" s="137" t="n"/>
      <c r="D53" s="145" t="n"/>
      <c r="E53" s="162">
        <f>'3. Fixed Operating Expenses'!J30/12</f>
        <v/>
      </c>
      <c r="F53" s="162">
        <f>E53</f>
        <v/>
      </c>
      <c r="G53" s="162">
        <f>F53</f>
        <v/>
      </c>
      <c r="H53" s="162">
        <f>G53</f>
        <v/>
      </c>
      <c r="I53" s="162">
        <f>H53</f>
        <v/>
      </c>
      <c r="J53" s="162">
        <f>I53</f>
        <v/>
      </c>
      <c r="K53" s="162">
        <f>J53</f>
        <v/>
      </c>
      <c r="L53" s="162">
        <f>K53</f>
        <v/>
      </c>
      <c r="M53" s="162">
        <f>L53</f>
        <v/>
      </c>
      <c r="N53" s="162">
        <f>M53</f>
        <v/>
      </c>
      <c r="O53" s="162">
        <f>N53</f>
        <v/>
      </c>
      <c r="P53" s="162">
        <f>O53</f>
        <v/>
      </c>
      <c r="Q53" s="162">
        <f>SUM(E53:P53)</f>
        <v/>
      </c>
    </row>
    <row r="54" ht="12.75" customHeight="1" s="131">
      <c r="A54" s="137" t="inlineStr">
        <is>
          <t>Total Fixed Business Expenses</t>
        </is>
      </c>
      <c r="B54" s="137" t="n"/>
      <c r="C54" s="137" t="n"/>
      <c r="D54" s="145" t="n"/>
      <c r="E54" s="156">
        <f>SUM(E34:E53)</f>
        <v/>
      </c>
      <c r="F54" s="156">
        <f>SUM(F34:F53)</f>
        <v/>
      </c>
      <c r="G54" s="156">
        <f>SUM(G34:G53)</f>
        <v/>
      </c>
      <c r="H54" s="156">
        <f>SUM(H34:H53)</f>
        <v/>
      </c>
      <c r="I54" s="156">
        <f>SUM(I34:I53)</f>
        <v/>
      </c>
      <c r="J54" s="156">
        <f>SUM(J34:J53)</f>
        <v/>
      </c>
      <c r="K54" s="156">
        <f>SUM(K34:K53)</f>
        <v/>
      </c>
      <c r="L54" s="156">
        <f>SUM(L34:L53)</f>
        <v/>
      </c>
      <c r="M54" s="156">
        <f>SUM(M34:M53)</f>
        <v/>
      </c>
      <c r="N54" s="156">
        <f>SUM(N34:N53)</f>
        <v/>
      </c>
      <c r="O54" s="156">
        <f>SUM(O34:O53)</f>
        <v/>
      </c>
      <c r="P54" s="156">
        <f>SUM(P34:P53)</f>
        <v/>
      </c>
      <c r="Q54" s="156">
        <f>SUM(Q34:Q53)</f>
        <v/>
      </c>
    </row>
    <row r="55" ht="12.75" customHeight="1" s="131">
      <c r="A55" s="137" t="n"/>
      <c r="B55" s="137" t="n"/>
      <c r="C55" s="137" t="n"/>
      <c r="D55" s="145" t="n"/>
      <c r="E55" s="156" t="n"/>
      <c r="F55" s="156" t="n"/>
      <c r="G55" s="156" t="n"/>
      <c r="H55" s="156" t="n"/>
      <c r="I55" s="156" t="n"/>
      <c r="J55" s="156" t="n"/>
      <c r="K55" s="156" t="n"/>
      <c r="L55" s="156" t="n"/>
      <c r="M55" s="156" t="n"/>
      <c r="N55" s="156" t="n"/>
      <c r="O55" s="156" t="n"/>
      <c r="P55" s="156" t="n"/>
      <c r="Q55" s="156" t="n"/>
    </row>
    <row r="56" hidden="1" outlineLevel="1" ht="12.75" customHeight="1" s="131">
      <c r="A56" s="137" t="inlineStr">
        <is>
          <t>Other Expenses</t>
        </is>
      </c>
      <c r="B56" s="137" t="n"/>
      <c r="C56" s="137" t="n"/>
      <c r="D56" s="145" t="n"/>
      <c r="E56" s="156" t="n"/>
      <c r="F56" s="156" t="n"/>
      <c r="G56" s="156" t="n"/>
      <c r="H56" s="156" t="n"/>
      <c r="I56" s="156" t="n"/>
      <c r="J56" s="156" t="n"/>
      <c r="K56" s="156" t="n"/>
      <c r="L56" s="156" t="n"/>
      <c r="M56" s="156" t="n"/>
      <c r="N56" s="156" t="n"/>
      <c r="O56" s="156" t="n"/>
      <c r="P56" s="156" t="n"/>
      <c r="Q56" s="156" t="n"/>
    </row>
    <row r="57" hidden="1" outlineLevel="1" ht="12.75" customHeight="1" s="131">
      <c r="A57" s="137" t="n"/>
      <c r="B57" s="137" t="inlineStr">
        <is>
          <t>Amortized Start-up Expenses</t>
        </is>
      </c>
      <c r="C57" s="137" t="n"/>
      <c r="D57" s="145" t="n"/>
      <c r="E57" s="156">
        <f>IF('6. Cash Receipts-Disbursements'!$G$28&gt;1,'6. Cash Receipts-Disbursements'!$K$28,0)</f>
        <v/>
      </c>
      <c r="F57" s="156">
        <f>IF('6. Cash Receipts-Disbursements'!$G$28&gt;1,'6. Cash Receipts-Disbursements'!$K$28,0)</f>
        <v/>
      </c>
      <c r="G57" s="156">
        <f>IF('6. Cash Receipts-Disbursements'!$G$28&gt;1,'6. Cash Receipts-Disbursements'!$K$28,0)</f>
        <v/>
      </c>
      <c r="H57" s="156">
        <f>IF('6. Cash Receipts-Disbursements'!$G$28&gt;1,'6. Cash Receipts-Disbursements'!$K$28,0)</f>
        <v/>
      </c>
      <c r="I57" s="156">
        <f>IF('6. Cash Receipts-Disbursements'!$G$28&gt;1,'6. Cash Receipts-Disbursements'!$K$28,0)</f>
        <v/>
      </c>
      <c r="J57" s="156">
        <f>IF('6. Cash Receipts-Disbursements'!$G$28&gt;1,'6. Cash Receipts-Disbursements'!$K$28,0)</f>
        <v/>
      </c>
      <c r="K57" s="156">
        <f>IF('6. Cash Receipts-Disbursements'!$G$28&gt;1,'6. Cash Receipts-Disbursements'!$K$28,0)</f>
        <v/>
      </c>
      <c r="L57" s="156">
        <f>IF('6. Cash Receipts-Disbursements'!$G$28&gt;1,'6. Cash Receipts-Disbursements'!$K$28,0)</f>
        <v/>
      </c>
      <c r="M57" s="156">
        <f>IF('6. Cash Receipts-Disbursements'!$G$28&gt;1,'6. Cash Receipts-Disbursements'!$K$28,0)</f>
        <v/>
      </c>
      <c r="N57" s="156">
        <f>IF('6. Cash Receipts-Disbursements'!$G$28&gt;1,'6. Cash Receipts-Disbursements'!$K$28,0)</f>
        <v/>
      </c>
      <c r="O57" s="156">
        <f>IF('6. Cash Receipts-Disbursements'!$G$28&gt;1,'6. Cash Receipts-Disbursements'!$K$28,0)</f>
        <v/>
      </c>
      <c r="P57" s="156">
        <f>IF('6. Cash Receipts-Disbursements'!$G$28&gt;1,'6. Cash Receipts-Disbursements'!$K$28,0)</f>
        <v/>
      </c>
      <c r="Q57" s="156">
        <f>SUM(E57:P57)</f>
        <v/>
      </c>
    </row>
    <row r="58" hidden="1" outlineLevel="1" ht="12.75" customHeight="1" s="131">
      <c r="A58" s="137" t="n"/>
      <c r="B58" s="137" t="inlineStr">
        <is>
          <t>Depreciation</t>
        </is>
      </c>
      <c r="C58" s="137" t="n"/>
      <c r="D58" s="145" t="n"/>
      <c r="E58" s="156">
        <f>'3. Fixed Operating Expenses'!G34</f>
        <v/>
      </c>
      <c r="F58" s="156">
        <f>E58</f>
        <v/>
      </c>
      <c r="G58" s="156">
        <f>F58</f>
        <v/>
      </c>
      <c r="H58" s="156">
        <f>G58</f>
        <v/>
      </c>
      <c r="I58" s="156">
        <f>H58</f>
        <v/>
      </c>
      <c r="J58" s="156">
        <f>I58</f>
        <v/>
      </c>
      <c r="K58" s="156">
        <f>J58</f>
        <v/>
      </c>
      <c r="L58" s="156">
        <f>K58</f>
        <v/>
      </c>
      <c r="M58" s="156">
        <f>L58</f>
        <v/>
      </c>
      <c r="N58" s="156">
        <f>M58</f>
        <v/>
      </c>
      <c r="O58" s="156">
        <f>N58</f>
        <v/>
      </c>
      <c r="P58" s="156">
        <f>O58</f>
        <v/>
      </c>
      <c r="Q58" s="156">
        <f>SUM(E58:P58)</f>
        <v/>
      </c>
    </row>
    <row r="59" hidden="1" outlineLevel="1" ht="12.75" customHeight="1" s="131">
      <c r="A59" s="137" t="n"/>
      <c r="B59" s="137" t="inlineStr">
        <is>
          <t>Interest</t>
        </is>
      </c>
      <c r="C59" s="137" t="n"/>
      <c r="D59" s="145" t="n"/>
      <c r="E59" s="156" t="n"/>
      <c r="F59" s="156" t="n"/>
      <c r="G59" s="156" t="n"/>
      <c r="H59" s="156" t="n"/>
      <c r="I59" s="156" t="n"/>
      <c r="J59" s="156" t="n"/>
      <c r="K59" s="156" t="n"/>
      <c r="L59" s="156" t="n"/>
      <c r="M59" s="156" t="n"/>
      <c r="N59" s="156" t="n"/>
      <c r="O59" s="156" t="n"/>
      <c r="P59" s="156" t="n"/>
      <c r="Q59" s="156" t="n"/>
    </row>
    <row r="60" hidden="1" outlineLevel="1" ht="12.75" customHeight="1" s="131">
      <c r="A60" s="137" t="n"/>
      <c r="B60" s="137" t="n"/>
      <c r="C60" s="137" t="inlineStr">
        <is>
          <t>Commercial Loan</t>
        </is>
      </c>
      <c r="D60" s="145" t="n"/>
      <c r="E60" s="156">
        <f>'20. Amoritization Schedule'!G19</f>
        <v/>
      </c>
      <c r="F60" s="156">
        <f>'20. Amoritization Schedule'!H19</f>
        <v/>
      </c>
      <c r="G60" s="156">
        <f>'20. Amoritization Schedule'!I19</f>
        <v/>
      </c>
      <c r="H60" s="156">
        <f>'20. Amoritization Schedule'!J19</f>
        <v/>
      </c>
      <c r="I60" s="156">
        <f>'20. Amoritization Schedule'!K19</f>
        <v/>
      </c>
      <c r="J60" s="156">
        <f>'20. Amoritization Schedule'!L19</f>
        <v/>
      </c>
      <c r="K60" s="156">
        <f>'20. Amoritization Schedule'!M19</f>
        <v/>
      </c>
      <c r="L60" s="156">
        <f>'20. Amoritization Schedule'!N19</f>
        <v/>
      </c>
      <c r="M60" s="156">
        <f>'20. Amoritization Schedule'!O19</f>
        <v/>
      </c>
      <c r="N60" s="156">
        <f>'20. Amoritization Schedule'!P19</f>
        <v/>
      </c>
      <c r="O60" s="156">
        <f>'20. Amoritization Schedule'!Q19</f>
        <v/>
      </c>
      <c r="P60" s="156">
        <f>'20. Amoritization Schedule'!R19</f>
        <v/>
      </c>
      <c r="Q60" s="156">
        <f>SUM(E60:P60)</f>
        <v/>
      </c>
    </row>
    <row r="61" hidden="1" outlineLevel="1" ht="12.75" customHeight="1" s="131">
      <c r="A61" s="137" t="n"/>
      <c r="B61" s="137" t="n"/>
      <c r="C61" s="137" t="inlineStr">
        <is>
          <t>Commercial Mortgage</t>
        </is>
      </c>
      <c r="D61" s="145" t="n"/>
      <c r="E61" s="156">
        <f>'20. Amoritization Schedule'!G39</f>
        <v/>
      </c>
      <c r="F61" s="156">
        <f>'20. Amoritization Schedule'!H39</f>
        <v/>
      </c>
      <c r="G61" s="156">
        <f>'20. Amoritization Schedule'!I39</f>
        <v/>
      </c>
      <c r="H61" s="156">
        <f>'20. Amoritization Schedule'!J39</f>
        <v/>
      </c>
      <c r="I61" s="156">
        <f>'20. Amoritization Schedule'!K39</f>
        <v/>
      </c>
      <c r="J61" s="156">
        <f>'20. Amoritization Schedule'!L39</f>
        <v/>
      </c>
      <c r="K61" s="156">
        <f>'20. Amoritization Schedule'!M39</f>
        <v/>
      </c>
      <c r="L61" s="156">
        <f>'20. Amoritization Schedule'!N39</f>
        <v/>
      </c>
      <c r="M61" s="156">
        <f>'20. Amoritization Schedule'!O39</f>
        <v/>
      </c>
      <c r="N61" s="156">
        <f>'20. Amoritization Schedule'!P39</f>
        <v/>
      </c>
      <c r="O61" s="156">
        <f>'20. Amoritization Schedule'!Q39</f>
        <v/>
      </c>
      <c r="P61" s="156">
        <f>'20. Amoritization Schedule'!R39</f>
        <v/>
      </c>
      <c r="Q61" s="156">
        <f>SUM(E61:P61)</f>
        <v/>
      </c>
    </row>
    <row r="62" hidden="1" outlineLevel="1" ht="12.75" customHeight="1" s="131">
      <c r="A62" s="137" t="n"/>
      <c r="B62" s="137" t="n"/>
      <c r="C62" s="137" t="inlineStr">
        <is>
          <t>Line of Credit</t>
        </is>
      </c>
      <c r="D62" s="145" t="n"/>
      <c r="E62" s="156">
        <f>'13. Cash Flow Statement (2)'!E26</f>
        <v/>
      </c>
      <c r="F62" s="156">
        <f>'13. Cash Flow Statement (2)'!F26</f>
        <v/>
      </c>
      <c r="G62" s="156">
        <f>'13. Cash Flow Statement (2)'!G26</f>
        <v/>
      </c>
      <c r="H62" s="156">
        <f>'13. Cash Flow Statement (2)'!H26</f>
        <v/>
      </c>
      <c r="I62" s="156">
        <f>'13. Cash Flow Statement (2)'!I26</f>
        <v/>
      </c>
      <c r="J62" s="156">
        <f>'13. Cash Flow Statement (2)'!J26</f>
        <v/>
      </c>
      <c r="K62" s="156">
        <f>'13. Cash Flow Statement (2)'!K26</f>
        <v/>
      </c>
      <c r="L62" s="156">
        <f>'13. Cash Flow Statement (2)'!L26</f>
        <v/>
      </c>
      <c r="M62" s="156">
        <f>'13. Cash Flow Statement (2)'!M26</f>
        <v/>
      </c>
      <c r="N62" s="156">
        <f>'13. Cash Flow Statement (2)'!N26</f>
        <v/>
      </c>
      <c r="O62" s="156">
        <f>'13. Cash Flow Statement (2)'!O26</f>
        <v/>
      </c>
      <c r="P62" s="156">
        <f>'13. Cash Flow Statement (2)'!P26</f>
        <v/>
      </c>
      <c r="Q62" s="156">
        <f>SUM(E62:P62)</f>
        <v/>
      </c>
    </row>
    <row r="63" hidden="1" outlineLevel="1" ht="12.75" customHeight="1" s="131">
      <c r="A63" s="137" t="n"/>
      <c r="B63" s="137" t="inlineStr">
        <is>
          <t>Taxes</t>
        </is>
      </c>
      <c r="C63" s="137" t="n"/>
      <c r="D63" s="145" t="n"/>
      <c r="E63" s="162">
        <f>IF(E71&gt;0,(E70)*'6. Cash Receipts-Disbursements'!G25,0)</f>
        <v/>
      </c>
      <c r="F63" s="162">
        <f>IF(F71&gt;0,IF(E71&lt;0,(F70-ABS(E71))*'6. Cash Receipts-Disbursements'!$G$25,'12. Income Statement (2)'!F70*'6. Cash Receipts-Disbursements'!$G$25),IF('12. Income Statement (2)'!E71&gt;0,-('12. Income Statement (2)'!E71*'6. Cash Receipts-Disbursements'!$G$25),0))</f>
        <v/>
      </c>
      <c r="G63" s="162">
        <f>IF(G71&gt;0,IF(F71&lt;0,(G70-ABS(F71))*'6. Cash Receipts-Disbursements'!$G$25,'12. Income Statement (2)'!G70*'6. Cash Receipts-Disbursements'!$G$25),IF('12. Income Statement (2)'!F71&gt;0,-('12. Income Statement (2)'!F71*'6. Cash Receipts-Disbursements'!$G$25),0))</f>
        <v/>
      </c>
      <c r="H63" s="162">
        <f>IF(H71&gt;0,IF(G71&lt;0,(H70-ABS(G71))*'6. Cash Receipts-Disbursements'!$G$25,'12. Income Statement (2)'!H70*'6. Cash Receipts-Disbursements'!$G$25),IF('12. Income Statement (2)'!G71&gt;0,-('12. Income Statement (2)'!G71*'6. Cash Receipts-Disbursements'!$G$25),0))</f>
        <v/>
      </c>
      <c r="I63" s="162">
        <f>IF(I71&gt;0,IF(H71&lt;0,(I70-ABS(H71))*'6. Cash Receipts-Disbursements'!$G$25,'12. Income Statement (2)'!I70*'6. Cash Receipts-Disbursements'!$G$25),IF('12. Income Statement (2)'!H71&gt;0,-('12. Income Statement (2)'!H71*'6. Cash Receipts-Disbursements'!$G$25),0))</f>
        <v/>
      </c>
      <c r="J63" s="162">
        <f>IF(J71&gt;0,IF(I71&lt;0,(J70-ABS(I71))*'6. Cash Receipts-Disbursements'!$G$25,'12. Income Statement (2)'!J70*'6. Cash Receipts-Disbursements'!$G$25),IF('12. Income Statement (2)'!I71&gt;0,-('12. Income Statement (2)'!I71*'6. Cash Receipts-Disbursements'!$G$25),0))</f>
        <v/>
      </c>
      <c r="K63" s="162">
        <f>IF(K71&gt;0,IF(J71&lt;0,(K70-ABS(J71))*'6. Cash Receipts-Disbursements'!$G$25,'12. Income Statement (2)'!K70*'6. Cash Receipts-Disbursements'!$G$25),IF('12. Income Statement (2)'!J71&gt;0,-('12. Income Statement (2)'!J71*'6. Cash Receipts-Disbursements'!$G$25),0))</f>
        <v/>
      </c>
      <c r="L63" s="162">
        <f>IF(L71&gt;0,IF(K71&lt;0,(L70-ABS(K71))*'6. Cash Receipts-Disbursements'!$G$25,'12. Income Statement (2)'!L70*'6. Cash Receipts-Disbursements'!$G$25),IF('12. Income Statement (2)'!K71&gt;0,-('12. Income Statement (2)'!K71*'6. Cash Receipts-Disbursements'!$G$25),0))</f>
        <v/>
      </c>
      <c r="M63" s="162">
        <f>IF(M71&gt;0,IF(L71&lt;0,(M70-ABS(L71))*'6. Cash Receipts-Disbursements'!$G$25,'12. Income Statement (2)'!M70*'6. Cash Receipts-Disbursements'!$G$25),IF('12. Income Statement (2)'!L71&gt;0,-('12. Income Statement (2)'!L71*'6. Cash Receipts-Disbursements'!$G$25),0))</f>
        <v/>
      </c>
      <c r="N63" s="162">
        <f>IF(N71&gt;0,IF(M71&lt;0,(N70-ABS(M71))*'6. Cash Receipts-Disbursements'!$G$25,'12. Income Statement (2)'!N70*'6. Cash Receipts-Disbursements'!$G$25),IF('12. Income Statement (2)'!M71&gt;0,-('12. Income Statement (2)'!M71*'6. Cash Receipts-Disbursements'!$G$25),0))</f>
        <v/>
      </c>
      <c r="O63" s="162">
        <f>IF(O71&gt;0,IF(N71&lt;0,(O70-ABS(N71))*'6. Cash Receipts-Disbursements'!$G$25,'12. Income Statement (2)'!O70*'6. Cash Receipts-Disbursements'!$G$25),IF('12. Income Statement (2)'!N71&gt;0,-('12. Income Statement (2)'!N71*'6. Cash Receipts-Disbursements'!$G$25),0))</f>
        <v/>
      </c>
      <c r="P63" s="162">
        <f>IF(P71&gt;0,IF(O71&lt;0,(P70-ABS(O71))*'6. Cash Receipts-Disbursements'!$G$25,'12. Income Statement (2)'!P70*'6. Cash Receipts-Disbursements'!$G$25),IF('12. Income Statement (2)'!O71&gt;0,-('12. Income Statement (2)'!O71*'6. Cash Receipts-Disbursements'!$G$25),0))</f>
        <v/>
      </c>
      <c r="Q63" s="162">
        <f>SUM(E63:P63)</f>
        <v/>
      </c>
    </row>
    <row r="64" ht="12.75" customHeight="1" s="131">
      <c r="A64" s="137" t="inlineStr">
        <is>
          <t>Total Other Expenses</t>
        </is>
      </c>
      <c r="B64" s="137" t="n"/>
      <c r="C64" s="137" t="n"/>
      <c r="D64" s="145" t="n"/>
      <c r="E64" s="156">
        <f>SUM(E57:E63)</f>
        <v/>
      </c>
      <c r="F64" s="156">
        <f>SUM(F57:F63)</f>
        <v/>
      </c>
      <c r="G64" s="156">
        <f>SUM(G57:G63)</f>
        <v/>
      </c>
      <c r="H64" s="156">
        <f>SUM(H57:H63)</f>
        <v/>
      </c>
      <c r="I64" s="156">
        <f>SUM(I57:I63)</f>
        <v/>
      </c>
      <c r="J64" s="156">
        <f>SUM(J57:J63)</f>
        <v/>
      </c>
      <c r="K64" s="156">
        <f>SUM(K57:K63)</f>
        <v/>
      </c>
      <c r="L64" s="156">
        <f>SUM(L57:L63)</f>
        <v/>
      </c>
      <c r="M64" s="156">
        <f>SUM(M57:M63)</f>
        <v/>
      </c>
      <c r="N64" s="156">
        <f>SUM(N57:N63)</f>
        <v/>
      </c>
      <c r="O64" s="156">
        <f>SUM(O57:O63)</f>
        <v/>
      </c>
      <c r="P64" s="156">
        <f>SUM(P57:P63)</f>
        <v/>
      </c>
      <c r="Q64" s="156">
        <f>SUM(Q57:Q63)</f>
        <v/>
      </c>
    </row>
    <row r="65" ht="12.75" customHeight="1" s="131">
      <c r="A65" s="137" t="n"/>
      <c r="B65" s="137" t="n"/>
      <c r="C65" s="137" t="n"/>
      <c r="D65" s="145" t="n"/>
      <c r="E65" s="162" t="n"/>
      <c r="F65" s="162" t="n"/>
      <c r="G65" s="162" t="n"/>
      <c r="H65" s="162" t="n"/>
      <c r="I65" s="162" t="n"/>
      <c r="J65" s="162" t="n"/>
      <c r="K65" s="162" t="n"/>
      <c r="L65" s="162" t="n"/>
      <c r="M65" s="162" t="n"/>
      <c r="N65" s="162" t="n"/>
      <c r="O65" s="162" t="n"/>
      <c r="P65" s="162" t="n"/>
      <c r="Q65" s="162" t="n"/>
    </row>
    <row r="66" ht="15.95" customHeight="1" s="131">
      <c r="A66" s="137" t="inlineStr">
        <is>
          <t>Net Income</t>
        </is>
      </c>
      <c r="B66" s="137" t="n"/>
      <c r="C66" s="137" t="n"/>
      <c r="D66" s="145" t="n"/>
      <c r="E66" s="219">
        <f>E22-E31-E54-E64</f>
        <v/>
      </c>
      <c r="F66" s="219">
        <f>F22-F31-F54-F64</f>
        <v/>
      </c>
      <c r="G66" s="219">
        <f>G22-G31-G54-G64</f>
        <v/>
      </c>
      <c r="H66" s="219">
        <f>H22-H31-H54-H64</f>
        <v/>
      </c>
      <c r="I66" s="219">
        <f>I22-I31-I54-I64</f>
        <v/>
      </c>
      <c r="J66" s="219">
        <f>J22-J31-J54-J64</f>
        <v/>
      </c>
      <c r="K66" s="219">
        <f>K22-K31-K54-K64</f>
        <v/>
      </c>
      <c r="L66" s="219">
        <f>L22-L31-L54-L64</f>
        <v/>
      </c>
      <c r="M66" s="219">
        <f>M22-M31-M54-M64</f>
        <v/>
      </c>
      <c r="N66" s="219">
        <f>N22-N31-N54-N64</f>
        <v/>
      </c>
      <c r="O66" s="219">
        <f>O22-O31-O54-O64</f>
        <v/>
      </c>
      <c r="P66" s="219">
        <f>P22-P31-P54-P64</f>
        <v/>
      </c>
      <c r="Q66" s="219">
        <f>Q22-Q31-Q54-Q64</f>
        <v/>
      </c>
    </row>
    <row r="67" ht="12.75" customHeight="1" s="131">
      <c r="A67" s="137" t="n"/>
      <c r="B67" s="137" t="n"/>
      <c r="C67" s="137" t="n"/>
      <c r="D67" s="145" t="n"/>
      <c r="E67" s="145" t="n"/>
      <c r="F67" s="145" t="n"/>
      <c r="G67" s="145" t="n"/>
      <c r="H67" s="145" t="n"/>
      <c r="I67" s="145" t="n"/>
      <c r="J67" s="145" t="n"/>
      <c r="K67" s="145" t="n"/>
      <c r="L67" s="145" t="n"/>
      <c r="M67" s="145" t="n"/>
      <c r="N67" s="145" t="n"/>
      <c r="O67" s="145" t="n"/>
      <c r="P67" s="145" t="n"/>
      <c r="Q67" s="145" t="n"/>
    </row>
    <row r="68" ht="12.75" customHeight="1" s="131">
      <c r="A68" s="137" t="n"/>
      <c r="B68" s="137" t="n"/>
      <c r="C68" s="137" t="n"/>
      <c r="D68" s="145" t="n"/>
      <c r="E68" s="145" t="n"/>
      <c r="F68" s="145" t="n"/>
      <c r="G68" s="145" t="n"/>
      <c r="H68" s="145" t="n"/>
      <c r="I68" s="145" t="n"/>
      <c r="J68" s="145" t="n"/>
      <c r="K68" s="145" t="n"/>
      <c r="L68" s="145" t="n"/>
      <c r="M68" s="145" t="n"/>
      <c r="N68" s="145" t="n"/>
      <c r="O68" s="145" t="n"/>
      <c r="P68" s="145" t="n"/>
      <c r="Q68" s="182" t="n"/>
    </row>
    <row r="69" ht="12.75" customHeight="1" s="131">
      <c r="A69" s="137" t="n"/>
      <c r="B69" s="137" t="n"/>
      <c r="C69" s="137" t="n"/>
      <c r="D69" s="145" t="n"/>
      <c r="E69" s="145" t="n"/>
      <c r="F69" s="145" t="n"/>
      <c r="G69" s="145" t="n"/>
      <c r="H69" s="145" t="n"/>
      <c r="I69" s="145" t="n"/>
      <c r="J69" s="145" t="n"/>
      <c r="K69" s="145" t="n"/>
      <c r="L69" s="145" t="n"/>
      <c r="M69" s="145" t="n"/>
      <c r="N69" s="145" t="n"/>
      <c r="O69" s="145" t="n"/>
      <c r="P69" s="145" t="n"/>
      <c r="Q69" s="145" t="n"/>
    </row>
    <row r="70" ht="12.75" customHeight="1" s="131">
      <c r="A70" s="137" t="n"/>
      <c r="B70" s="137" t="n"/>
      <c r="C70" s="137" t="n"/>
      <c r="D70" s="145" t="n"/>
      <c r="E70" s="220">
        <f>E22-E31-E54-E58-E60-E61-E62</f>
        <v/>
      </c>
      <c r="F70" s="220">
        <f>F22-F31-F54-F58-F60-F61-F62</f>
        <v/>
      </c>
      <c r="G70" s="220">
        <f>G22-G31-G54-G58-G60-G61-G62</f>
        <v/>
      </c>
      <c r="H70" s="220">
        <f>H22-H31-H54-H58-H60-H61-H62</f>
        <v/>
      </c>
      <c r="I70" s="220">
        <f>I22-I31-I54-I58-I60-I61-I62</f>
        <v/>
      </c>
      <c r="J70" s="220">
        <f>J22-J31-J54-J58-J60-J61-J62</f>
        <v/>
      </c>
      <c r="K70" s="220">
        <f>K22-K31-K54-K58-K60-K61-K62</f>
        <v/>
      </c>
      <c r="L70" s="220">
        <f>L22-L31-L54-L58-L60-L61-L62</f>
        <v/>
      </c>
      <c r="M70" s="220">
        <f>M22-M31-M54-M58-M60-M61-M62</f>
        <v/>
      </c>
      <c r="N70" s="220">
        <f>N22-N31-N54-N58-N60-N61-N62</f>
        <v/>
      </c>
      <c r="O70" s="220">
        <f>O22-O31-O54-O58-O60-O61-O62</f>
        <v/>
      </c>
      <c r="P70" s="220">
        <f>P22-P31-P54-P58-P60-P61-P62</f>
        <v/>
      </c>
      <c r="Q70" s="145" t="n"/>
    </row>
    <row r="71" ht="12.75" customHeight="1" s="131">
      <c r="A71" s="137" t="n"/>
      <c r="B71" s="137" t="n"/>
      <c r="C71" s="137" t="n"/>
      <c r="D71" s="145" t="n"/>
      <c r="E71" s="220">
        <f>E70</f>
        <v/>
      </c>
      <c r="F71" s="220">
        <f>E71+F70</f>
        <v/>
      </c>
      <c r="G71" s="220">
        <f>F71+G70</f>
        <v/>
      </c>
      <c r="H71" s="220">
        <f>G71+H70</f>
        <v/>
      </c>
      <c r="I71" s="220">
        <f>H71+I70</f>
        <v/>
      </c>
      <c r="J71" s="220">
        <f>I71+J70</f>
        <v/>
      </c>
      <c r="K71" s="220">
        <f>J71+K70</f>
        <v/>
      </c>
      <c r="L71" s="220">
        <f>K71+L70</f>
        <v/>
      </c>
      <c r="M71" s="220">
        <f>L71+M70</f>
        <v/>
      </c>
      <c r="N71" s="220">
        <f>M71+N70</f>
        <v/>
      </c>
      <c r="O71" s="220">
        <f>N71+O70</f>
        <v/>
      </c>
      <c r="P71" s="220">
        <f>O71+P70</f>
        <v/>
      </c>
      <c r="Q71" s="145" t="n"/>
    </row>
    <row r="72" ht="12.75" customHeight="1" s="131">
      <c r="P72" s="221" t="n"/>
      <c r="Q72" s="221" t="n"/>
    </row>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Q6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E17" activeCellId="0" sqref="E17"/>
    </sheetView>
  </sheetViews>
  <sheetFormatPr baseColWidth="8" defaultColWidth="9.15234375" defaultRowHeight="12" zeroHeight="0" outlineLevelRow="0"/>
  <cols>
    <col width="2.99" customWidth="1" style="168" min="1" max="3"/>
    <col width="22.75" customWidth="1" style="130" min="4" max="4"/>
    <col width="10.72" customWidth="1" style="130" min="5" max="16"/>
    <col width="15.73" customWidth="1" style="130" min="17" max="17"/>
  </cols>
  <sheetData>
    <row r="1" ht="15.75" customHeight="1" s="131">
      <c r="A1" s="142">
        <f>'1. Required Start-Up Funds'!A1</f>
        <v/>
      </c>
    </row>
    <row r="2" ht="15.75" customHeight="1" s="131">
      <c r="A2" s="142" t="inlineStr">
        <is>
          <t>Projected Cash Flow Statement - Year Two</t>
        </is>
      </c>
    </row>
    <row r="3" ht="12.75" customHeight="1" s="131">
      <c r="A3" s="137" t="n"/>
      <c r="B3" s="137" t="n"/>
      <c r="C3" s="137" t="n"/>
      <c r="D3" s="145" t="n"/>
      <c r="E3" s="145" t="n"/>
      <c r="F3" s="145" t="n"/>
      <c r="G3" s="145" t="n"/>
      <c r="H3" s="145" t="n"/>
      <c r="I3" s="145" t="n"/>
      <c r="J3" s="145" t="n"/>
      <c r="K3" s="145" t="n"/>
      <c r="L3" s="145" t="n"/>
      <c r="M3" s="145" t="n"/>
      <c r="N3" s="145" t="n"/>
      <c r="O3" s="145" t="n"/>
      <c r="P3" s="145" t="n"/>
      <c r="Q3" s="145" t="n"/>
    </row>
    <row r="4" ht="12.75" customHeight="1" s="131">
      <c r="A4" s="137" t="n"/>
      <c r="B4" s="137" t="n"/>
      <c r="C4" s="137" t="n"/>
      <c r="D4" s="145" t="n"/>
      <c r="E4" s="145" t="n"/>
      <c r="F4" s="145" t="n"/>
      <c r="G4" s="145" t="n"/>
      <c r="H4" s="145" t="n"/>
      <c r="I4" s="145" t="n"/>
      <c r="J4" s="145" t="n"/>
      <c r="K4" s="145" t="n"/>
      <c r="L4" s="145" t="n"/>
      <c r="M4" s="145" t="n"/>
      <c r="N4" s="145" t="n"/>
      <c r="O4" s="145" t="n"/>
      <c r="P4" s="145" t="n"/>
      <c r="Q4" s="145" t="n"/>
    </row>
    <row r="5" ht="12.75" customHeight="1" s="131">
      <c r="A5" s="137" t="n"/>
      <c r="B5" s="137" t="n"/>
      <c r="C5" s="137" t="n"/>
      <c r="D5" s="145" t="n"/>
      <c r="E5" s="145" t="n"/>
      <c r="F5" s="145" t="n"/>
      <c r="G5" s="145" t="n"/>
      <c r="H5" s="145" t="n"/>
      <c r="I5" s="145" t="n"/>
      <c r="J5" s="145" t="n"/>
      <c r="K5" s="145" t="n"/>
      <c r="L5" s="145" t="n"/>
      <c r="M5" s="145" t="n"/>
      <c r="N5" s="145" t="n"/>
      <c r="O5" s="145" t="n"/>
      <c r="P5" s="145" t="n"/>
      <c r="Q5" s="145" t="n"/>
    </row>
    <row r="6" ht="12.75" customHeight="1" s="131">
      <c r="A6" s="137" t="n"/>
      <c r="B6" s="137" t="n"/>
      <c r="C6" s="137" t="n"/>
      <c r="D6" s="145" t="n"/>
      <c r="E6" s="172">
        <f>'4. Projected Sales Forecast'!H6</f>
        <v/>
      </c>
      <c r="F6" s="172">
        <f>'4. Projected Sales Forecast'!I6</f>
        <v/>
      </c>
      <c r="G6" s="172">
        <f>'4. Projected Sales Forecast'!J6</f>
        <v/>
      </c>
      <c r="H6" s="172">
        <f>'4. Projected Sales Forecast'!K6</f>
        <v/>
      </c>
      <c r="I6" s="172">
        <f>'4. Projected Sales Forecast'!L6</f>
        <v/>
      </c>
      <c r="J6" s="172">
        <f>'4. Projected Sales Forecast'!M6</f>
        <v/>
      </c>
      <c r="K6" s="172">
        <f>'4. Projected Sales Forecast'!N6</f>
        <v/>
      </c>
      <c r="L6" s="172">
        <f>'4. Projected Sales Forecast'!O6</f>
        <v/>
      </c>
      <c r="M6" s="172">
        <f>'4. Projected Sales Forecast'!P6</f>
        <v/>
      </c>
      <c r="N6" s="172">
        <f>'4. Projected Sales Forecast'!Q6</f>
        <v/>
      </c>
      <c r="O6" s="172">
        <f>'4. Projected Sales Forecast'!R6</f>
        <v/>
      </c>
      <c r="P6" s="172">
        <f>'4. Projected Sales Forecast'!S6</f>
        <v/>
      </c>
      <c r="Q6" s="172" t="inlineStr">
        <is>
          <t>Totals</t>
        </is>
      </c>
    </row>
    <row r="7" ht="12.75" customHeight="1" s="131">
      <c r="A7" s="137" t="n"/>
      <c r="B7" s="137" t="n"/>
      <c r="C7" s="137" t="n"/>
      <c r="D7" s="145" t="n"/>
      <c r="E7" s="145" t="n"/>
      <c r="F7" s="145" t="n"/>
      <c r="G7" s="145" t="n"/>
      <c r="H7" s="145" t="n"/>
      <c r="I7" s="145" t="n"/>
      <c r="J7" s="145" t="n"/>
      <c r="K7" s="145" t="n"/>
      <c r="L7" s="145" t="n"/>
      <c r="M7" s="145" t="n"/>
      <c r="N7" s="145" t="n"/>
      <c r="O7" s="145" t="n"/>
      <c r="P7" s="145" t="n"/>
      <c r="Q7" s="145" t="n"/>
    </row>
    <row r="8" ht="12.75" customHeight="1" s="131">
      <c r="A8" s="137" t="inlineStr">
        <is>
          <t>Beginning Cash Balance</t>
        </is>
      </c>
      <c r="B8" s="137" t="n"/>
      <c r="C8" s="137" t="n"/>
      <c r="D8" s="145" t="n"/>
      <c r="E8" s="156">
        <f>'9. Cash Flow Statement'!P37</f>
        <v/>
      </c>
      <c r="F8" s="156">
        <f>E37</f>
        <v/>
      </c>
      <c r="G8" s="156">
        <f>F37</f>
        <v/>
      </c>
      <c r="H8" s="156">
        <f>G37</f>
        <v/>
      </c>
      <c r="I8" s="156">
        <f>H37</f>
        <v/>
      </c>
      <c r="J8" s="156">
        <f>I37</f>
        <v/>
      </c>
      <c r="K8" s="156">
        <f>J37</f>
        <v/>
      </c>
      <c r="L8" s="156">
        <f>K37</f>
        <v/>
      </c>
      <c r="M8" s="156">
        <f>L37</f>
        <v/>
      </c>
      <c r="N8" s="156">
        <f>M37</f>
        <v/>
      </c>
      <c r="O8" s="156">
        <f>N37</f>
        <v/>
      </c>
      <c r="P8" s="156">
        <f>O37</f>
        <v/>
      </c>
      <c r="Q8" s="156" t="n"/>
    </row>
    <row r="9" ht="12.75" customHeight="1" s="131">
      <c r="A9" s="137" t="n"/>
      <c r="B9" s="137" t="n"/>
      <c r="C9" s="137" t="n"/>
      <c r="D9" s="145" t="n"/>
      <c r="E9" s="156" t="n"/>
      <c r="F9" s="156" t="n"/>
      <c r="G9" s="156" t="n"/>
      <c r="H9" s="156" t="n"/>
      <c r="I9" s="156" t="n"/>
      <c r="J9" s="156" t="n"/>
      <c r="K9" s="156" t="n"/>
      <c r="L9" s="156" t="n"/>
      <c r="M9" s="156" t="n"/>
      <c r="N9" s="156" t="n"/>
      <c r="O9" s="156" t="n"/>
      <c r="P9" s="156" t="n"/>
      <c r="Q9" s="156" t="n"/>
    </row>
    <row r="10" ht="12.75" customHeight="1" s="131">
      <c r="A10" s="137" t="inlineStr">
        <is>
          <t>Cash Inflows</t>
        </is>
      </c>
      <c r="B10" s="137" t="n"/>
      <c r="C10" s="137" t="n"/>
      <c r="D10" s="145" t="n"/>
      <c r="E10" s="156" t="n"/>
      <c r="F10" s="156" t="n"/>
      <c r="G10" s="156" t="n"/>
      <c r="H10" s="156" t="n"/>
      <c r="I10" s="156" t="n"/>
      <c r="J10" s="156" t="n"/>
      <c r="K10" s="156" t="n"/>
      <c r="L10" s="156" t="n"/>
      <c r="M10" s="156" t="n"/>
      <c r="N10" s="156" t="n"/>
      <c r="O10" s="156" t="n"/>
      <c r="P10" s="156" t="n"/>
      <c r="Q10" s="156" t="n"/>
    </row>
    <row r="11" ht="12.75" customHeight="1" s="131">
      <c r="A11" s="137" t="n"/>
      <c r="B11" s="137" t="inlineStr">
        <is>
          <t>Income from Sales</t>
        </is>
      </c>
      <c r="C11" s="137" t="n"/>
      <c r="D11" s="145" t="n"/>
      <c r="E11" s="156">
        <f>'12. Income Statement (2)'!E13*'6. Cash Receipts-Disbursements'!$G$8</f>
        <v/>
      </c>
      <c r="F11" s="156">
        <f>'12. Income Statement (2)'!F13*'6. Cash Receipts-Disbursements'!$G$8</f>
        <v/>
      </c>
      <c r="G11" s="156">
        <f>'12. Income Statement (2)'!G13*'6. Cash Receipts-Disbursements'!$G$8</f>
        <v/>
      </c>
      <c r="H11" s="156">
        <f>'12. Income Statement (2)'!H13*'6. Cash Receipts-Disbursements'!$G$8</f>
        <v/>
      </c>
      <c r="I11" s="156">
        <f>'12. Income Statement (2)'!I13*'6. Cash Receipts-Disbursements'!$G$8</f>
        <v/>
      </c>
      <c r="J11" s="156">
        <f>'12. Income Statement (2)'!J13*'6. Cash Receipts-Disbursements'!$G$8</f>
        <v/>
      </c>
      <c r="K11" s="156">
        <f>'12. Income Statement (2)'!K13*'6. Cash Receipts-Disbursements'!$G$8</f>
        <v/>
      </c>
      <c r="L11" s="156">
        <f>'12. Income Statement (2)'!L13*'6. Cash Receipts-Disbursements'!$G$8</f>
        <v/>
      </c>
      <c r="M11" s="156">
        <f>'12. Income Statement (2)'!M13*'6. Cash Receipts-Disbursements'!$G$8</f>
        <v/>
      </c>
      <c r="N11" s="156">
        <f>'12. Income Statement (2)'!N13*'6. Cash Receipts-Disbursements'!$G$8</f>
        <v/>
      </c>
      <c r="O11" s="156">
        <f>'12. Income Statement (2)'!O13*'6. Cash Receipts-Disbursements'!$G$8</f>
        <v/>
      </c>
      <c r="P11" s="156">
        <f>'12. Income Statement (2)'!P13*'6. Cash Receipts-Disbursements'!$G$8</f>
        <v/>
      </c>
      <c r="Q11" s="156">
        <f>SUM(E11:P11)</f>
        <v/>
      </c>
    </row>
    <row r="12" ht="12.75" customHeight="1" s="131">
      <c r="A12" s="137" t="n"/>
      <c r="B12" s="137" t="inlineStr">
        <is>
          <t>Accounts Receivable</t>
        </is>
      </c>
      <c r="C12" s="137" t="n"/>
      <c r="D12" s="145" t="n"/>
      <c r="E12" s="162">
        <f>('8. Income Statement'!O13*'6. Cash Receipts-Disbursements'!G10)+('8. Income Statement'!P13*'6. Cash Receipts-Disbursements'!G9)</f>
        <v/>
      </c>
      <c r="F12" s="162">
        <f>('8. Income Statement'!P13*'6. Cash Receipts-Disbursements'!G10)+('12. Income Statement (2)'!E13*'6. Cash Receipts-Disbursements'!G9)</f>
        <v/>
      </c>
      <c r="G12" s="162">
        <f>('12. Income Statement (2)'!E13*'6. Cash Receipts-Disbursements'!$G$10)+('12. Income Statement (2)'!F13*'6. Cash Receipts-Disbursements'!$G$9)</f>
        <v/>
      </c>
      <c r="H12" s="162">
        <f>('12. Income Statement (2)'!F13*'6. Cash Receipts-Disbursements'!$G$10)+('12. Income Statement (2)'!G13*'6. Cash Receipts-Disbursements'!$G$9)</f>
        <v/>
      </c>
      <c r="I12" s="162">
        <f>('12. Income Statement (2)'!G13*'6. Cash Receipts-Disbursements'!$G$10)+('12. Income Statement (2)'!H13*'6. Cash Receipts-Disbursements'!$G$9)</f>
        <v/>
      </c>
      <c r="J12" s="162">
        <f>('12. Income Statement (2)'!H13*'6. Cash Receipts-Disbursements'!$G$10)+('12. Income Statement (2)'!I13*'6. Cash Receipts-Disbursements'!$G$9)</f>
        <v/>
      </c>
      <c r="K12" s="162">
        <f>('12. Income Statement (2)'!I13*'6. Cash Receipts-Disbursements'!$G$10)+('12. Income Statement (2)'!J13*'6. Cash Receipts-Disbursements'!$G$9)</f>
        <v/>
      </c>
      <c r="L12" s="162">
        <f>('12. Income Statement (2)'!J13*'6. Cash Receipts-Disbursements'!$G$10)+('12. Income Statement (2)'!K13*'6. Cash Receipts-Disbursements'!$G$9)</f>
        <v/>
      </c>
      <c r="M12" s="162">
        <f>('12. Income Statement (2)'!K13*'6. Cash Receipts-Disbursements'!$G$10)+('12. Income Statement (2)'!L13*'6. Cash Receipts-Disbursements'!$G$9)</f>
        <v/>
      </c>
      <c r="N12" s="162">
        <f>('12. Income Statement (2)'!L13*'6. Cash Receipts-Disbursements'!$G$10)+('12. Income Statement (2)'!M13*'6. Cash Receipts-Disbursements'!$G$9)</f>
        <v/>
      </c>
      <c r="O12" s="162">
        <f>('12. Income Statement (2)'!M13*'6. Cash Receipts-Disbursements'!$G$10)+('12. Income Statement (2)'!N13*'6. Cash Receipts-Disbursements'!$G$9)</f>
        <v/>
      </c>
      <c r="P12" s="162">
        <f>('12. Income Statement (2)'!N13*'6. Cash Receipts-Disbursements'!$G$10)+('12. Income Statement (2)'!O13*'6. Cash Receipts-Disbursements'!$G$9)</f>
        <v/>
      </c>
      <c r="Q12" s="162">
        <f>SUM(E12:P12)</f>
        <v/>
      </c>
    </row>
    <row r="13" ht="12.75" customHeight="1" s="131">
      <c r="A13" s="137" t="inlineStr">
        <is>
          <t>Total Cash Inflows</t>
        </is>
      </c>
      <c r="B13" s="137" t="n"/>
      <c r="C13" s="137" t="n"/>
      <c r="D13" s="145" t="n"/>
      <c r="E13" s="156">
        <f>SUM(E11:E12)</f>
        <v/>
      </c>
      <c r="F13" s="156">
        <f>SUM(F11:F12)</f>
        <v/>
      </c>
      <c r="G13" s="156">
        <f>SUM(G11:G12)</f>
        <v/>
      </c>
      <c r="H13" s="156">
        <f>SUM(H11:H12)</f>
        <v/>
      </c>
      <c r="I13" s="156">
        <f>SUM(I11:I12)</f>
        <v/>
      </c>
      <c r="J13" s="156">
        <f>SUM(J11:J12)</f>
        <v/>
      </c>
      <c r="K13" s="156">
        <f>SUM(K11:K12)</f>
        <v/>
      </c>
      <c r="L13" s="156">
        <f>SUM(L11:L12)</f>
        <v/>
      </c>
      <c r="M13" s="156">
        <f>SUM(M11:M12)</f>
        <v/>
      </c>
      <c r="N13" s="156">
        <f>SUM(N11:N12)</f>
        <v/>
      </c>
      <c r="O13" s="156">
        <f>SUM(O11:O12)</f>
        <v/>
      </c>
      <c r="P13" s="156">
        <f>SUM(P11:P12)</f>
        <v/>
      </c>
      <c r="Q13" s="156">
        <f>SUM(Q11:Q12)</f>
        <v/>
      </c>
    </row>
    <row r="14" ht="12.75" customHeight="1" s="131">
      <c r="A14" s="137" t="n"/>
      <c r="B14" s="137" t="n"/>
      <c r="C14" s="137" t="n"/>
      <c r="D14" s="145" t="n"/>
      <c r="E14" s="156" t="n"/>
      <c r="F14" s="156" t="n"/>
      <c r="G14" s="156" t="n"/>
      <c r="H14" s="156" t="n"/>
      <c r="I14" s="156" t="n"/>
      <c r="J14" s="156" t="n"/>
      <c r="K14" s="156" t="n"/>
      <c r="L14" s="156" t="n"/>
      <c r="M14" s="156" t="n"/>
      <c r="N14" s="156" t="n"/>
      <c r="O14" s="156" t="n"/>
      <c r="P14" s="156" t="n"/>
      <c r="Q14" s="156" t="n"/>
    </row>
    <row r="15" ht="12.75" customHeight="1" s="131">
      <c r="A15" s="137" t="inlineStr">
        <is>
          <t>Cash Outflows</t>
        </is>
      </c>
      <c r="B15" s="137" t="n"/>
      <c r="C15" s="137" t="n"/>
      <c r="D15" s="145" t="n"/>
      <c r="E15" s="156" t="n"/>
      <c r="F15" s="156" t="n"/>
      <c r="G15" s="156" t="n"/>
      <c r="H15" s="156" t="n"/>
      <c r="I15" s="156" t="n"/>
      <c r="J15" s="156" t="n"/>
      <c r="K15" s="156" t="n"/>
      <c r="L15" s="156" t="n"/>
      <c r="M15" s="156" t="n"/>
      <c r="N15" s="156" t="n"/>
      <c r="O15" s="156" t="n"/>
      <c r="P15" s="156" t="n"/>
      <c r="Q15" s="156" t="n"/>
    </row>
    <row r="16" ht="12.75" customHeight="1" s="131">
      <c r="A16" s="137" t="n"/>
      <c r="B16" s="137" t="inlineStr">
        <is>
          <t>Investing Activities</t>
        </is>
      </c>
      <c r="C16" s="137" t="n"/>
      <c r="D16" s="145" t="n"/>
      <c r="E16" s="156" t="n"/>
      <c r="F16" s="156" t="n"/>
      <c r="G16" s="156" t="n"/>
      <c r="H16" s="156" t="n"/>
      <c r="I16" s="156" t="n"/>
      <c r="J16" s="156" t="n"/>
      <c r="K16" s="156" t="n"/>
      <c r="L16" s="156" t="n"/>
      <c r="M16" s="156" t="n"/>
      <c r="N16" s="156" t="n"/>
      <c r="O16" s="156" t="n"/>
      <c r="P16" s="156" t="n"/>
      <c r="Q16" s="156" t="n"/>
    </row>
    <row r="17" ht="12.75" customHeight="1" s="131">
      <c r="A17" s="137" t="n"/>
      <c r="B17" s="137" t="n"/>
      <c r="C17" s="137" t="inlineStr">
        <is>
          <t>New Capital Purchases</t>
        </is>
      </c>
      <c r="D17" s="145" t="n"/>
      <c r="E17" s="200" t="n">
        <v>0</v>
      </c>
      <c r="F17" s="200" t="n">
        <v>0</v>
      </c>
      <c r="G17" s="200" t="n">
        <v>0</v>
      </c>
      <c r="H17" s="200" t="n">
        <v>0</v>
      </c>
      <c r="I17" s="200" t="n">
        <v>0</v>
      </c>
      <c r="J17" s="200" t="n">
        <v>0</v>
      </c>
      <c r="K17" s="200" t="n">
        <v>0</v>
      </c>
      <c r="L17" s="200" t="n">
        <v>0</v>
      </c>
      <c r="M17" s="200" t="n">
        <v>0</v>
      </c>
      <c r="N17" s="200" t="n">
        <v>0</v>
      </c>
      <c r="O17" s="200" t="n">
        <v>0</v>
      </c>
      <c r="P17" s="200" t="n">
        <v>0</v>
      </c>
      <c r="Q17" s="156">
        <f>SUM(E17:P17)</f>
        <v/>
      </c>
    </row>
    <row r="18" ht="12.75" customHeight="1" s="131">
      <c r="A18" s="137" t="n"/>
      <c r="B18" s="137" t="n"/>
      <c r="C18" s="137" t="inlineStr">
        <is>
          <t>Inventory Purchases</t>
        </is>
      </c>
      <c r="D18" s="145" t="n"/>
      <c r="E18" s="200" t="n">
        <v>0</v>
      </c>
      <c r="F18" s="200" t="n">
        <v>0</v>
      </c>
      <c r="G18" s="200" t="n">
        <v>0</v>
      </c>
      <c r="H18" s="200" t="n">
        <v>0</v>
      </c>
      <c r="I18" s="200" t="n">
        <v>0</v>
      </c>
      <c r="J18" s="200" t="n">
        <v>0</v>
      </c>
      <c r="K18" s="200" t="n">
        <v>0</v>
      </c>
      <c r="L18" s="200" t="n">
        <v>0</v>
      </c>
      <c r="M18" s="200" t="n">
        <v>0</v>
      </c>
      <c r="N18" s="200" t="n">
        <v>0</v>
      </c>
      <c r="O18" s="200" t="n">
        <v>0</v>
      </c>
      <c r="P18" s="200" t="n">
        <v>0</v>
      </c>
      <c r="Q18" s="156">
        <f>SUM(E18:P18)</f>
        <v/>
      </c>
    </row>
    <row r="19" ht="12.75" customHeight="1" s="131">
      <c r="A19" s="137" t="n"/>
      <c r="B19" s="137" t="n"/>
      <c r="C19" s="137" t="inlineStr">
        <is>
          <t>Cost of Sales</t>
        </is>
      </c>
      <c r="D19" s="145" t="n"/>
      <c r="E19" s="156">
        <f>('6. Cash Receipts-Disbursements'!G15*'12. Income Statement (2)'!E20)+('6. Cash Receipts-Disbursements'!G16*'8. Income Statement'!P20)+('6. Cash Receipts-Disbursements'!G17*'8. Income Statement'!O13)</f>
        <v/>
      </c>
      <c r="F19" s="156">
        <f>('6. Cash Receipts-Disbursements'!G15*'12. Income Statement (2)'!F20)+('6. Cash Receipts-Disbursements'!G16*'12. Income Statement (2)'!E20)+('6. Cash Receipts-Disbursements'!G17*'8. Income Statement'!P20)</f>
        <v/>
      </c>
      <c r="G19" s="156">
        <f>('6. Cash Receipts-Disbursements'!$G$15*'12. Income Statement (2)'!G20)+('6. Cash Receipts-Disbursements'!$G$16*'12. Income Statement (2)'!F20)+('6. Cash Receipts-Disbursements'!$G$17*'12. Income Statement (2)'!E20)</f>
        <v/>
      </c>
      <c r="H19" s="156">
        <f>('6. Cash Receipts-Disbursements'!$G$15*'12. Income Statement (2)'!H20)+('6. Cash Receipts-Disbursements'!$G$16*'12. Income Statement (2)'!G20)+('6. Cash Receipts-Disbursements'!$G$17*'12. Income Statement (2)'!F20)</f>
        <v/>
      </c>
      <c r="I19" s="156">
        <f>('6. Cash Receipts-Disbursements'!$G$15*'12. Income Statement (2)'!I20)+('6. Cash Receipts-Disbursements'!$G$16*'12. Income Statement (2)'!H20)+('6. Cash Receipts-Disbursements'!$G$17*'12. Income Statement (2)'!G20)</f>
        <v/>
      </c>
      <c r="J19" s="156">
        <f>('6. Cash Receipts-Disbursements'!$G$15*'12. Income Statement (2)'!J20)+('6. Cash Receipts-Disbursements'!$G$16*'12. Income Statement (2)'!I20)+('6. Cash Receipts-Disbursements'!$G$17*'12. Income Statement (2)'!H20)</f>
        <v/>
      </c>
      <c r="K19" s="156">
        <f>('6. Cash Receipts-Disbursements'!$G$15*'12. Income Statement (2)'!K20)+('6. Cash Receipts-Disbursements'!$G$16*'12. Income Statement (2)'!J20)+('6. Cash Receipts-Disbursements'!$G$17*'12. Income Statement (2)'!I20)</f>
        <v/>
      </c>
      <c r="L19" s="156">
        <f>('6. Cash Receipts-Disbursements'!$G$15*'12. Income Statement (2)'!L20)+('6. Cash Receipts-Disbursements'!$G$16*'12. Income Statement (2)'!K20)+('6. Cash Receipts-Disbursements'!$G$17*'12. Income Statement (2)'!J20)</f>
        <v/>
      </c>
      <c r="M19" s="156">
        <f>('6. Cash Receipts-Disbursements'!$G$15*'12. Income Statement (2)'!M20)+('6. Cash Receipts-Disbursements'!$G$16*'12. Income Statement (2)'!L20)+('6. Cash Receipts-Disbursements'!$G$17*'12. Income Statement (2)'!K20)</f>
        <v/>
      </c>
      <c r="N19" s="156">
        <f>('6. Cash Receipts-Disbursements'!$G$15*'12. Income Statement (2)'!N20)+('6. Cash Receipts-Disbursements'!$G$16*'12. Income Statement (2)'!M20)+('6. Cash Receipts-Disbursements'!$G$17*'12. Income Statement (2)'!L20)</f>
        <v/>
      </c>
      <c r="O19" s="156">
        <f>('6. Cash Receipts-Disbursements'!$G$15*'12. Income Statement (2)'!O20)+('6. Cash Receipts-Disbursements'!$G$16*'12. Income Statement (2)'!N20)+('6. Cash Receipts-Disbursements'!$G$17*'12. Income Statement (2)'!M20)</f>
        <v/>
      </c>
      <c r="P19" s="156">
        <f>('6. Cash Receipts-Disbursements'!$G$15*'12. Income Statement (2)'!P20)+('6. Cash Receipts-Disbursements'!$G$16*'12. Income Statement (2)'!O20)+('6. Cash Receipts-Disbursements'!$G$17*'12. Income Statement (2)'!N20)</f>
        <v/>
      </c>
      <c r="Q19" s="156">
        <f>SUM(E19:P19)</f>
        <v/>
      </c>
    </row>
    <row r="20" ht="12.75" customHeight="1" s="131">
      <c r="A20" s="137" t="n"/>
      <c r="B20" s="137" t="inlineStr">
        <is>
          <t>Operating Activities</t>
        </is>
      </c>
      <c r="C20" s="137" t="n"/>
      <c r="D20" s="145" t="n"/>
      <c r="E20" s="156" t="n"/>
      <c r="F20" s="156" t="n"/>
      <c r="G20" s="156" t="n"/>
      <c r="H20" s="156" t="n"/>
      <c r="I20" s="156" t="n"/>
      <c r="J20" s="156" t="n"/>
      <c r="K20" s="156" t="n"/>
      <c r="L20" s="156" t="n"/>
      <c r="M20" s="156" t="n"/>
      <c r="N20" s="156" t="n"/>
      <c r="O20" s="156" t="n"/>
      <c r="P20" s="156" t="n"/>
      <c r="Q20" s="156" t="n"/>
    </row>
    <row r="21" ht="12.75" customHeight="1" s="131">
      <c r="A21" s="137" t="n"/>
      <c r="B21" s="137" t="n"/>
      <c r="C21" s="137">
        <f>'8. Income Statement'!A24</f>
        <v/>
      </c>
      <c r="D21" s="145" t="n"/>
      <c r="E21" s="156">
        <f>'12. Income Statement (2)'!E31</f>
        <v/>
      </c>
      <c r="F21" s="156">
        <f>'12. Income Statement (2)'!F31</f>
        <v/>
      </c>
      <c r="G21" s="156">
        <f>'12. Income Statement (2)'!G31</f>
        <v/>
      </c>
      <c r="H21" s="156">
        <f>'12. Income Statement (2)'!H31</f>
        <v/>
      </c>
      <c r="I21" s="156">
        <f>'12. Income Statement (2)'!I31</f>
        <v/>
      </c>
      <c r="J21" s="156">
        <f>'12. Income Statement (2)'!J31</f>
        <v/>
      </c>
      <c r="K21" s="156">
        <f>'12. Income Statement (2)'!K31</f>
        <v/>
      </c>
      <c r="L21" s="156">
        <f>'12. Income Statement (2)'!L31</f>
        <v/>
      </c>
      <c r="M21" s="156">
        <f>'12. Income Statement (2)'!M31</f>
        <v/>
      </c>
      <c r="N21" s="156">
        <f>'12. Income Statement (2)'!N31</f>
        <v/>
      </c>
      <c r="O21" s="156">
        <f>'12. Income Statement (2)'!O31</f>
        <v/>
      </c>
      <c r="P21" s="156">
        <f>'12. Income Statement (2)'!P31</f>
        <v/>
      </c>
      <c r="Q21" s="156">
        <f>SUM(E21:P21)</f>
        <v/>
      </c>
    </row>
    <row r="22" ht="12.75" customHeight="1" s="131">
      <c r="A22" s="137" t="n"/>
      <c r="B22" s="137" t="n"/>
      <c r="C22" s="137">
        <f>'8. Income Statement'!A33</f>
        <v/>
      </c>
      <c r="D22" s="145" t="n"/>
      <c r="E22" s="156">
        <f>'12. Income Statement (2)'!E54</f>
        <v/>
      </c>
      <c r="F22" s="156">
        <f>'12. Income Statement (2)'!F54</f>
        <v/>
      </c>
      <c r="G22" s="156">
        <f>'12. Income Statement (2)'!G54</f>
        <v/>
      </c>
      <c r="H22" s="156">
        <f>'12. Income Statement (2)'!H54</f>
        <v/>
      </c>
      <c r="I22" s="156">
        <f>'12. Income Statement (2)'!I54</f>
        <v/>
      </c>
      <c r="J22" s="156">
        <f>'12. Income Statement (2)'!J54</f>
        <v/>
      </c>
      <c r="K22" s="156">
        <f>'12. Income Statement (2)'!K54</f>
        <v/>
      </c>
      <c r="L22" s="156">
        <f>'12. Income Statement (2)'!L54</f>
        <v/>
      </c>
      <c r="M22" s="156">
        <f>'12. Income Statement (2)'!M54</f>
        <v/>
      </c>
      <c r="N22" s="156">
        <f>'12. Income Statement (2)'!N54</f>
        <v/>
      </c>
      <c r="O22" s="156">
        <f>'12. Income Statement (2)'!O54</f>
        <v/>
      </c>
      <c r="P22" s="156">
        <f>'12. Income Statement (2)'!P54</f>
        <v/>
      </c>
      <c r="Q22" s="156">
        <f>SUM(E22:P22)</f>
        <v/>
      </c>
    </row>
    <row r="23" ht="12.75" customHeight="1" s="131">
      <c r="A23" s="137" t="n"/>
      <c r="B23" s="137" t="n"/>
      <c r="C23" s="137" t="inlineStr">
        <is>
          <t>Taxes</t>
        </is>
      </c>
      <c r="D23" s="145" t="n"/>
      <c r="E23" s="156" t="n">
        <v>0</v>
      </c>
      <c r="F23" s="156" t="n">
        <v>0</v>
      </c>
      <c r="G23" s="156">
        <f>SUM('12. Income Statement (2)'!E63:G63)</f>
        <v/>
      </c>
      <c r="H23" s="156" t="n">
        <v>0</v>
      </c>
      <c r="I23" s="156" t="n">
        <v>0</v>
      </c>
      <c r="J23" s="156">
        <f>SUM('12. Income Statement (2)'!H63:J63)</f>
        <v/>
      </c>
      <c r="K23" s="156" t="n">
        <v>0</v>
      </c>
      <c r="L23" s="156" t="n">
        <v>0</v>
      </c>
      <c r="M23" s="156">
        <f>SUM('12. Income Statement (2)'!K63:M63)</f>
        <v/>
      </c>
      <c r="N23" s="156" t="n">
        <v>0</v>
      </c>
      <c r="O23" s="156" t="n">
        <v>0</v>
      </c>
      <c r="P23" s="156">
        <f>SUM('12. Income Statement (2)'!N63:P63)</f>
        <v/>
      </c>
      <c r="Q23" s="156">
        <f>SUM(E23:P23)</f>
        <v/>
      </c>
    </row>
    <row r="24" ht="12.75" customHeight="1" s="131">
      <c r="A24" s="137" t="n"/>
      <c r="B24" s="137" t="inlineStr">
        <is>
          <t>Financing Activities</t>
        </is>
      </c>
      <c r="C24" s="137" t="n"/>
      <c r="D24" s="145" t="n"/>
      <c r="E24" s="156" t="n"/>
      <c r="F24" s="156" t="n"/>
      <c r="G24" s="156" t="n"/>
      <c r="H24" s="156" t="n"/>
      <c r="I24" s="156" t="n"/>
      <c r="J24" s="156" t="n"/>
      <c r="K24" s="156" t="n"/>
      <c r="L24" s="156" t="n"/>
      <c r="M24" s="156" t="n"/>
      <c r="N24" s="156" t="n"/>
      <c r="O24" s="156" t="n"/>
      <c r="P24" s="156" t="n"/>
      <c r="Q24" s="156">
        <f>SUM(E24:P24)</f>
        <v/>
      </c>
    </row>
    <row r="25" ht="12.75" customHeight="1" s="131">
      <c r="A25" s="137" t="n"/>
      <c r="B25" s="137" t="n"/>
      <c r="C25" s="137" t="inlineStr">
        <is>
          <t>Loan Payments</t>
        </is>
      </c>
      <c r="D25" s="145" t="n"/>
      <c r="E25" s="156">
        <f>'1. Required Start-Up Funds'!J42</f>
        <v/>
      </c>
      <c r="F25" s="156">
        <f>E25</f>
        <v/>
      </c>
      <c r="G25" s="156">
        <f>F25</f>
        <v/>
      </c>
      <c r="H25" s="156">
        <f>G25</f>
        <v/>
      </c>
      <c r="I25" s="156">
        <f>H25</f>
        <v/>
      </c>
      <c r="J25" s="156">
        <f>I25</f>
        <v/>
      </c>
      <c r="K25" s="156">
        <f>J25</f>
        <v/>
      </c>
      <c r="L25" s="156">
        <f>K25</f>
        <v/>
      </c>
      <c r="M25" s="156">
        <f>L25</f>
        <v/>
      </c>
      <c r="N25" s="156">
        <f>M25</f>
        <v/>
      </c>
      <c r="O25" s="156">
        <f>N25</f>
        <v/>
      </c>
      <c r="P25" s="156">
        <f>O25</f>
        <v/>
      </c>
      <c r="Q25" s="156">
        <f>SUM(E25:P25)</f>
        <v/>
      </c>
    </row>
    <row r="26" ht="12.75" customHeight="1" s="131">
      <c r="A26" s="137" t="n"/>
      <c r="B26" s="137" t="n"/>
      <c r="C26" s="137" t="inlineStr">
        <is>
          <t>Line of Credit Interest</t>
        </is>
      </c>
      <c r="D26" s="145" t="n"/>
      <c r="E26" s="156">
        <f>'6. Cash Receipts-Disbursements'!G22/12*'9. Cash Flow Statement'!P40</f>
        <v/>
      </c>
      <c r="F26" s="156">
        <f>'6. Cash Receipts-Disbursements'!G22/12*'13. Cash Flow Statement (2)'!E40</f>
        <v/>
      </c>
      <c r="G26" s="156">
        <f>('6. Cash Receipts-Disbursements'!$G$22/12)*F40</f>
        <v/>
      </c>
      <c r="H26" s="156">
        <f>('6. Cash Receipts-Disbursements'!$G$22/12)*G40</f>
        <v/>
      </c>
      <c r="I26" s="156">
        <f>('6. Cash Receipts-Disbursements'!$G$22/12)*H40</f>
        <v/>
      </c>
      <c r="J26" s="156">
        <f>('6. Cash Receipts-Disbursements'!$G$22/12)*I40</f>
        <v/>
      </c>
      <c r="K26" s="156">
        <f>('6. Cash Receipts-Disbursements'!$G$22/12)*J40</f>
        <v/>
      </c>
      <c r="L26" s="156">
        <f>('6. Cash Receipts-Disbursements'!$G$22/12)*K40</f>
        <v/>
      </c>
      <c r="M26" s="156">
        <f>('6. Cash Receipts-Disbursements'!$G$22/12)*L40</f>
        <v/>
      </c>
      <c r="N26" s="156">
        <f>('6. Cash Receipts-Disbursements'!$G$22/12)*M40</f>
        <v/>
      </c>
      <c r="O26" s="156">
        <f>('6. Cash Receipts-Disbursements'!$G$22/12)*N40</f>
        <v/>
      </c>
      <c r="P26" s="156">
        <f>('6. Cash Receipts-Disbursements'!$G$22/12)*O40</f>
        <v/>
      </c>
      <c r="Q26" s="156">
        <f>SUM(E26:P26)</f>
        <v/>
      </c>
    </row>
    <row r="27" ht="12.75" customHeight="1" s="131">
      <c r="A27" s="137" t="n"/>
      <c r="B27" s="137" t="n"/>
      <c r="C27" s="137" t="inlineStr">
        <is>
          <t>Line of Credit Repayments</t>
        </is>
      </c>
      <c r="D27" s="145" t="n"/>
      <c r="E27" s="200" t="n">
        <v>0</v>
      </c>
      <c r="F27" s="200" t="n">
        <v>0</v>
      </c>
      <c r="G27" s="200" t="n">
        <v>0</v>
      </c>
      <c r="H27" s="200" t="n">
        <v>0</v>
      </c>
      <c r="I27" s="200" t="n">
        <v>0</v>
      </c>
      <c r="J27" s="200" t="n">
        <v>0</v>
      </c>
      <c r="K27" s="200" t="n">
        <v>0</v>
      </c>
      <c r="L27" s="200" t="n">
        <v>0</v>
      </c>
      <c r="M27" s="200" t="n">
        <v>0</v>
      </c>
      <c r="N27" s="200" t="n">
        <v>0</v>
      </c>
      <c r="O27" s="200" t="n">
        <v>0</v>
      </c>
      <c r="P27" s="200" t="n">
        <v>0</v>
      </c>
      <c r="Q27" s="156">
        <f>SUM(E27:P27)</f>
        <v/>
      </c>
    </row>
    <row r="28" ht="12.75" customHeight="1" s="131">
      <c r="A28" s="137" t="n"/>
      <c r="B28" s="137" t="n"/>
      <c r="C28" s="137" t="inlineStr">
        <is>
          <t>Dividends Paid</t>
        </is>
      </c>
      <c r="D28" s="145" t="n"/>
      <c r="E28" s="222" t="n">
        <v>0</v>
      </c>
      <c r="F28" s="222" t="n">
        <v>0</v>
      </c>
      <c r="G28" s="222" t="n">
        <v>0</v>
      </c>
      <c r="H28" s="222" t="n">
        <v>0</v>
      </c>
      <c r="I28" s="222" t="n">
        <v>0</v>
      </c>
      <c r="J28" s="222" t="n">
        <v>0</v>
      </c>
      <c r="K28" s="222" t="n">
        <v>0</v>
      </c>
      <c r="L28" s="222" t="n">
        <v>0</v>
      </c>
      <c r="M28" s="222" t="n">
        <v>0</v>
      </c>
      <c r="N28" s="222" t="n">
        <v>0</v>
      </c>
      <c r="O28" s="222" t="n">
        <v>0</v>
      </c>
      <c r="P28" s="222" t="n">
        <v>0</v>
      </c>
      <c r="Q28" s="162">
        <f>SUM(E28:P28)</f>
        <v/>
      </c>
    </row>
    <row r="29" ht="12.75" customHeight="1" s="131">
      <c r="A29" s="137" t="inlineStr">
        <is>
          <t>Total Cash Outflows</t>
        </is>
      </c>
      <c r="B29" s="137" t="n"/>
      <c r="C29" s="137" t="n"/>
      <c r="D29" s="145" t="n"/>
      <c r="E29" s="156">
        <f>SUM(E17:E28)</f>
        <v/>
      </c>
      <c r="F29" s="156">
        <f>SUM(F17:F28)</f>
        <v/>
      </c>
      <c r="G29" s="156">
        <f>SUM(G17:G28)</f>
        <v/>
      </c>
      <c r="H29" s="156">
        <f>SUM(H17:H28)</f>
        <v/>
      </c>
      <c r="I29" s="156">
        <f>SUM(I17:I28)</f>
        <v/>
      </c>
      <c r="J29" s="156">
        <f>SUM(J17:J28)</f>
        <v/>
      </c>
      <c r="K29" s="156">
        <f>SUM(K17:K28)</f>
        <v/>
      </c>
      <c r="L29" s="156">
        <f>SUM(L17:L28)</f>
        <v/>
      </c>
      <c r="M29" s="156">
        <f>SUM(M17:M28)</f>
        <v/>
      </c>
      <c r="N29" s="156">
        <f>SUM(N17:N28)</f>
        <v/>
      </c>
      <c r="O29" s="156">
        <f>SUM(O17:O28)</f>
        <v/>
      </c>
      <c r="P29" s="156">
        <f>SUM(P17:P28)</f>
        <v/>
      </c>
      <c r="Q29" s="156">
        <f>SUM(Q17:Q28)</f>
        <v/>
      </c>
    </row>
    <row r="30" ht="12.75" customHeight="1" s="131">
      <c r="A30" s="137" t="n"/>
      <c r="B30" s="137" t="n"/>
      <c r="C30" s="137" t="n"/>
      <c r="D30" s="145" t="n"/>
      <c r="E30" s="156" t="n"/>
      <c r="F30" s="156" t="n"/>
      <c r="G30" s="156" t="n"/>
      <c r="H30" s="156" t="n"/>
      <c r="I30" s="156" t="n"/>
      <c r="J30" s="156" t="n"/>
      <c r="K30" s="156" t="n"/>
      <c r="L30" s="156" t="n"/>
      <c r="M30" s="156" t="n"/>
      <c r="N30" s="156" t="n"/>
      <c r="O30" s="156" t="n"/>
      <c r="P30" s="156" t="n"/>
      <c r="Q30" s="156" t="n"/>
    </row>
    <row r="31" ht="12.75" customHeight="1" s="131">
      <c r="A31" s="137" t="inlineStr">
        <is>
          <t>Cash Flow</t>
        </is>
      </c>
      <c r="B31" s="137" t="n"/>
      <c r="C31" s="137" t="n"/>
      <c r="D31" s="145" t="n"/>
      <c r="E31" s="156">
        <f>E13-E29</f>
        <v/>
      </c>
      <c r="F31" s="156">
        <f>F13-F29</f>
        <v/>
      </c>
      <c r="G31" s="156">
        <f>G13-G29</f>
        <v/>
      </c>
      <c r="H31" s="156">
        <f>H13-H29</f>
        <v/>
      </c>
      <c r="I31" s="156">
        <f>I13-I29</f>
        <v/>
      </c>
      <c r="J31" s="156">
        <f>J13-J29</f>
        <v/>
      </c>
      <c r="K31" s="156">
        <f>K13-K29</f>
        <v/>
      </c>
      <c r="L31" s="156">
        <f>L13-L29</f>
        <v/>
      </c>
      <c r="M31" s="156">
        <f>M13-M29</f>
        <v/>
      </c>
      <c r="N31" s="156">
        <f>N13-N29</f>
        <v/>
      </c>
      <c r="O31" s="156">
        <f>O13-O29</f>
        <v/>
      </c>
      <c r="P31" s="156">
        <f>P13-P29</f>
        <v/>
      </c>
      <c r="Q31" s="156">
        <f>Q13-Q29</f>
        <v/>
      </c>
    </row>
    <row r="32" ht="12.75" customHeight="1" s="131">
      <c r="A32" s="137" t="n"/>
      <c r="B32" s="137" t="n"/>
      <c r="C32" s="137" t="n"/>
      <c r="D32" s="145" t="n"/>
      <c r="E32" s="156" t="n"/>
      <c r="F32" s="156" t="n"/>
      <c r="G32" s="156" t="n"/>
      <c r="H32" s="156" t="n"/>
      <c r="I32" s="156" t="n"/>
      <c r="J32" s="156" t="n"/>
      <c r="K32" s="156" t="n"/>
      <c r="L32" s="156" t="n"/>
      <c r="M32" s="156" t="n"/>
      <c r="N32" s="156" t="n"/>
      <c r="O32" s="156" t="n"/>
      <c r="P32" s="156" t="n"/>
      <c r="Q32" s="156" t="n"/>
    </row>
    <row r="33" ht="12.75" customHeight="1" s="131">
      <c r="A33" s="137" t="inlineStr">
        <is>
          <t>Operating Cash Balance</t>
        </is>
      </c>
      <c r="B33" s="137" t="n"/>
      <c r="C33" s="137" t="n"/>
      <c r="D33" s="145" t="n"/>
      <c r="E33" s="162">
        <f>E8+E31</f>
        <v/>
      </c>
      <c r="F33" s="162">
        <f>F8+F31</f>
        <v/>
      </c>
      <c r="G33" s="162">
        <f>G8+G31</f>
        <v/>
      </c>
      <c r="H33" s="162">
        <f>H8+H31</f>
        <v/>
      </c>
      <c r="I33" s="162">
        <f>I8+I31</f>
        <v/>
      </c>
      <c r="J33" s="162">
        <f>J8+J31</f>
        <v/>
      </c>
      <c r="K33" s="162">
        <f>K8+K31</f>
        <v/>
      </c>
      <c r="L33" s="162">
        <f>L8+L31</f>
        <v/>
      </c>
      <c r="M33" s="162">
        <f>M8+M31</f>
        <v/>
      </c>
      <c r="N33" s="162">
        <f>N8+N31</f>
        <v/>
      </c>
      <c r="O33" s="162">
        <f>O8+O31</f>
        <v/>
      </c>
      <c r="P33" s="162">
        <f>P8+P31</f>
        <v/>
      </c>
      <c r="Q33" s="162" t="n"/>
    </row>
    <row r="34" ht="12.75" customHeight="1" s="131">
      <c r="A34" s="137" t="n"/>
      <c r="B34" s="137" t="n"/>
      <c r="C34" s="137" t="n"/>
      <c r="D34" s="145" t="n"/>
      <c r="E34" s="156" t="n"/>
      <c r="F34" s="156" t="n"/>
      <c r="G34" s="156" t="n"/>
      <c r="H34" s="156" t="n"/>
      <c r="I34" s="156" t="n"/>
      <c r="J34" s="156" t="n"/>
      <c r="K34" s="156" t="n"/>
      <c r="L34" s="156" t="n"/>
      <c r="M34" s="156" t="n"/>
      <c r="N34" s="156" t="n"/>
      <c r="O34" s="156" t="n"/>
      <c r="P34" s="156" t="n"/>
      <c r="Q34" s="156" t="n"/>
    </row>
    <row r="35" ht="12.75" customHeight="1" s="131">
      <c r="A35" s="137" t="inlineStr">
        <is>
          <t>Line of Credit Drawdowns</t>
        </is>
      </c>
      <c r="B35" s="137" t="n"/>
      <c r="C35" s="137" t="n"/>
      <c r="D35" s="145" t="n"/>
      <c r="E35" s="156">
        <f>IF((E33-'6. Cash Receipts-Disbursements'!$G$21)&lt;0,'6. Cash Receipts-Disbursements'!$G$21-'13. Cash Flow Statement (2)'!E33,0)</f>
        <v/>
      </c>
      <c r="F35" s="156">
        <f>IF((F33-'6. Cash Receipts-Disbursements'!$G$21)&lt;0,'6. Cash Receipts-Disbursements'!$G$21-'13. Cash Flow Statement (2)'!F33,0)</f>
        <v/>
      </c>
      <c r="G35" s="156">
        <f>IF((G33-'6. Cash Receipts-Disbursements'!$G$21)&lt;0,'6. Cash Receipts-Disbursements'!$G$21-'13. Cash Flow Statement (2)'!G33,0)</f>
        <v/>
      </c>
      <c r="H35" s="156">
        <f>IF((H33-'6. Cash Receipts-Disbursements'!$G$21)&lt;0,'6. Cash Receipts-Disbursements'!$G$21-'13. Cash Flow Statement (2)'!H33,0)</f>
        <v/>
      </c>
      <c r="I35" s="156">
        <f>IF((I33-'6. Cash Receipts-Disbursements'!$G$21)&lt;0,'6. Cash Receipts-Disbursements'!$G$21-'13. Cash Flow Statement (2)'!I33,0)</f>
        <v/>
      </c>
      <c r="J35" s="156">
        <f>IF((J33-'6. Cash Receipts-Disbursements'!$G$21)&lt;0,'6. Cash Receipts-Disbursements'!$G$21-'13. Cash Flow Statement (2)'!J33,0)</f>
        <v/>
      </c>
      <c r="K35" s="156">
        <f>IF((K33-'6. Cash Receipts-Disbursements'!$G$21)&lt;0,'6. Cash Receipts-Disbursements'!$G$21-'13. Cash Flow Statement (2)'!K33,0)</f>
        <v/>
      </c>
      <c r="L35" s="156">
        <f>IF((L33-'6. Cash Receipts-Disbursements'!$G$21)&lt;0,'6. Cash Receipts-Disbursements'!$G$21-'13. Cash Flow Statement (2)'!L33,0)</f>
        <v/>
      </c>
      <c r="M35" s="156">
        <f>IF((M33-'6. Cash Receipts-Disbursements'!$G$21)&lt;0,'6. Cash Receipts-Disbursements'!$G$21-'13. Cash Flow Statement (2)'!M33,0)</f>
        <v/>
      </c>
      <c r="N35" s="156">
        <f>IF((N33-'6. Cash Receipts-Disbursements'!$G$21)&lt;0,'6. Cash Receipts-Disbursements'!$G$21-'13. Cash Flow Statement (2)'!N33,0)</f>
        <v/>
      </c>
      <c r="O35" s="156">
        <f>IF((O33-'6. Cash Receipts-Disbursements'!$G$21)&lt;0,'6. Cash Receipts-Disbursements'!$G$21-'13. Cash Flow Statement (2)'!O33,0)</f>
        <v/>
      </c>
      <c r="P35" s="156">
        <f>IF((P33-'6. Cash Receipts-Disbursements'!$G$21)&lt;0,'6. Cash Receipts-Disbursements'!$G$21-'13. Cash Flow Statement (2)'!P33,0)</f>
        <v/>
      </c>
      <c r="Q35" s="156">
        <f>SUM(E35:P35)</f>
        <v/>
      </c>
    </row>
    <row r="36" ht="12.75" customHeight="1" s="131">
      <c r="A36" s="137" t="n"/>
      <c r="B36" s="137" t="n"/>
      <c r="C36" s="137" t="n"/>
      <c r="D36" s="145" t="n"/>
      <c r="E36" s="162" t="n"/>
      <c r="F36" s="162" t="n"/>
      <c r="G36" s="162" t="n"/>
      <c r="H36" s="162" t="n"/>
      <c r="I36" s="162" t="n"/>
      <c r="J36" s="162" t="n"/>
      <c r="K36" s="162" t="n"/>
      <c r="L36" s="162" t="n"/>
      <c r="M36" s="162" t="n"/>
      <c r="N36" s="162" t="n"/>
      <c r="O36" s="162" t="n"/>
      <c r="P36" s="162" t="n"/>
      <c r="Q36" s="162" t="n"/>
    </row>
    <row r="37" ht="15.95" customHeight="1" s="131">
      <c r="A37" s="137" t="inlineStr">
        <is>
          <t>Ending Cash Balance</t>
        </is>
      </c>
      <c r="B37" s="137" t="n"/>
      <c r="C37" s="137" t="n"/>
      <c r="D37" s="145" t="n"/>
      <c r="E37" s="184">
        <f>E33+E35</f>
        <v/>
      </c>
      <c r="F37" s="184">
        <f>F33+F35</f>
        <v/>
      </c>
      <c r="G37" s="184">
        <f>G33+G35</f>
        <v/>
      </c>
      <c r="H37" s="184">
        <f>H33+H35</f>
        <v/>
      </c>
      <c r="I37" s="184">
        <f>I33+I35</f>
        <v/>
      </c>
      <c r="J37" s="184">
        <f>J33+J35</f>
        <v/>
      </c>
      <c r="K37" s="184">
        <f>K33+K35</f>
        <v/>
      </c>
      <c r="L37" s="184">
        <f>L33+L35</f>
        <v/>
      </c>
      <c r="M37" s="184">
        <f>M33+M35</f>
        <v/>
      </c>
      <c r="N37" s="184">
        <f>N33+N35</f>
        <v/>
      </c>
      <c r="O37" s="184">
        <f>O33+O35</f>
        <v/>
      </c>
      <c r="P37" s="184">
        <f>P33+P35</f>
        <v/>
      </c>
      <c r="Q37" s="184" t="n"/>
    </row>
    <row r="38" ht="12.75" customHeight="1" s="131">
      <c r="A38" s="137" t="n"/>
      <c r="B38" s="137" t="n"/>
      <c r="C38" s="137" t="n"/>
      <c r="D38" s="145" t="n"/>
      <c r="E38" s="156" t="n"/>
      <c r="F38" s="156" t="n"/>
      <c r="G38" s="156" t="n"/>
      <c r="H38" s="156" t="n"/>
      <c r="I38" s="156" t="n"/>
      <c r="J38" s="156" t="n"/>
      <c r="K38" s="156" t="n"/>
      <c r="L38" s="156" t="n"/>
      <c r="M38" s="156" t="n"/>
      <c r="N38" s="156" t="n"/>
      <c r="O38" s="156" t="n"/>
      <c r="P38" s="156" t="n"/>
      <c r="Q38" s="156" t="n"/>
    </row>
    <row r="39" ht="12.75" customHeight="1" s="131">
      <c r="A39" s="137" t="n"/>
      <c r="B39" s="137" t="n"/>
      <c r="C39" s="137" t="n"/>
      <c r="D39" s="145" t="n"/>
      <c r="E39" s="156" t="n"/>
      <c r="F39" s="156" t="n"/>
      <c r="G39" s="156" t="n"/>
      <c r="H39" s="156" t="n"/>
      <c r="I39" s="156" t="n"/>
      <c r="J39" s="156" t="n"/>
      <c r="K39" s="156" t="n"/>
      <c r="L39" s="156" t="n"/>
      <c r="M39" s="156" t="n"/>
      <c r="N39" s="156" t="n"/>
      <c r="O39" s="156" t="n"/>
      <c r="P39" s="156" t="n"/>
      <c r="Q39" s="156" t="n"/>
    </row>
    <row r="40" ht="12.75" customHeight="1" s="131">
      <c r="A40" s="137" t="inlineStr">
        <is>
          <t>Line of Credit Balance</t>
        </is>
      </c>
      <c r="B40" s="137" t="n"/>
      <c r="C40" s="137" t="n"/>
      <c r="D40" s="145" t="n"/>
      <c r="E40" s="156">
        <f>E35+'9. Cash Flow Statement'!P40-'13. Cash Flow Statement (2)'!E27</f>
        <v/>
      </c>
      <c r="F40" s="156">
        <f>E40+F35-F27</f>
        <v/>
      </c>
      <c r="G40" s="156">
        <f>F40+G35-G27</f>
        <v/>
      </c>
      <c r="H40" s="156">
        <f>G40+H35-H27</f>
        <v/>
      </c>
      <c r="I40" s="156">
        <f>H40+I35-I27</f>
        <v/>
      </c>
      <c r="J40" s="156">
        <f>I40+J35-J27</f>
        <v/>
      </c>
      <c r="K40" s="156">
        <f>J40+K35-K27</f>
        <v/>
      </c>
      <c r="L40" s="156">
        <f>K40+L35-L27</f>
        <v/>
      </c>
      <c r="M40" s="156">
        <f>L40+M35-M27</f>
        <v/>
      </c>
      <c r="N40" s="156">
        <f>M40+N35-N27</f>
        <v/>
      </c>
      <c r="O40" s="156">
        <f>N40+O35-O27</f>
        <v/>
      </c>
      <c r="P40" s="156">
        <f>O40+P35-P27</f>
        <v/>
      </c>
      <c r="Q40" s="156" t="n"/>
    </row>
    <row r="41" ht="12.75" customHeight="1" s="131">
      <c r="A41" s="137" t="n"/>
      <c r="B41" s="137" t="n"/>
      <c r="C41" s="137" t="n"/>
      <c r="D41" s="145" t="n"/>
      <c r="E41" s="145" t="n"/>
      <c r="F41" s="145" t="n"/>
      <c r="G41" s="145" t="n"/>
      <c r="H41" s="145" t="n"/>
      <c r="I41" s="145" t="n"/>
      <c r="J41" s="145" t="n"/>
      <c r="K41" s="145" t="n"/>
      <c r="L41" s="145" t="n"/>
      <c r="M41" s="145" t="n"/>
      <c r="N41" s="145" t="n"/>
      <c r="O41" s="145" t="n"/>
      <c r="P41" s="145" t="n"/>
      <c r="Q41" s="145" t="n"/>
    </row>
    <row r="42" ht="12.75" customHeight="1" s="131">
      <c r="A42" s="137" t="n"/>
      <c r="B42" s="137" t="n"/>
      <c r="C42" s="137" t="n"/>
      <c r="D42" s="145" t="n"/>
      <c r="E42" s="145" t="n"/>
      <c r="F42" s="145" t="n"/>
      <c r="G42" s="145" t="n"/>
      <c r="H42" s="145" t="n"/>
      <c r="I42" s="145" t="n"/>
      <c r="J42" s="145" t="n"/>
      <c r="K42" s="145" t="n"/>
      <c r="L42" s="145" t="n"/>
      <c r="M42" s="145" t="n"/>
      <c r="N42" s="145" t="n"/>
      <c r="O42" s="145" t="n"/>
      <c r="P42" s="145" t="n"/>
      <c r="Q42" s="145" t="n"/>
    </row>
    <row r="43" ht="12.75" customHeight="1" s="131">
      <c r="A43" s="137" t="n"/>
      <c r="B43" s="137" t="n"/>
      <c r="C43" s="137" t="n"/>
      <c r="D43" s="145" t="n"/>
      <c r="E43" s="145" t="n"/>
      <c r="F43" s="145" t="n"/>
      <c r="G43" s="145" t="n"/>
      <c r="H43" s="145" t="n"/>
      <c r="I43" s="145" t="n"/>
      <c r="J43" s="145" t="n"/>
      <c r="K43" s="145" t="n"/>
      <c r="L43" s="145" t="n"/>
      <c r="M43" s="145" t="n"/>
      <c r="N43" s="145" t="n"/>
      <c r="O43" s="145" t="n"/>
      <c r="P43" s="145" t="n"/>
      <c r="Q43" s="145" t="n"/>
    </row>
    <row r="44" ht="12.75" customHeight="1" s="131">
      <c r="A44" s="137" t="n"/>
      <c r="B44" s="137" t="n"/>
      <c r="C44" s="137" t="n"/>
      <c r="D44" s="145" t="n"/>
      <c r="E44" s="182" t="n"/>
      <c r="F44" s="145" t="n"/>
      <c r="G44" s="145" t="n"/>
      <c r="H44" s="145" t="n"/>
      <c r="I44" s="145" t="n"/>
      <c r="J44" s="145" t="n"/>
      <c r="K44" s="145" t="n"/>
      <c r="L44" s="145" t="n"/>
      <c r="M44" s="145" t="n"/>
      <c r="N44" s="145" t="n"/>
      <c r="O44" s="145" t="n"/>
      <c r="P44" s="145" t="n"/>
      <c r="Q44" s="145" t="n"/>
    </row>
    <row r="45" ht="12.75" customHeight="1" s="131">
      <c r="A45" s="137" t="n"/>
      <c r="B45" s="137" t="n"/>
      <c r="C45" s="137" t="n"/>
      <c r="D45" s="145" t="n"/>
      <c r="E45" s="145" t="n"/>
      <c r="F45" s="145" t="n"/>
      <c r="G45" s="145" t="n"/>
      <c r="H45" s="145" t="n"/>
      <c r="I45" s="145" t="n"/>
      <c r="J45" s="145" t="n"/>
      <c r="K45" s="145" t="n"/>
      <c r="L45" s="145" t="n"/>
      <c r="M45" s="145" t="n"/>
      <c r="N45" s="145" t="n"/>
      <c r="O45" s="145" t="n"/>
      <c r="P45" s="145" t="n"/>
      <c r="Q45" s="145" t="n"/>
    </row>
    <row r="46" ht="12.75" customHeight="1" s="131">
      <c r="A46" s="137" t="n"/>
      <c r="B46" s="137" t="n"/>
      <c r="C46" s="137" t="n"/>
      <c r="D46" s="145" t="n"/>
      <c r="E46" s="145" t="n"/>
      <c r="F46" s="145" t="n"/>
      <c r="G46" s="145" t="n"/>
      <c r="H46" s="145" t="n"/>
      <c r="I46" s="145" t="n"/>
      <c r="J46" s="145" t="n"/>
      <c r="K46" s="145" t="n"/>
      <c r="L46" s="145" t="n"/>
      <c r="M46" s="145" t="n"/>
      <c r="N46" s="145" t="n"/>
      <c r="O46" s="145" t="n"/>
      <c r="P46" s="145" t="n"/>
      <c r="Q46" s="145" t="n"/>
    </row>
    <row r="47" ht="12.75" customHeight="1" s="131">
      <c r="A47" s="137" t="n"/>
      <c r="B47" s="137" t="n"/>
      <c r="C47" s="137" t="n"/>
      <c r="D47" s="145" t="n"/>
      <c r="E47" s="145" t="n"/>
      <c r="F47" s="145" t="n"/>
      <c r="G47" s="145" t="n"/>
      <c r="H47" s="145" t="n"/>
      <c r="I47" s="145" t="n"/>
      <c r="J47" s="145" t="n"/>
      <c r="K47" s="145" t="n"/>
      <c r="L47" s="145" t="n"/>
      <c r="M47" s="145" t="n"/>
      <c r="N47" s="145" t="n"/>
      <c r="O47" s="145" t="n"/>
      <c r="P47" s="145" t="n"/>
      <c r="Q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c r="Q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c r="Q49" s="145" t="n"/>
    </row>
    <row r="50" ht="12.75" customHeight="1" s="131">
      <c r="A50" s="137" t="n"/>
      <c r="B50" s="137" t="n"/>
      <c r="C50" s="137" t="n"/>
      <c r="D50" s="145" t="n"/>
      <c r="E50" s="145" t="n"/>
      <c r="F50" s="145" t="n"/>
      <c r="G50" s="145" t="n"/>
      <c r="H50" s="145" t="n"/>
      <c r="I50" s="145" t="n"/>
      <c r="J50" s="145" t="n"/>
      <c r="K50" s="145" t="n"/>
      <c r="L50" s="145" t="n"/>
      <c r="M50" s="145" t="n"/>
      <c r="N50" s="145" t="n"/>
      <c r="O50" s="145" t="n"/>
      <c r="P50" s="145" t="n"/>
      <c r="Q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c r="Q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c r="Q52" s="145" t="n"/>
    </row>
    <row r="53" ht="12.75" customHeight="1" s="131"/>
    <row r="54" ht="12.75" customHeight="1" s="131">
      <c r="E54" s="130" t="n"/>
      <c r="F54" s="130" t="n"/>
      <c r="G54" s="130" t="n"/>
      <c r="H54" s="130" t="n"/>
      <c r="I54" s="130" t="n"/>
      <c r="J54" s="130" t="n"/>
      <c r="K54" s="130" t="n"/>
      <c r="L54" s="130" t="n"/>
      <c r="M54" s="130" t="n"/>
      <c r="N54" s="130" t="n"/>
      <c r="O54" s="130" t="n"/>
      <c r="P54" s="130" t="n"/>
      <c r="Q54" s="130" t="n"/>
    </row>
    <row r="55" ht="12.75" customHeight="1" s="131">
      <c r="E55" s="130" t="n"/>
      <c r="F55" s="130" t="n"/>
      <c r="G55" s="130" t="n"/>
      <c r="H55" s="130" t="n"/>
      <c r="I55" s="130" t="n"/>
      <c r="J55" s="130" t="n"/>
      <c r="K55" s="130" t="n"/>
      <c r="L55" s="130" t="n"/>
      <c r="M55" s="130" t="n"/>
      <c r="N55" s="130" t="n"/>
      <c r="O55" s="130" t="n"/>
      <c r="P55" s="130" t="n"/>
      <c r="Q55" s="130" t="n"/>
    </row>
    <row r="56" ht="12.75" customHeight="1" s="131">
      <c r="E56" s="130" t="n"/>
      <c r="F56" s="130" t="n"/>
      <c r="G56" s="130" t="n"/>
      <c r="H56" s="130" t="n"/>
      <c r="I56" s="130" t="n"/>
      <c r="J56" s="130" t="n"/>
      <c r="K56" s="130" t="n"/>
      <c r="L56" s="130" t="n"/>
      <c r="M56" s="130" t="n"/>
      <c r="N56" s="130" t="n"/>
      <c r="O56" s="130" t="n"/>
      <c r="P56" s="130" t="n"/>
      <c r="Q56" s="130" t="n"/>
    </row>
    <row r="57" ht="12.75" customHeight="1" s="131">
      <c r="D57" s="167" t="n"/>
      <c r="E57" s="130" t="n"/>
      <c r="F57" s="130" t="n"/>
      <c r="G57" s="130" t="n"/>
      <c r="H57" s="130" t="n"/>
      <c r="I57" s="130" t="n"/>
      <c r="J57" s="130" t="n"/>
      <c r="K57" s="130" t="n"/>
      <c r="L57" s="130" t="n"/>
      <c r="M57" s="130" t="n"/>
      <c r="N57" s="130" t="n"/>
      <c r="O57" s="130" t="n"/>
      <c r="P57" s="130" t="n"/>
      <c r="Q57" s="130" t="n"/>
    </row>
    <row r="58" ht="12.75" customHeight="1" s="131">
      <c r="D58" s="167" t="n"/>
      <c r="E58" s="130" t="n"/>
      <c r="F58" s="130" t="n"/>
      <c r="G58" s="130" t="n"/>
      <c r="H58" s="130" t="n"/>
      <c r="I58" s="130" t="n"/>
      <c r="J58" s="130" t="n"/>
      <c r="K58" s="130" t="n"/>
      <c r="L58" s="130" t="n"/>
      <c r="M58" s="130" t="n"/>
      <c r="N58" s="130" t="n"/>
      <c r="O58" s="130" t="n"/>
      <c r="P58" s="130" t="n"/>
      <c r="Q58" s="130" t="n"/>
    </row>
    <row r="59" ht="12.75" customHeight="1" s="131">
      <c r="D59" s="167" t="n"/>
      <c r="E59" s="130" t="n"/>
      <c r="F59" s="130" t="n"/>
      <c r="G59" s="130" t="n"/>
      <c r="H59" s="130" t="n"/>
      <c r="I59" s="130" t="n"/>
      <c r="J59" s="130" t="n"/>
      <c r="K59" s="130" t="n"/>
      <c r="L59" s="130" t="n"/>
      <c r="M59" s="130" t="n"/>
      <c r="N59" s="130" t="n"/>
      <c r="O59" s="130" t="n"/>
      <c r="P59" s="130" t="n"/>
      <c r="Q59" s="130" t="n"/>
    </row>
    <row r="60" ht="12.75" customHeight="1" s="131">
      <c r="D60" s="167" t="n"/>
      <c r="E60" s="130" t="n"/>
      <c r="F60" s="130" t="n"/>
      <c r="G60" s="130" t="n"/>
      <c r="H60" s="130" t="n"/>
      <c r="I60" s="130" t="n"/>
      <c r="J60" s="130" t="n"/>
      <c r="K60" s="130" t="n"/>
      <c r="L60" s="130" t="n"/>
      <c r="M60" s="130" t="n"/>
      <c r="N60" s="130" t="n"/>
      <c r="O60" s="130" t="n"/>
      <c r="P60" s="130" t="n"/>
      <c r="Q60" s="130" t="n"/>
    </row>
    <row r="61" ht="12.75" customHeight="1" s="131">
      <c r="D61" s="167" t="n"/>
      <c r="E61" s="130" t="n"/>
      <c r="F61" s="130" t="n"/>
      <c r="G61" s="130" t="n"/>
      <c r="H61" s="130" t="n"/>
      <c r="I61" s="130" t="n"/>
      <c r="J61" s="130" t="n"/>
      <c r="K61" s="130" t="n"/>
      <c r="L61" s="130" t="n"/>
      <c r="M61" s="130" t="n"/>
      <c r="N61" s="130" t="n"/>
      <c r="O61" s="130" t="n"/>
      <c r="P61" s="130" t="n"/>
      <c r="Q61" s="130" t="n"/>
    </row>
    <row r="62" ht="12.75" customHeight="1" s="131">
      <c r="E62" s="130" t="n"/>
      <c r="F62" s="130" t="n"/>
      <c r="G62" s="130" t="n"/>
      <c r="H62" s="130" t="n"/>
      <c r="I62" s="130" t="n"/>
      <c r="J62" s="130" t="n"/>
      <c r="K62" s="130" t="n"/>
      <c r="L62" s="130" t="n"/>
      <c r="M62" s="130" t="n"/>
      <c r="N62" s="130" t="n"/>
      <c r="O62" s="130" t="n"/>
      <c r="P62" s="130" t="n"/>
      <c r="Q62" s="130" t="n"/>
    </row>
    <row r="63" ht="12.75" customHeight="1" s="131">
      <c r="E63" s="130" t="n"/>
      <c r="F63" s="130" t="n"/>
      <c r="G63" s="130" t="n"/>
      <c r="H63" s="130" t="n"/>
      <c r="I63" s="130" t="n"/>
      <c r="J63" s="130" t="n"/>
      <c r="K63" s="130" t="n"/>
      <c r="L63" s="130" t="n"/>
      <c r="M63" s="130" t="n"/>
      <c r="N63" s="130" t="n"/>
      <c r="O63" s="130" t="n"/>
      <c r="P63" s="130" t="n"/>
      <c r="Q63" s="130" t="n"/>
    </row>
    <row r="64" ht="12.75" customHeight="1" s="131">
      <c r="E64" s="130" t="n"/>
      <c r="F64" s="130" t="n"/>
      <c r="G64" s="130" t="n"/>
      <c r="H64" s="130" t="n"/>
      <c r="I64" s="130" t="n"/>
      <c r="J64" s="130" t="n"/>
      <c r="K64" s="130" t="n"/>
      <c r="L64" s="130" t="n"/>
      <c r="M64" s="130" t="n"/>
      <c r="N64" s="130" t="n"/>
      <c r="O64" s="130" t="n"/>
      <c r="P64" s="130" t="n"/>
      <c r="Q64" s="130" t="n"/>
    </row>
    <row r="65" ht="12.75" customHeight="1" s="131">
      <c r="E65" s="130" t="n"/>
      <c r="F65" s="130" t="n"/>
      <c r="G65" s="130" t="n"/>
      <c r="H65" s="130" t="n"/>
      <c r="I65" s="130" t="n"/>
      <c r="J65" s="130" t="n"/>
      <c r="K65" s="130" t="n"/>
      <c r="L65" s="130" t="n"/>
      <c r="M65" s="130" t="n"/>
      <c r="N65" s="130" t="n"/>
      <c r="O65" s="130" t="n"/>
      <c r="P65" s="130" t="n"/>
      <c r="Q65" s="130" t="n"/>
    </row>
    <row r="66" ht="12.75" customHeight="1" s="131"/>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R66"/>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68" min="1" max="3"/>
    <col width="22.75" customWidth="1" style="130" min="4" max="4"/>
    <col width="10.72" customWidth="1" style="130" min="5" max="5"/>
    <col width="20.74" customWidth="1" style="130" min="6" max="6"/>
    <col width="8.720000000000001" customWidth="1" style="130" min="7" max="7"/>
    <col width="10.72" customWidth="1" style="130" min="8" max="8"/>
    <col width="20.74" customWidth="1" style="130" min="9" max="9"/>
    <col width="8.720000000000001" customWidth="1" style="130" min="10" max="10"/>
    <col width="10.72" customWidth="1" style="130" min="11" max="17"/>
    <col width="15.73" customWidth="1" style="130" min="18" max="18"/>
  </cols>
  <sheetData>
    <row r="1" ht="15.75" customHeight="1" s="131">
      <c r="A1" s="142">
        <f>'1. Required Start-Up Funds'!A1</f>
        <v/>
      </c>
    </row>
    <row r="2" ht="15.75" customHeight="1" s="131">
      <c r="A2" s="142" t="inlineStr">
        <is>
          <t>Balance Sheet - Year Two</t>
        </is>
      </c>
    </row>
    <row r="3" ht="12.75" customHeight="1" s="131">
      <c r="A3" s="137" t="n"/>
      <c r="B3" s="137" t="n"/>
      <c r="C3" s="137" t="n"/>
      <c r="D3" s="145" t="n"/>
      <c r="E3" s="145" t="n"/>
      <c r="F3" s="145" t="n"/>
      <c r="G3" s="145" t="n"/>
      <c r="H3" s="145" t="n"/>
      <c r="I3" s="145" t="n"/>
      <c r="J3" s="145" t="n"/>
      <c r="K3" s="145" t="n"/>
      <c r="L3" s="145" t="n"/>
      <c r="M3" s="145" t="n"/>
      <c r="N3" s="145" t="n"/>
      <c r="O3" s="145" t="n"/>
      <c r="P3" s="145" t="n"/>
      <c r="Q3" s="167" t="n"/>
      <c r="R3" s="167" t="n"/>
    </row>
    <row r="4" ht="12.75" customHeight="1" s="131">
      <c r="A4" s="137" t="n"/>
      <c r="B4" s="137" t="n"/>
      <c r="C4" s="137" t="n"/>
      <c r="D4" s="145" t="n"/>
      <c r="E4" s="145" t="n"/>
      <c r="F4" s="145" t="n"/>
      <c r="G4" s="145" t="n"/>
      <c r="H4" s="145" t="n"/>
      <c r="I4" s="145" t="n"/>
      <c r="J4" s="145" t="n"/>
      <c r="K4" s="145" t="n"/>
      <c r="L4" s="145" t="n"/>
      <c r="M4" s="145" t="n"/>
      <c r="N4" s="145" t="n"/>
      <c r="O4" s="145" t="n"/>
      <c r="P4" s="145" t="n"/>
      <c r="Q4" s="167" t="n"/>
      <c r="R4" s="167" t="n"/>
    </row>
    <row r="5" ht="12.75" customHeight="1" s="131">
      <c r="A5" s="137" t="n"/>
      <c r="B5" s="137" t="n"/>
      <c r="C5" s="137" t="n"/>
      <c r="D5" s="145" t="n"/>
      <c r="E5" s="145" t="n"/>
      <c r="F5" s="145" t="n"/>
      <c r="G5" s="145" t="n"/>
      <c r="H5" s="145" t="n"/>
      <c r="I5" s="145" t="n"/>
      <c r="J5" s="145" t="n"/>
      <c r="K5" s="145" t="n"/>
      <c r="L5" s="145" t="n"/>
      <c r="M5" s="145" t="n"/>
      <c r="N5" s="145" t="n"/>
      <c r="O5" s="145" t="n"/>
      <c r="P5" s="145" t="n"/>
      <c r="Q5" s="167" t="n"/>
      <c r="R5" s="167" t="n"/>
    </row>
    <row r="6" ht="12.75" customHeight="1" s="131">
      <c r="A6" s="137" t="n"/>
      <c r="B6" s="137" t="n"/>
      <c r="C6" s="137" t="n"/>
      <c r="D6" s="145" t="n"/>
      <c r="E6" s="140" t="n"/>
      <c r="F6" s="172" t="inlineStr">
        <is>
          <t>End of Year One</t>
        </is>
      </c>
      <c r="G6" s="171" t="n"/>
      <c r="H6" s="140" t="n"/>
      <c r="I6" s="172" t="inlineStr">
        <is>
          <t>End of Year Two</t>
        </is>
      </c>
      <c r="J6" s="171" t="n"/>
      <c r="K6" s="140" t="n"/>
      <c r="L6" s="140" t="n"/>
      <c r="M6" s="140" t="n"/>
      <c r="N6" s="140" t="n"/>
      <c r="O6" s="140" t="n"/>
      <c r="P6" s="140" t="n"/>
      <c r="Q6" s="217" t="n"/>
      <c r="R6" s="217" t="n"/>
    </row>
    <row r="7" ht="12.75" customHeight="1" s="131">
      <c r="A7" s="137" t="n"/>
      <c r="B7" s="137" t="n"/>
      <c r="C7" s="137" t="n"/>
      <c r="D7" s="145" t="n"/>
      <c r="E7" s="145" t="n"/>
      <c r="F7" s="145" t="n"/>
      <c r="G7" s="145" t="n"/>
      <c r="H7" s="145" t="n"/>
      <c r="I7" s="145" t="n"/>
      <c r="J7" s="145" t="n"/>
      <c r="K7" s="145" t="n"/>
      <c r="L7" s="145" t="n"/>
      <c r="M7" s="145" t="n"/>
      <c r="N7" s="145" t="n"/>
      <c r="O7" s="145" t="n"/>
      <c r="P7" s="145" t="n"/>
      <c r="Q7" s="167" t="n"/>
      <c r="R7" s="167" t="n"/>
    </row>
    <row r="8" ht="12.75" customHeight="1" s="131">
      <c r="A8" s="137" t="inlineStr">
        <is>
          <t>Assets</t>
        </is>
      </c>
      <c r="B8" s="137" t="n"/>
      <c r="C8" s="137" t="n"/>
      <c r="D8" s="145" t="n"/>
      <c r="E8" s="145" t="n"/>
      <c r="F8" s="156" t="n"/>
      <c r="G8" s="156" t="n"/>
      <c r="H8" s="156" t="n"/>
      <c r="I8" s="156" t="n"/>
      <c r="J8" s="145" t="n"/>
      <c r="K8" s="145" t="n"/>
      <c r="L8" s="145" t="n"/>
      <c r="M8" s="145" t="n"/>
      <c r="N8" s="145" t="n"/>
      <c r="O8" s="145" t="n"/>
      <c r="P8" s="145" t="n"/>
      <c r="Q8" s="167" t="n"/>
      <c r="R8" s="167" t="n"/>
    </row>
    <row r="9" ht="12.75" customHeight="1" s="131">
      <c r="A9" s="137" t="n"/>
      <c r="B9" s="137" t="inlineStr">
        <is>
          <t>Current Assets</t>
        </is>
      </c>
      <c r="C9" s="137" t="n"/>
      <c r="D9" s="145" t="n"/>
      <c r="E9" s="145" t="n"/>
      <c r="F9" s="156" t="n"/>
      <c r="G9" s="156" t="n"/>
      <c r="H9" s="156" t="n"/>
      <c r="I9" s="156" t="n"/>
      <c r="J9" s="145" t="n"/>
      <c r="K9" s="145" t="n"/>
      <c r="L9" s="145" t="n"/>
      <c r="M9" s="145" t="n"/>
      <c r="N9" s="145" t="n"/>
      <c r="O9" s="145" t="n"/>
      <c r="P9" s="145" t="n"/>
      <c r="Q9" s="167" t="n"/>
      <c r="R9" s="167" t="n"/>
    </row>
    <row r="10" ht="12.75" customHeight="1" s="131">
      <c r="A10" s="137" t="n"/>
      <c r="B10" s="137" t="n"/>
      <c r="C10" s="137" t="inlineStr">
        <is>
          <t>Cash</t>
        </is>
      </c>
      <c r="D10" s="145" t="n"/>
      <c r="E10" s="145" t="n"/>
      <c r="F10" s="156">
        <f>'10. Balance Sheet'!I10</f>
        <v/>
      </c>
      <c r="G10" s="156" t="n"/>
      <c r="H10" s="156" t="n"/>
      <c r="I10" s="156">
        <f>'13. Cash Flow Statement (2)'!P37</f>
        <v/>
      </c>
      <c r="J10" s="145" t="n"/>
      <c r="K10" s="145" t="n"/>
      <c r="L10" s="145" t="n"/>
      <c r="M10" s="145" t="n"/>
      <c r="N10" s="145" t="n"/>
      <c r="O10" s="145" t="n"/>
      <c r="P10" s="145" t="n"/>
      <c r="Q10" s="167" t="n"/>
      <c r="R10" s="167" t="n"/>
    </row>
    <row r="11" ht="12.75" customHeight="1" s="131">
      <c r="A11" s="137" t="n"/>
      <c r="B11" s="137" t="n"/>
      <c r="C11" s="137" t="inlineStr">
        <is>
          <t>Accounts Receivable</t>
        </is>
      </c>
      <c r="D11" s="145" t="n"/>
      <c r="E11" s="145" t="n"/>
      <c r="F11" s="156">
        <f>'10. Balance Sheet'!I11</f>
        <v/>
      </c>
      <c r="G11" s="156" t="n"/>
      <c r="H11" s="156" t="n"/>
      <c r="I11" s="156">
        <f>F11+'12. Income Statement (2)'!Q13-'13. Cash Flow Statement (2)'!Q13</f>
        <v/>
      </c>
      <c r="J11" s="145" t="n"/>
      <c r="K11" s="145" t="n"/>
      <c r="L11" s="145" t="n"/>
      <c r="M11" s="145" t="n"/>
      <c r="N11" s="145" t="n"/>
      <c r="O11" s="145" t="n"/>
      <c r="P11" s="145" t="n"/>
      <c r="Q11" s="167" t="n"/>
      <c r="R11" s="167" t="n"/>
    </row>
    <row r="12" ht="12.75" customHeight="1" s="131">
      <c r="A12" s="137" t="n"/>
      <c r="B12" s="137" t="n"/>
      <c r="C12" s="137" t="inlineStr">
        <is>
          <t>Inventory</t>
        </is>
      </c>
      <c r="D12" s="145" t="n"/>
      <c r="E12" s="145" t="n"/>
      <c r="F12" s="156">
        <f>'10. Balance Sheet'!I12</f>
        <v/>
      </c>
      <c r="G12" s="156" t="n"/>
      <c r="H12" s="156" t="n"/>
      <c r="I12" s="156">
        <f>F12</f>
        <v/>
      </c>
      <c r="J12" s="145" t="n"/>
      <c r="K12" s="145" t="n"/>
      <c r="L12" s="145" t="n"/>
      <c r="M12" s="145" t="n"/>
      <c r="N12" s="145" t="n"/>
      <c r="O12" s="145" t="n"/>
      <c r="P12" s="145" t="n"/>
      <c r="Q12" s="167" t="n"/>
      <c r="R12" s="167" t="n"/>
    </row>
    <row r="13" ht="12.75" customHeight="1" s="131">
      <c r="A13" s="137" t="n"/>
      <c r="B13" s="137" t="n"/>
      <c r="C13" s="137" t="inlineStr">
        <is>
          <t>Prepaid Expenses</t>
        </is>
      </c>
      <c r="D13" s="145" t="n"/>
      <c r="E13" s="145" t="n"/>
      <c r="F13" s="156">
        <f>'10. Balance Sheet'!I13</f>
        <v/>
      </c>
      <c r="G13" s="156" t="n"/>
      <c r="H13" s="156" t="n"/>
      <c r="I13" s="156">
        <f>IF(F13='7. Beginning Balance Sheet'!F13,'7. Beginning Balance Sheet'!F13,'14. Balance Sheet (2)'!F13-'6. Cash Receipts-Disbursements'!J26)</f>
        <v/>
      </c>
      <c r="J13" s="145" t="n"/>
      <c r="K13" s="145" t="n"/>
      <c r="L13" s="145" t="n"/>
      <c r="M13" s="145" t="n"/>
      <c r="N13" s="145" t="n"/>
      <c r="O13" s="145" t="n"/>
      <c r="P13" s="145" t="n"/>
      <c r="Q13" s="167" t="n"/>
      <c r="R13" s="167" t="n"/>
    </row>
    <row r="14" ht="12.75" customHeight="1" s="131">
      <c r="A14" s="137" t="n"/>
      <c r="B14" s="137" t="n"/>
      <c r="C14" s="137" t="inlineStr">
        <is>
          <t>Other Current</t>
        </is>
      </c>
      <c r="D14" s="145" t="n"/>
      <c r="E14" s="145" t="n"/>
      <c r="F14" s="162">
        <f>'10. Balance Sheet'!I14</f>
        <v/>
      </c>
      <c r="G14" s="156" t="n"/>
      <c r="H14" s="156" t="n"/>
      <c r="I14" s="162">
        <f>IF(F14='7. Beginning Balance Sheet'!F14,'7. Beginning Balance Sheet'!F14,'14. Balance Sheet (2)'!F14-'6. Cash Receipts-Disbursements'!J27)</f>
        <v/>
      </c>
      <c r="J14" s="145" t="n"/>
      <c r="K14" s="145" t="n"/>
      <c r="L14" s="145" t="n"/>
      <c r="M14" s="145" t="n"/>
      <c r="N14" s="145" t="n"/>
      <c r="O14" s="145" t="n"/>
      <c r="P14" s="145" t="n"/>
      <c r="Q14" s="167" t="n"/>
      <c r="R14" s="167" t="n"/>
    </row>
    <row r="15" ht="12.75" customHeight="1" s="131">
      <c r="A15" s="137" t="n"/>
      <c r="B15" s="137" t="inlineStr">
        <is>
          <t>Total Current Assets</t>
        </is>
      </c>
      <c r="C15" s="137" t="n"/>
      <c r="D15" s="145" t="n"/>
      <c r="E15" s="156" t="n"/>
      <c r="F15" s="156">
        <f>SUM(F10:F14)</f>
        <v/>
      </c>
      <c r="G15" s="156" t="n"/>
      <c r="H15" s="156" t="n"/>
      <c r="I15" s="156">
        <f>SUM(I10:I14)</f>
        <v/>
      </c>
      <c r="J15" s="156" t="n"/>
      <c r="K15" s="156" t="n"/>
      <c r="L15" s="156" t="n"/>
      <c r="M15" s="156" t="n"/>
      <c r="N15" s="156" t="n"/>
      <c r="O15" s="156" t="n"/>
      <c r="P15" s="156" t="n"/>
      <c r="Q15" s="207" t="n"/>
      <c r="R15" s="207" t="n"/>
    </row>
    <row r="16" ht="12.75" customHeight="1" s="131">
      <c r="A16" s="137" t="n"/>
      <c r="B16" s="137" t="n"/>
      <c r="C16" s="137" t="n"/>
      <c r="D16" s="145" t="n"/>
      <c r="E16" s="156" t="n"/>
      <c r="F16" s="156" t="n"/>
      <c r="G16" s="156" t="n"/>
      <c r="H16" s="156" t="n"/>
      <c r="I16" s="156" t="n"/>
      <c r="J16" s="156" t="n"/>
      <c r="K16" s="156" t="n"/>
      <c r="L16" s="156" t="n"/>
      <c r="M16" s="156" t="n"/>
      <c r="N16" s="156" t="n"/>
      <c r="O16" s="156" t="n"/>
      <c r="P16" s="156" t="n"/>
      <c r="Q16" s="207" t="n"/>
      <c r="R16" s="207" t="n"/>
    </row>
    <row r="17" ht="12.75" customHeight="1" s="131">
      <c r="A17" s="137" t="n"/>
      <c r="B17" s="137" t="inlineStr">
        <is>
          <t>Fixed Assets</t>
        </is>
      </c>
      <c r="C17" s="137" t="n"/>
      <c r="D17" s="145" t="n"/>
      <c r="E17" s="182" t="n"/>
      <c r="F17" s="156" t="n"/>
      <c r="G17" s="156" t="n"/>
      <c r="H17" s="156" t="n"/>
      <c r="I17" s="156" t="n"/>
      <c r="J17" s="182" t="n"/>
      <c r="K17" s="182" t="n"/>
      <c r="L17" s="182" t="n"/>
      <c r="M17" s="182" t="n"/>
      <c r="N17" s="182" t="n"/>
      <c r="O17" s="182" t="n"/>
      <c r="P17" s="182" t="n"/>
      <c r="Q17" s="208" t="n"/>
      <c r="R17" s="208" t="n"/>
    </row>
    <row r="18" ht="12.75" customHeight="1" s="131">
      <c r="A18" s="137" t="n"/>
      <c r="B18" s="137" t="n"/>
      <c r="C18" s="137">
        <f>'1. Required Start-Up Funds'!C8</f>
        <v/>
      </c>
      <c r="D18" s="145" t="n"/>
      <c r="E18" s="182" t="n"/>
      <c r="F18" s="156">
        <f>'10. Balance Sheet'!I18</f>
        <v/>
      </c>
      <c r="G18" s="156" t="n"/>
      <c r="H18" s="156" t="n"/>
      <c r="I18" s="156">
        <f>F18</f>
        <v/>
      </c>
      <c r="J18" s="182" t="n"/>
      <c r="K18" s="182" t="n"/>
      <c r="L18" s="182" t="n"/>
      <c r="M18" s="182" t="n"/>
      <c r="N18" s="182" t="n"/>
      <c r="O18" s="182" t="n"/>
      <c r="P18" s="182" t="n"/>
      <c r="Q18" s="208" t="n"/>
      <c r="R18" s="208" t="n"/>
    </row>
    <row r="19" ht="12.75" customHeight="1" s="131">
      <c r="A19" s="137" t="n"/>
      <c r="B19" s="137" t="n"/>
      <c r="C19" s="137">
        <f>'1. Required Start-Up Funds'!C9</f>
        <v/>
      </c>
      <c r="D19" s="145" t="n"/>
      <c r="E19" s="156" t="n"/>
      <c r="F19" s="156">
        <f>'10. Balance Sheet'!I19</f>
        <v/>
      </c>
      <c r="G19" s="156" t="n"/>
      <c r="H19" s="156" t="n"/>
      <c r="I19" s="156">
        <f>F19</f>
        <v/>
      </c>
      <c r="J19" s="156" t="n"/>
      <c r="K19" s="156" t="n"/>
      <c r="L19" s="156" t="n"/>
      <c r="M19" s="156" t="n"/>
      <c r="N19" s="156" t="n"/>
      <c r="O19" s="156" t="n"/>
      <c r="P19" s="156" t="n"/>
      <c r="Q19" s="207" t="n"/>
      <c r="R19" s="207" t="n"/>
    </row>
    <row r="20" ht="12.75" customHeight="1" s="131">
      <c r="A20" s="137" t="n"/>
      <c r="B20" s="137" t="n"/>
      <c r="C20" s="137">
        <f>'1. Required Start-Up Funds'!C10</f>
        <v/>
      </c>
      <c r="D20" s="145" t="n"/>
      <c r="E20" s="156" t="n"/>
      <c r="F20" s="156">
        <f>'10. Balance Sheet'!I20</f>
        <v/>
      </c>
      <c r="G20" s="156" t="n"/>
      <c r="H20" s="156" t="n"/>
      <c r="I20" s="156">
        <f>F20</f>
        <v/>
      </c>
      <c r="J20" s="156" t="n"/>
      <c r="K20" s="156" t="n"/>
      <c r="L20" s="156" t="n"/>
      <c r="M20" s="156" t="n"/>
      <c r="N20" s="156" t="n"/>
      <c r="O20" s="156" t="n"/>
      <c r="P20" s="156" t="n"/>
      <c r="Q20" s="207" t="n"/>
      <c r="R20" s="207" t="n"/>
    </row>
    <row r="21" ht="12.75" customHeight="1" s="131">
      <c r="A21" s="137" t="n"/>
      <c r="B21" s="137" t="n"/>
      <c r="C21" s="137">
        <f>'1. Required Start-Up Funds'!C11</f>
        <v/>
      </c>
      <c r="D21" s="145" t="n"/>
      <c r="E21" s="182" t="n"/>
      <c r="F21" s="156">
        <f>'10. Balance Sheet'!I21</f>
        <v/>
      </c>
      <c r="G21" s="156" t="n"/>
      <c r="H21" s="156" t="n"/>
      <c r="I21" s="156">
        <f>F21</f>
        <v/>
      </c>
      <c r="J21" s="182" t="n"/>
      <c r="K21" s="182" t="n"/>
      <c r="L21" s="182" t="n"/>
      <c r="M21" s="182" t="n"/>
      <c r="N21" s="182" t="n"/>
      <c r="O21" s="182" t="n"/>
      <c r="P21" s="182" t="n"/>
      <c r="Q21" s="208" t="n"/>
      <c r="R21" s="208" t="n"/>
    </row>
    <row r="22" ht="12.75" customHeight="1" s="131">
      <c r="A22" s="137" t="n"/>
      <c r="B22" s="137" t="n"/>
      <c r="C22" s="137">
        <f>'1. Required Start-Up Funds'!C12</f>
        <v/>
      </c>
      <c r="D22" s="145" t="n"/>
      <c r="E22" s="182" t="n"/>
      <c r="F22" s="156">
        <f>'10. Balance Sheet'!I22</f>
        <v/>
      </c>
      <c r="G22" s="156" t="n"/>
      <c r="H22" s="156" t="n"/>
      <c r="I22" s="156">
        <f>F22</f>
        <v/>
      </c>
      <c r="J22" s="182" t="n"/>
      <c r="K22" s="182" t="n"/>
      <c r="L22" s="182" t="n"/>
      <c r="M22" s="182" t="n"/>
      <c r="N22" s="182" t="n"/>
      <c r="O22" s="182" t="n"/>
      <c r="P22" s="182" t="n"/>
      <c r="Q22" s="208" t="n"/>
      <c r="R22" s="208" t="n"/>
    </row>
    <row r="23" ht="12.75" customHeight="1" s="131">
      <c r="A23" s="137" t="n"/>
      <c r="B23" s="137" t="n"/>
      <c r="C23" s="137">
        <f>'1. Required Start-Up Funds'!C13</f>
        <v/>
      </c>
      <c r="D23" s="145" t="n"/>
      <c r="E23" s="182" t="n"/>
      <c r="F23" s="156">
        <f>'10. Balance Sheet'!I23</f>
        <v/>
      </c>
      <c r="G23" s="156" t="n"/>
      <c r="H23" s="156" t="n"/>
      <c r="I23" s="156">
        <f>F23</f>
        <v/>
      </c>
      <c r="J23" s="182" t="n"/>
      <c r="K23" s="182" t="n"/>
      <c r="L23" s="182" t="n"/>
      <c r="M23" s="182" t="n"/>
      <c r="N23" s="182" t="n"/>
      <c r="O23" s="182" t="n"/>
      <c r="P23" s="182" t="n"/>
      <c r="Q23" s="208" t="n"/>
      <c r="R23" s="208" t="n"/>
    </row>
    <row r="24" ht="12.75" customHeight="1" s="131">
      <c r="A24" s="137" t="n"/>
      <c r="B24" s="137" t="n"/>
      <c r="C24" s="137">
        <f>'1. Required Start-Up Funds'!C14</f>
        <v/>
      </c>
      <c r="D24" s="145" t="n"/>
      <c r="E24" s="156" t="n"/>
      <c r="F24" s="162">
        <f>'10. Balance Sheet'!I24</f>
        <v/>
      </c>
      <c r="G24" s="156" t="n"/>
      <c r="H24" s="156" t="n"/>
      <c r="I24" s="162">
        <f>F24+'13. Cash Flow Statement (2)'!Q17</f>
        <v/>
      </c>
      <c r="J24" s="156" t="n"/>
      <c r="K24" s="156" t="n"/>
      <c r="L24" s="156" t="n"/>
      <c r="M24" s="156" t="n"/>
      <c r="N24" s="156" t="n"/>
      <c r="O24" s="156" t="n"/>
      <c r="P24" s="156" t="n"/>
      <c r="Q24" s="207" t="n"/>
      <c r="R24" s="207" t="n"/>
    </row>
    <row r="25" ht="12.75" customHeight="1" s="131">
      <c r="A25" s="137" t="n"/>
      <c r="B25" s="137" t="inlineStr">
        <is>
          <t>Total Fixed Assets</t>
        </is>
      </c>
      <c r="C25" s="137" t="n"/>
      <c r="D25" s="145" t="n"/>
      <c r="E25" s="156" t="n"/>
      <c r="F25" s="156">
        <f>SUM(F18:F24)</f>
        <v/>
      </c>
      <c r="G25" s="156" t="n"/>
      <c r="H25" s="156" t="n"/>
      <c r="I25" s="156">
        <f>SUM(I18:I24)</f>
        <v/>
      </c>
      <c r="J25" s="156" t="n"/>
      <c r="K25" s="156" t="n"/>
      <c r="L25" s="156" t="n"/>
      <c r="M25" s="156" t="n"/>
      <c r="N25" s="156" t="n"/>
      <c r="O25" s="156" t="n"/>
      <c r="P25" s="156" t="n"/>
      <c r="Q25" s="207" t="n"/>
      <c r="R25" s="207" t="n"/>
    </row>
    <row r="26" ht="12.75" customHeight="1" s="131">
      <c r="A26" s="137" t="n"/>
      <c r="B26" s="137" t="n"/>
      <c r="C26" s="137" t="n"/>
      <c r="D26" s="145" t="n"/>
      <c r="E26" s="182" t="n"/>
      <c r="F26" s="156" t="n"/>
      <c r="G26" s="156" t="n"/>
      <c r="H26" s="156" t="n"/>
      <c r="I26" s="156" t="n"/>
      <c r="J26" s="182" t="n"/>
      <c r="K26" s="182" t="n"/>
      <c r="L26" s="182" t="n"/>
      <c r="M26" s="182" t="n"/>
      <c r="N26" s="182" t="n"/>
      <c r="O26" s="182" t="n"/>
      <c r="P26" s="182" t="n"/>
      <c r="Q26" s="208" t="n"/>
      <c r="R26" s="208" t="n"/>
    </row>
    <row r="27" ht="12.75" customHeight="1" s="131">
      <c r="A27" s="137" t="n"/>
      <c r="B27" s="137" t="inlineStr">
        <is>
          <t>Less:  Accumulated Depreciation</t>
        </is>
      </c>
      <c r="C27" s="137" t="n"/>
      <c r="D27" s="145" t="n"/>
      <c r="E27" s="145" t="n"/>
      <c r="F27" s="156">
        <f>'10. Balance Sheet'!I27</f>
        <v/>
      </c>
      <c r="G27" s="156" t="n"/>
      <c r="H27" s="156" t="n"/>
      <c r="I27" s="156">
        <f>F27+'12. Income Statement (2)'!Q58</f>
        <v/>
      </c>
      <c r="J27" s="145" t="n"/>
      <c r="K27" s="145" t="n"/>
      <c r="L27" s="145" t="n"/>
      <c r="M27" s="145" t="n"/>
      <c r="N27" s="145" t="n"/>
      <c r="O27" s="145" t="n"/>
      <c r="P27" s="145" t="n"/>
      <c r="Q27" s="167" t="n"/>
      <c r="R27" s="167" t="n"/>
    </row>
    <row r="28" ht="12.75" customHeight="1" s="131">
      <c r="A28" s="137" t="n"/>
      <c r="B28" s="137" t="n"/>
      <c r="C28" s="137" t="n"/>
      <c r="D28" s="145" t="n"/>
      <c r="E28" s="145" t="n"/>
      <c r="F28" s="162" t="n"/>
      <c r="G28" s="156" t="n"/>
      <c r="H28" s="156" t="n"/>
      <c r="I28" s="162" t="n"/>
      <c r="J28" s="145" t="n"/>
      <c r="K28" s="145" t="n"/>
      <c r="L28" s="145" t="n"/>
      <c r="M28" s="145" t="n"/>
      <c r="N28" s="145" t="n"/>
      <c r="O28" s="145" t="n"/>
      <c r="P28" s="145" t="n"/>
      <c r="Q28" s="167" t="n"/>
      <c r="R28" s="167" t="n"/>
    </row>
    <row r="29" ht="15.95" customHeight="1" s="131">
      <c r="A29" s="137" t="inlineStr">
        <is>
          <t>Total Assets</t>
        </is>
      </c>
      <c r="B29" s="137" t="n"/>
      <c r="C29" s="137" t="n"/>
      <c r="D29" s="145" t="n"/>
      <c r="E29" s="145" t="n"/>
      <c r="F29" s="184">
        <f>INT(F15+F25-F27)</f>
        <v/>
      </c>
      <c r="G29" s="156" t="n"/>
      <c r="H29" s="156" t="n"/>
      <c r="I29" s="184">
        <f>INT(I15+I25-I27)</f>
        <v/>
      </c>
      <c r="J29" s="145" t="n"/>
      <c r="K29" s="145" t="n"/>
      <c r="L29" s="145" t="n"/>
      <c r="M29" s="145" t="n"/>
      <c r="N29" s="145" t="n"/>
      <c r="O29" s="145" t="n"/>
      <c r="P29" s="145" t="n"/>
      <c r="Q29" s="167" t="n"/>
      <c r="R29" s="167" t="n"/>
    </row>
    <row r="30" ht="12.75" customHeight="1" s="131">
      <c r="A30" s="137" t="n"/>
      <c r="B30" s="137" t="n"/>
      <c r="C30" s="137" t="n"/>
      <c r="D30" s="145" t="n"/>
      <c r="E30" s="145" t="n"/>
      <c r="F30" s="156" t="n"/>
      <c r="G30" s="156" t="n"/>
      <c r="H30" s="156" t="n"/>
      <c r="I30" s="156" t="n"/>
      <c r="J30" s="145" t="n"/>
      <c r="K30" s="145" t="n"/>
      <c r="L30" s="145" t="n"/>
      <c r="M30" s="145" t="n"/>
      <c r="N30" s="145" t="n"/>
      <c r="O30" s="145" t="n"/>
      <c r="P30" s="145" t="n"/>
      <c r="Q30" s="167" t="n"/>
      <c r="R30" s="167" t="n"/>
    </row>
    <row r="31" ht="12.75" customHeight="1" s="131">
      <c r="A31" s="137" t="n"/>
      <c r="B31" s="137" t="n"/>
      <c r="C31" s="137" t="n"/>
      <c r="D31" s="145" t="n"/>
      <c r="E31" s="145" t="n"/>
      <c r="F31" s="156" t="n"/>
      <c r="G31" s="156" t="n"/>
      <c r="H31" s="156" t="n"/>
      <c r="I31" s="156" t="n"/>
      <c r="J31" s="145" t="n"/>
      <c r="K31" s="145" t="n"/>
      <c r="L31" s="145" t="n"/>
      <c r="M31" s="145" t="n"/>
      <c r="N31" s="145" t="n"/>
      <c r="O31" s="145" t="n"/>
      <c r="P31" s="145" t="n"/>
      <c r="Q31" s="167" t="n"/>
      <c r="R31" s="167" t="n"/>
    </row>
    <row r="32" ht="12.75" customHeight="1" s="131">
      <c r="A32" s="137" t="n"/>
      <c r="B32" s="137" t="n"/>
      <c r="C32" s="137" t="n"/>
      <c r="D32" s="145" t="n"/>
      <c r="E32" s="145" t="n"/>
      <c r="F32" s="156" t="n"/>
      <c r="G32" s="156" t="n"/>
      <c r="H32" s="156" t="n"/>
      <c r="I32" s="156" t="n"/>
      <c r="J32" s="145" t="n"/>
      <c r="K32" s="145" t="n"/>
      <c r="L32" s="145" t="n"/>
      <c r="M32" s="145" t="n"/>
      <c r="N32" s="145" t="n"/>
      <c r="O32" s="145" t="n"/>
      <c r="P32" s="145" t="n"/>
      <c r="Q32" s="167" t="n"/>
      <c r="R32" s="167" t="n"/>
    </row>
    <row r="33" ht="12.75" customHeight="1" s="131">
      <c r="A33" s="137" t="inlineStr">
        <is>
          <t>Liabilities and Owner's Equity</t>
        </is>
      </c>
      <c r="B33" s="137" t="n"/>
      <c r="C33" s="137" t="n"/>
      <c r="D33" s="145" t="n"/>
      <c r="E33" s="145" t="n"/>
      <c r="F33" s="156" t="n"/>
      <c r="G33" s="156" t="n"/>
      <c r="H33" s="156" t="n"/>
      <c r="I33" s="156" t="n"/>
      <c r="J33" s="145" t="n"/>
      <c r="K33" s="145" t="n"/>
      <c r="L33" s="145" t="n"/>
      <c r="M33" s="145" t="n"/>
      <c r="N33" s="145" t="n"/>
      <c r="O33" s="145" t="n"/>
      <c r="P33" s="145" t="n"/>
      <c r="Q33" s="167" t="n"/>
      <c r="R33" s="167" t="n"/>
    </row>
    <row r="34" ht="12.75" customHeight="1" s="131">
      <c r="A34" s="137" t="n"/>
      <c r="B34" s="137" t="inlineStr">
        <is>
          <t>Liabilities</t>
        </is>
      </c>
      <c r="C34" s="137" t="n"/>
      <c r="D34" s="145" t="n"/>
      <c r="E34" s="145" t="n"/>
      <c r="F34" s="156" t="n"/>
      <c r="G34" s="156" t="n"/>
      <c r="H34" s="156" t="n"/>
      <c r="I34" s="156" t="n"/>
      <c r="J34" s="145" t="n"/>
      <c r="K34" s="145" t="n"/>
      <c r="L34" s="145" t="n"/>
      <c r="M34" s="145" t="n"/>
      <c r="N34" s="145" t="n"/>
      <c r="O34" s="145" t="n"/>
      <c r="P34" s="145" t="n"/>
      <c r="Q34" s="167" t="n"/>
      <c r="R34" s="167" t="n"/>
    </row>
    <row r="35" ht="12.75" customHeight="1" s="131">
      <c r="A35" s="137" t="n"/>
      <c r="B35" s="137" t="n"/>
      <c r="C35" s="137" t="inlineStr">
        <is>
          <t>Accounts Payable</t>
        </is>
      </c>
      <c r="D35" s="145" t="n"/>
      <c r="E35" s="156" t="n"/>
      <c r="F35" s="156">
        <f>'10. Balance Sheet'!I35</f>
        <v/>
      </c>
      <c r="G35" s="156" t="n"/>
      <c r="H35" s="156" t="n"/>
      <c r="I35" s="156">
        <f>F35+'12. Income Statement (2)'!Q20-'13. Cash Flow Statement (2)'!Q19</f>
        <v/>
      </c>
      <c r="J35" s="156" t="n"/>
      <c r="K35" s="156" t="n"/>
      <c r="L35" s="156" t="n"/>
      <c r="M35" s="156" t="n"/>
      <c r="N35" s="156" t="n"/>
      <c r="O35" s="156" t="n"/>
      <c r="P35" s="156" t="n"/>
      <c r="Q35" s="207" t="n"/>
      <c r="R35" s="207" t="n"/>
    </row>
    <row r="36" ht="12.75" customHeight="1" s="131">
      <c r="A36" s="137" t="n"/>
      <c r="B36" s="137" t="n"/>
      <c r="C36" s="137" t="inlineStr">
        <is>
          <t>Notes Payable</t>
        </is>
      </c>
      <c r="D36" s="145" t="n"/>
      <c r="E36" s="182" t="n"/>
      <c r="F36" s="156">
        <f>'10. Balance Sheet'!I36</f>
        <v/>
      </c>
      <c r="G36" s="156" t="n"/>
      <c r="H36" s="156" t="n"/>
      <c r="I36" s="156">
        <f>'20. Amoritization Schedule'!R21+'7. Beginning Balance Sheet'!F36</f>
        <v/>
      </c>
      <c r="J36" s="182" t="n"/>
      <c r="K36" s="182" t="n"/>
      <c r="L36" s="182" t="n"/>
      <c r="M36" s="182" t="n"/>
      <c r="N36" s="182" t="n"/>
      <c r="O36" s="182" t="n"/>
      <c r="P36" s="182" t="n"/>
      <c r="Q36" s="208" t="n"/>
      <c r="R36" s="167" t="n"/>
    </row>
    <row r="37" ht="12.75" customHeight="1" s="131">
      <c r="A37" s="137" t="n"/>
      <c r="B37" s="137" t="n"/>
      <c r="C37" s="137" t="inlineStr">
        <is>
          <t>Mortgage Payable</t>
        </is>
      </c>
      <c r="D37" s="145" t="n"/>
      <c r="E37" s="145" t="n"/>
      <c r="F37" s="156">
        <f>'10. Balance Sheet'!I37</f>
        <v/>
      </c>
      <c r="G37" s="156" t="n"/>
      <c r="H37" s="156" t="n"/>
      <c r="I37" s="156">
        <f>'20. Amoritization Schedule'!R41+'7. Beginning Balance Sheet'!F37</f>
        <v/>
      </c>
      <c r="J37" s="145" t="n"/>
      <c r="K37" s="145" t="n"/>
      <c r="L37" s="145" t="n"/>
      <c r="M37" s="145" t="n"/>
      <c r="N37" s="145" t="n"/>
      <c r="O37" s="145" t="n"/>
      <c r="P37" s="145" t="n"/>
      <c r="Q37" s="167" t="n"/>
      <c r="R37" s="167" t="n"/>
    </row>
    <row r="38" ht="12.75" customHeight="1" s="131">
      <c r="A38" s="137" t="n"/>
      <c r="B38" s="137" t="n"/>
      <c r="C38" s="137" t="inlineStr">
        <is>
          <t>Line of Credit Balance</t>
        </is>
      </c>
      <c r="D38" s="145" t="n"/>
      <c r="E38" s="145" t="n"/>
      <c r="F38" s="162">
        <f>'10. Balance Sheet'!I38</f>
        <v/>
      </c>
      <c r="G38" s="156" t="n"/>
      <c r="H38" s="156" t="n"/>
      <c r="I38" s="162">
        <f>'13. Cash Flow Statement (2)'!P40+'7. Beginning Balance Sheet'!F38</f>
        <v/>
      </c>
      <c r="J38" s="145" t="n"/>
      <c r="K38" s="145" t="n"/>
      <c r="L38" s="145" t="n"/>
      <c r="M38" s="145" t="n"/>
      <c r="N38" s="145" t="n"/>
      <c r="O38" s="145" t="n"/>
      <c r="P38" s="145" t="n"/>
      <c r="Q38" s="167" t="n"/>
      <c r="R38" s="167" t="n"/>
    </row>
    <row r="39" ht="12.75" customHeight="1" s="131">
      <c r="A39" s="137" t="n"/>
      <c r="B39" s="137" t="inlineStr">
        <is>
          <t>Total Liabilities</t>
        </is>
      </c>
      <c r="C39" s="137" t="n"/>
      <c r="D39" s="145" t="n"/>
      <c r="E39" s="145" t="n"/>
      <c r="F39" s="156">
        <f>SUM(F35:F38)</f>
        <v/>
      </c>
      <c r="G39" s="156" t="n"/>
      <c r="H39" s="156" t="n"/>
      <c r="I39" s="156">
        <f>SUM(I35:I38)</f>
        <v/>
      </c>
      <c r="J39" s="145" t="n"/>
      <c r="K39" s="145" t="n"/>
      <c r="L39" s="145" t="n"/>
      <c r="M39" s="145" t="n"/>
      <c r="N39" s="145" t="n"/>
      <c r="O39" s="145" t="n"/>
      <c r="P39" s="145" t="n"/>
      <c r="Q39" s="167" t="n"/>
      <c r="R39" s="167" t="n"/>
    </row>
    <row r="40" ht="12.75" customHeight="1" s="131">
      <c r="A40" s="137" t="n"/>
      <c r="B40" s="137" t="n"/>
      <c r="C40" s="137" t="n"/>
      <c r="D40" s="145" t="n"/>
      <c r="E40" s="145" t="n"/>
      <c r="F40" s="156" t="n"/>
      <c r="G40" s="156" t="n"/>
      <c r="H40" s="156" t="n"/>
      <c r="I40" s="156" t="n"/>
      <c r="J40" s="145" t="n"/>
      <c r="K40" s="145" t="n"/>
      <c r="L40" s="145" t="n"/>
      <c r="M40" s="145" t="n"/>
      <c r="N40" s="145" t="n"/>
      <c r="O40" s="145" t="n"/>
      <c r="P40" s="145" t="n"/>
      <c r="Q40" s="167" t="n"/>
      <c r="R40" s="167" t="n"/>
    </row>
    <row r="41" ht="12.75" customHeight="1" s="131">
      <c r="A41" s="137" t="n"/>
      <c r="B41" s="137" t="inlineStr">
        <is>
          <t>Owner's Equity</t>
        </is>
      </c>
      <c r="C41" s="137" t="n"/>
      <c r="D41" s="145" t="n"/>
      <c r="E41" s="145" t="n"/>
      <c r="F41" s="156" t="n"/>
      <c r="G41" s="156" t="n"/>
      <c r="H41" s="156" t="n"/>
      <c r="I41" s="156" t="n"/>
      <c r="J41" s="145" t="n"/>
      <c r="K41" s="145" t="n"/>
      <c r="L41" s="145" t="n"/>
      <c r="M41" s="145" t="n"/>
      <c r="N41" s="145" t="n"/>
      <c r="O41" s="145" t="n"/>
      <c r="P41" s="145" t="n"/>
      <c r="Q41" s="167" t="n"/>
      <c r="R41" s="167" t="n"/>
    </row>
    <row r="42" ht="12.75" customHeight="1" s="131">
      <c r="A42" s="137" t="n"/>
      <c r="B42" s="137" t="n"/>
      <c r="C42" s="137" t="inlineStr">
        <is>
          <t>Common Stock</t>
        </is>
      </c>
      <c r="D42" s="145" t="n"/>
      <c r="E42" s="145" t="n"/>
      <c r="F42" s="156">
        <f>'10. Balance Sheet'!I42</f>
        <v/>
      </c>
      <c r="G42" s="156" t="n"/>
      <c r="H42" s="156" t="n"/>
      <c r="I42" s="156">
        <f>F42</f>
        <v/>
      </c>
      <c r="J42" s="145" t="n"/>
      <c r="K42" s="145" t="n"/>
      <c r="L42" s="145" t="n"/>
      <c r="M42" s="145" t="n"/>
      <c r="N42" s="145" t="n"/>
      <c r="O42" s="145" t="n"/>
      <c r="P42" s="145" t="n"/>
      <c r="Q42" s="167" t="n"/>
      <c r="R42" s="167" t="n"/>
    </row>
    <row r="43" ht="12.75" customHeight="1" s="131">
      <c r="A43" s="137" t="n"/>
      <c r="B43" s="137" t="n"/>
      <c r="C43" s="137" t="inlineStr">
        <is>
          <t>Retained Earnings</t>
        </is>
      </c>
      <c r="D43" s="145" t="n"/>
      <c r="E43" s="145" t="n"/>
      <c r="F43" s="156">
        <f>'10. Balance Sheet'!I43</f>
        <v/>
      </c>
      <c r="G43" s="156" t="n"/>
      <c r="H43" s="156" t="n"/>
      <c r="I43" s="156">
        <f>F43+'12. Income Statement (2)'!Q66</f>
        <v/>
      </c>
      <c r="J43" s="145" t="n"/>
      <c r="K43" s="145" t="n"/>
      <c r="L43" s="145" t="n"/>
      <c r="M43" s="145" t="n"/>
      <c r="N43" s="145" t="n"/>
      <c r="O43" s="145" t="n"/>
      <c r="P43" s="145" t="n"/>
      <c r="Q43" s="167" t="n"/>
      <c r="R43" s="167" t="n"/>
    </row>
    <row r="44" ht="12.75" customHeight="1" s="131">
      <c r="A44" s="137" t="n"/>
      <c r="B44" s="137" t="n"/>
      <c r="C44" s="137" t="inlineStr">
        <is>
          <t>Dividends Dispersed</t>
        </is>
      </c>
      <c r="D44" s="145" t="n"/>
      <c r="E44" s="145" t="n"/>
      <c r="F44" s="162">
        <f>'10. Balance Sheet'!I44</f>
        <v/>
      </c>
      <c r="G44" s="156" t="n"/>
      <c r="H44" s="156" t="n"/>
      <c r="I44" s="162">
        <f>F44+'13. Cash Flow Statement (2)'!Q28</f>
        <v/>
      </c>
      <c r="J44" s="145" t="n"/>
      <c r="K44" s="145" t="n"/>
      <c r="L44" s="145" t="n"/>
      <c r="M44" s="145" t="n"/>
      <c r="N44" s="145" t="n"/>
      <c r="O44" s="145" t="n"/>
      <c r="P44" s="145" t="n"/>
      <c r="Q44" s="167" t="n"/>
      <c r="R44" s="167" t="n"/>
    </row>
    <row r="45" ht="12.75" customHeight="1" s="131">
      <c r="A45" s="137" t="n"/>
      <c r="B45" s="137" t="inlineStr">
        <is>
          <t>Total Owner's Equity</t>
        </is>
      </c>
      <c r="C45" s="137" t="n"/>
      <c r="D45" s="145" t="n"/>
      <c r="E45" s="145" t="n"/>
      <c r="F45" s="156">
        <f>F42+F43-F44</f>
        <v/>
      </c>
      <c r="G45" s="156" t="n"/>
      <c r="H45" s="156" t="n"/>
      <c r="I45" s="156">
        <f>I42+I43-I44</f>
        <v/>
      </c>
      <c r="J45" s="145" t="n"/>
      <c r="K45" s="145" t="n"/>
      <c r="L45" s="145" t="n"/>
      <c r="M45" s="145" t="n"/>
      <c r="N45" s="145" t="n"/>
      <c r="O45" s="145" t="n"/>
      <c r="P45" s="145" t="n"/>
    </row>
    <row r="46" ht="12.75" customHeight="1" s="131">
      <c r="A46" s="137" t="n"/>
      <c r="B46" s="137" t="n"/>
      <c r="C46" s="137" t="n"/>
      <c r="D46" s="145" t="n"/>
      <c r="E46" s="145" t="n"/>
      <c r="F46" s="162" t="n"/>
      <c r="G46" s="156" t="n"/>
      <c r="H46" s="156" t="n"/>
      <c r="I46" s="162" t="n"/>
      <c r="J46" s="145" t="n"/>
      <c r="K46" s="145" t="n"/>
      <c r="L46" s="145" t="n"/>
      <c r="M46" s="145" t="n"/>
      <c r="N46" s="145" t="n"/>
      <c r="O46" s="145" t="n"/>
      <c r="P46" s="145" t="n"/>
    </row>
    <row r="47" ht="15.95" customHeight="1" s="131">
      <c r="A47" s="137" t="inlineStr">
        <is>
          <t>Total Liabilities and Owner's Equity</t>
        </is>
      </c>
      <c r="B47" s="137" t="n"/>
      <c r="C47" s="137" t="n"/>
      <c r="D47" s="145" t="n"/>
      <c r="E47" s="145" t="n"/>
      <c r="F47" s="184">
        <f>INT(F39+F45)</f>
        <v/>
      </c>
      <c r="G47" s="156" t="n"/>
      <c r="H47" s="156" t="n"/>
      <c r="I47" s="184">
        <f>INT(I39+I45)</f>
        <v/>
      </c>
      <c r="J47" s="145" t="n"/>
      <c r="K47" s="145" t="n"/>
      <c r="L47" s="145" t="n"/>
      <c r="M47" s="145" t="n"/>
      <c r="N47" s="145" t="n"/>
      <c r="O47" s="145" t="n"/>
      <c r="P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row>
    <row r="50" ht="12.75" customHeight="1" s="131">
      <c r="A50" s="137" t="n"/>
      <c r="B50" s="137" t="n"/>
      <c r="C50" s="137" t="n"/>
      <c r="D50" s="145" t="n"/>
      <c r="E50" s="145" t="n"/>
      <c r="F50" s="189">
        <f>IF(F29=F47,"Statement Balances","Does Not Balance")</f>
        <v/>
      </c>
      <c r="G50" s="145" t="n"/>
      <c r="H50" s="145" t="n"/>
      <c r="I50" s="189">
        <f>IF(I29-I47=0,"Statement Balances","Does Not Balance")</f>
        <v/>
      </c>
      <c r="J50" s="145" t="n"/>
      <c r="K50" s="223" t="n"/>
      <c r="L50" s="145" t="n"/>
      <c r="M50" s="145" t="n"/>
      <c r="N50" s="145" t="n"/>
      <c r="O50" s="145" t="n"/>
      <c r="P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row>
    <row r="53" ht="12.75" customHeight="1" s="131"/>
    <row r="54" ht="12.75" customHeight="1" s="131"/>
    <row r="55" ht="12.75" customHeight="1" s="131">
      <c r="E55" s="130" t="n"/>
      <c r="F55" s="130" t="n"/>
      <c r="G55" s="130" t="n"/>
      <c r="H55" s="130" t="n"/>
      <c r="I55" s="130" t="n"/>
      <c r="J55" s="130" t="n"/>
      <c r="K55" s="130" t="n"/>
      <c r="L55" s="130" t="n"/>
      <c r="M55" s="130" t="n"/>
      <c r="N55" s="130" t="n"/>
      <c r="O55" s="130" t="n"/>
      <c r="P55" s="130" t="n"/>
      <c r="Q55" s="130" t="n"/>
      <c r="R55" s="130" t="n"/>
    </row>
    <row r="56" ht="12.75" customHeight="1" s="131">
      <c r="E56" s="130" t="n"/>
      <c r="F56" s="130" t="n"/>
      <c r="G56" s="130" t="n"/>
      <c r="H56" s="130" t="n"/>
      <c r="I56" s="130" t="n"/>
      <c r="J56" s="130" t="n"/>
      <c r="K56" s="130" t="n"/>
      <c r="L56" s="130" t="n"/>
      <c r="M56" s="130" t="n"/>
      <c r="N56" s="130" t="n"/>
      <c r="O56" s="130" t="n"/>
      <c r="P56" s="130" t="n"/>
      <c r="Q56" s="130" t="n"/>
      <c r="R56" s="130" t="n"/>
    </row>
    <row r="57" ht="12.75" customHeight="1" s="131">
      <c r="E57" s="130" t="n"/>
      <c r="F57" s="130" t="n"/>
      <c r="G57" s="130" t="n"/>
      <c r="H57" s="130" t="n"/>
      <c r="I57" s="130" t="n"/>
      <c r="J57" s="130" t="n"/>
      <c r="K57" s="130" t="n"/>
      <c r="L57" s="130" t="n"/>
      <c r="M57" s="130" t="n"/>
      <c r="N57" s="130" t="n"/>
      <c r="O57" s="130" t="n"/>
      <c r="P57" s="130" t="n"/>
      <c r="Q57" s="130" t="n"/>
      <c r="R57" s="130" t="n"/>
    </row>
    <row r="58" ht="12.75" customHeight="1" s="131">
      <c r="D58" s="167" t="n"/>
      <c r="E58" s="130" t="n"/>
      <c r="F58" s="130" t="n"/>
      <c r="G58" s="130" t="n"/>
      <c r="H58" s="130" t="n"/>
      <c r="I58" s="130" t="n"/>
      <c r="J58" s="130" t="n"/>
      <c r="K58" s="130" t="n"/>
      <c r="L58" s="130" t="n"/>
      <c r="M58" s="130" t="n"/>
      <c r="N58" s="130" t="n"/>
      <c r="O58" s="130" t="n"/>
      <c r="P58" s="130" t="n"/>
      <c r="Q58" s="130" t="n"/>
      <c r="R58" s="130" t="n"/>
    </row>
    <row r="59" ht="12.75" customHeight="1" s="131">
      <c r="D59" s="167" t="n"/>
      <c r="E59" s="130" t="n"/>
      <c r="F59" s="130" t="n"/>
      <c r="G59" s="130" t="n"/>
      <c r="H59" s="130" t="n"/>
      <c r="I59" s="130" t="n"/>
      <c r="J59" s="130" t="n"/>
      <c r="K59" s="130" t="n"/>
      <c r="L59" s="130" t="n"/>
      <c r="M59" s="130" t="n"/>
      <c r="N59" s="130" t="n"/>
      <c r="O59" s="130" t="n"/>
      <c r="P59" s="130" t="n"/>
      <c r="Q59" s="130" t="n"/>
      <c r="R59" s="130" t="n"/>
    </row>
    <row r="60" ht="12.75" customHeight="1" s="131">
      <c r="D60" s="167" t="n"/>
      <c r="E60" s="130" t="n"/>
      <c r="F60" s="130" t="n"/>
      <c r="G60" s="130" t="n"/>
      <c r="H60" s="130" t="n"/>
      <c r="I60" s="130" t="n"/>
      <c r="J60" s="130" t="n"/>
      <c r="K60" s="130" t="n"/>
      <c r="L60" s="130" t="n"/>
      <c r="M60" s="130" t="n"/>
      <c r="N60" s="130" t="n"/>
      <c r="O60" s="130" t="n"/>
      <c r="P60" s="130" t="n"/>
      <c r="Q60" s="130" t="n"/>
      <c r="R60" s="130" t="n"/>
    </row>
    <row r="61" ht="12.75" customHeight="1" s="131">
      <c r="D61" s="167" t="n"/>
      <c r="E61" s="130" t="n"/>
      <c r="F61" s="130" t="n"/>
      <c r="G61" s="130" t="n"/>
      <c r="H61" s="130" t="n"/>
      <c r="I61" s="130" t="n"/>
      <c r="J61" s="130" t="n"/>
      <c r="K61" s="130" t="n"/>
      <c r="L61" s="130" t="n"/>
      <c r="M61" s="130" t="n"/>
      <c r="N61" s="130" t="n"/>
      <c r="O61" s="130" t="n"/>
      <c r="P61" s="130" t="n"/>
      <c r="Q61" s="130" t="n"/>
      <c r="R61" s="130" t="n"/>
    </row>
    <row r="62" ht="12.75" customHeight="1" s="131">
      <c r="D62" s="167" t="n"/>
      <c r="E62" s="130" t="n"/>
      <c r="F62" s="130" t="n"/>
      <c r="G62" s="130" t="n"/>
      <c r="H62" s="130" t="n"/>
      <c r="I62" s="130" t="n"/>
      <c r="J62" s="130" t="n"/>
      <c r="K62" s="130" t="n"/>
      <c r="L62" s="130" t="n"/>
      <c r="M62" s="130" t="n"/>
      <c r="N62" s="130" t="n"/>
      <c r="O62" s="130" t="n"/>
      <c r="P62" s="130" t="n"/>
      <c r="Q62" s="130" t="n"/>
      <c r="R62" s="130" t="n"/>
    </row>
    <row r="63" ht="12.75" customHeight="1" s="131">
      <c r="E63" s="130" t="n"/>
      <c r="F63" s="130" t="n"/>
      <c r="G63" s="130" t="n"/>
      <c r="H63" s="130" t="n"/>
      <c r="I63" s="130" t="n"/>
      <c r="J63" s="130" t="n"/>
      <c r="K63" s="130" t="n"/>
      <c r="L63" s="130" t="n"/>
      <c r="M63" s="130" t="n"/>
      <c r="N63" s="130" t="n"/>
      <c r="O63" s="130" t="n"/>
      <c r="P63" s="130" t="n"/>
      <c r="Q63" s="130" t="n"/>
      <c r="R63" s="130" t="n"/>
    </row>
    <row r="64" ht="12.75" customHeight="1" s="131">
      <c r="E64" s="130" t="n"/>
      <c r="F64" s="130" t="n"/>
      <c r="G64" s="130" t="n"/>
      <c r="H64" s="130" t="n"/>
      <c r="I64" s="130" t="n"/>
      <c r="J64" s="130" t="n"/>
      <c r="K64" s="130" t="n"/>
      <c r="L64" s="130" t="n"/>
      <c r="M64" s="130" t="n"/>
      <c r="N64" s="130" t="n"/>
      <c r="O64" s="130" t="n"/>
      <c r="P64" s="130" t="n"/>
      <c r="Q64" s="130" t="n"/>
      <c r="R64" s="130" t="n"/>
    </row>
    <row r="65" ht="12.75" customHeight="1" s="131">
      <c r="E65" s="130" t="n"/>
      <c r="F65" s="130" t="n"/>
      <c r="G65" s="130" t="n"/>
      <c r="H65" s="130" t="n"/>
      <c r="I65" s="130" t="n"/>
      <c r="J65" s="130" t="n"/>
      <c r="K65" s="130" t="n"/>
      <c r="L65" s="130" t="n"/>
      <c r="M65" s="130" t="n"/>
      <c r="N65" s="130" t="n"/>
      <c r="O65" s="130" t="n"/>
      <c r="P65" s="130" t="n"/>
      <c r="Q65" s="130" t="n"/>
      <c r="R65" s="130" t="n"/>
    </row>
    <row r="66" ht="12.75" customHeight="1" s="131">
      <c r="E66" s="130" t="n"/>
      <c r="F66" s="130" t="n"/>
      <c r="G66" s="130" t="n"/>
      <c r="H66" s="130" t="n"/>
      <c r="I66" s="130" t="n"/>
      <c r="J66" s="130" t="n"/>
      <c r="K66" s="130" t="n"/>
      <c r="L66" s="130" t="n"/>
      <c r="M66" s="130" t="n"/>
      <c r="N66" s="130" t="n"/>
      <c r="O66" s="130" t="n"/>
      <c r="P66" s="130" t="n"/>
      <c r="Q66" s="130" t="n"/>
      <c r="R66" s="130" t="n"/>
    </row>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Q72"/>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1"/>
  <cols>
    <col width="2.99" customWidth="1" style="168" min="1" max="3"/>
    <col width="22.75" customWidth="1" style="130" min="4" max="4"/>
    <col width="10.72" customWidth="1" style="130" min="5" max="16"/>
    <col width="15.73" customWidth="1" style="130" min="17" max="17"/>
  </cols>
  <sheetData>
    <row r="1" ht="15.75" customHeight="1" s="131">
      <c r="A1" s="142">
        <f>'1. Required Start-Up Funds'!A1</f>
        <v/>
      </c>
    </row>
    <row r="2" ht="15.75" customHeight="1" s="131">
      <c r="A2" s="142" t="inlineStr">
        <is>
          <t>Projected Income Statement - Year Three</t>
        </is>
      </c>
    </row>
    <row r="3" ht="12.75" customHeight="1" s="131">
      <c r="A3" s="137" t="n"/>
      <c r="B3" s="137" t="n"/>
      <c r="C3" s="137" t="n"/>
      <c r="D3" s="145" t="n"/>
      <c r="E3" s="145" t="n"/>
      <c r="F3" s="145" t="n"/>
      <c r="G3" s="145" t="n"/>
      <c r="H3" s="145" t="n"/>
      <c r="I3" s="145" t="n"/>
      <c r="J3" s="145" t="n"/>
      <c r="K3" s="145" t="n"/>
      <c r="L3" s="145" t="n"/>
      <c r="M3" s="145" t="n"/>
      <c r="N3" s="145" t="n"/>
      <c r="O3" s="145" t="n"/>
      <c r="P3" s="145" t="n"/>
      <c r="Q3" s="145" t="n"/>
    </row>
    <row r="4" ht="12.75" customHeight="1" s="131">
      <c r="A4" s="137" t="n"/>
      <c r="B4" s="137" t="n"/>
      <c r="C4" s="137" t="n"/>
      <c r="D4" s="145" t="n"/>
      <c r="E4" s="145" t="n"/>
      <c r="F4" s="145" t="n"/>
      <c r="G4" s="145" t="n"/>
      <c r="H4" s="145" t="n"/>
      <c r="I4" s="145" t="n"/>
      <c r="J4" s="145" t="n"/>
      <c r="K4" s="145" t="n"/>
      <c r="L4" s="145" t="n"/>
      <c r="M4" s="145" t="n"/>
      <c r="N4" s="145" t="n"/>
      <c r="O4" s="145" t="n"/>
      <c r="P4" s="145" t="n"/>
      <c r="Q4" s="145" t="n"/>
    </row>
    <row r="5" ht="12.75" customHeight="1" s="131">
      <c r="A5" s="137" t="n"/>
      <c r="B5" s="137" t="n"/>
      <c r="C5" s="137" t="n"/>
      <c r="D5" s="145" t="n"/>
      <c r="E5" s="145" t="n"/>
      <c r="F5" s="145" t="n"/>
      <c r="G5" s="145" t="n"/>
      <c r="H5" s="145" t="n"/>
      <c r="I5" s="145" t="n"/>
      <c r="J5" s="145" t="n"/>
      <c r="K5" s="145" t="n"/>
      <c r="L5" s="145" t="n"/>
      <c r="M5" s="145" t="n"/>
      <c r="N5" s="145" t="n"/>
      <c r="O5" s="145" t="n"/>
      <c r="P5" s="145" t="n"/>
      <c r="Q5" s="145" t="n"/>
    </row>
    <row r="6" ht="12.75" customHeight="1" s="131">
      <c r="A6" s="137" t="n"/>
      <c r="B6" s="137" t="n"/>
      <c r="C6" s="137" t="n"/>
      <c r="D6" s="145" t="n"/>
      <c r="E6" s="172">
        <f>'4. Projected Sales Forecast'!H6</f>
        <v/>
      </c>
      <c r="F6" s="172">
        <f>'4. Projected Sales Forecast'!I6</f>
        <v/>
      </c>
      <c r="G6" s="172">
        <f>'4. Projected Sales Forecast'!J6</f>
        <v/>
      </c>
      <c r="H6" s="172">
        <f>'4. Projected Sales Forecast'!K6</f>
        <v/>
      </c>
      <c r="I6" s="172">
        <f>'4. Projected Sales Forecast'!L6</f>
        <v/>
      </c>
      <c r="J6" s="172">
        <f>'4. Projected Sales Forecast'!M6</f>
        <v/>
      </c>
      <c r="K6" s="172">
        <f>'4. Projected Sales Forecast'!N6</f>
        <v/>
      </c>
      <c r="L6" s="172">
        <f>'4. Projected Sales Forecast'!O6</f>
        <v/>
      </c>
      <c r="M6" s="172">
        <f>'4. Projected Sales Forecast'!P6</f>
        <v/>
      </c>
      <c r="N6" s="172">
        <f>'4. Projected Sales Forecast'!Q6</f>
        <v/>
      </c>
      <c r="O6" s="172">
        <f>'4. Projected Sales Forecast'!R6</f>
        <v/>
      </c>
      <c r="P6" s="172">
        <f>'4. Projected Sales Forecast'!S6</f>
        <v/>
      </c>
      <c r="Q6" s="172" t="inlineStr">
        <is>
          <t>Totals</t>
        </is>
      </c>
    </row>
    <row r="7" ht="12.75" customHeight="1" s="131">
      <c r="A7" s="137" t="n"/>
      <c r="B7" s="137" t="n"/>
      <c r="C7" s="137" t="n"/>
      <c r="D7" s="145" t="n"/>
      <c r="E7" s="145" t="n"/>
      <c r="F7" s="145" t="n"/>
      <c r="G7" s="145" t="n"/>
      <c r="H7" s="145" t="n"/>
      <c r="I7" s="145" t="n"/>
      <c r="J7" s="145" t="n"/>
      <c r="K7" s="145" t="n"/>
      <c r="L7" s="145" t="n"/>
      <c r="M7" s="145" t="n"/>
      <c r="N7" s="145" t="n"/>
      <c r="O7" s="145" t="n"/>
      <c r="P7" s="145" t="n"/>
      <c r="Q7" s="145" t="n"/>
    </row>
    <row r="8" outlineLevel="1" ht="12.75" customHeight="1" s="131">
      <c r="A8" s="137" t="inlineStr">
        <is>
          <t>Income</t>
        </is>
      </c>
      <c r="B8" s="137" t="n"/>
      <c r="C8" s="137" t="n"/>
      <c r="D8" s="145" t="n"/>
      <c r="E8" s="145" t="n"/>
      <c r="F8" s="145" t="n"/>
      <c r="G8" s="145" t="n"/>
      <c r="H8" s="145" t="n"/>
      <c r="I8" s="145" t="n"/>
      <c r="J8" s="145" t="n"/>
      <c r="K8" s="145" t="n"/>
      <c r="L8" s="145" t="n"/>
      <c r="M8" s="145" t="n"/>
      <c r="N8" s="145" t="n"/>
      <c r="O8" s="145" t="n"/>
      <c r="P8" s="145" t="n"/>
      <c r="Q8" s="145" t="n"/>
    </row>
    <row r="9" outlineLevel="1" ht="12.75" customHeight="1" s="131">
      <c r="A9" s="137" t="n"/>
      <c r="B9" s="137">
        <f>'4. Projected Sales Forecast'!A8</f>
        <v/>
      </c>
      <c r="C9" s="137" t="n"/>
      <c r="D9" s="145" t="n"/>
      <c r="E9" s="156">
        <f>'4. Projected Sales Forecast'!$E$9*'4. Projected Sales Forecast'!H16</f>
        <v/>
      </c>
      <c r="F9" s="156">
        <f>'4. Projected Sales Forecast'!$E$9*'4. Projected Sales Forecast'!I16</f>
        <v/>
      </c>
      <c r="G9" s="156">
        <f>'4. Projected Sales Forecast'!$E$9*'4. Projected Sales Forecast'!J16</f>
        <v/>
      </c>
      <c r="H9" s="156">
        <f>'4. Projected Sales Forecast'!$E$9*'4. Projected Sales Forecast'!K16</f>
        <v/>
      </c>
      <c r="I9" s="156">
        <f>'4. Projected Sales Forecast'!$E$9*'4. Projected Sales Forecast'!L16</f>
        <v/>
      </c>
      <c r="J9" s="156">
        <f>'4. Projected Sales Forecast'!$E$9*'4. Projected Sales Forecast'!M16</f>
        <v/>
      </c>
      <c r="K9" s="156">
        <f>'4. Projected Sales Forecast'!$E$9*'4. Projected Sales Forecast'!N16</f>
        <v/>
      </c>
      <c r="L9" s="156">
        <f>'4. Projected Sales Forecast'!$E$9*'4. Projected Sales Forecast'!O16</f>
        <v/>
      </c>
      <c r="M9" s="156">
        <f>'4. Projected Sales Forecast'!$E$9*'4. Projected Sales Forecast'!P16</f>
        <v/>
      </c>
      <c r="N9" s="156">
        <f>'4. Projected Sales Forecast'!$E$9*'4. Projected Sales Forecast'!Q16</f>
        <v/>
      </c>
      <c r="O9" s="156">
        <f>'4. Projected Sales Forecast'!$E$9*'4. Projected Sales Forecast'!R16</f>
        <v/>
      </c>
      <c r="P9" s="156">
        <f>'4. Projected Sales Forecast'!$E$9*'4. Projected Sales Forecast'!S16</f>
        <v/>
      </c>
      <c r="Q9" s="182">
        <f>SUM(E9:P9)</f>
        <v/>
      </c>
    </row>
    <row r="10" outlineLevel="1" ht="12.75" customHeight="1" s="131">
      <c r="A10" s="137" t="n"/>
      <c r="B10" s="137">
        <f>'4. Projected Sales Forecast'!A30</f>
        <v/>
      </c>
      <c r="C10" s="137" t="n"/>
      <c r="D10" s="145" t="n"/>
      <c r="E10" s="156">
        <f>'4. Projected Sales Forecast'!$E$31*'4. Projected Sales Forecast'!H38</f>
        <v/>
      </c>
      <c r="F10" s="156">
        <f>'4. Projected Sales Forecast'!$E$31*'4. Projected Sales Forecast'!I38</f>
        <v/>
      </c>
      <c r="G10" s="156">
        <f>'4. Projected Sales Forecast'!$E$31*'4. Projected Sales Forecast'!J38</f>
        <v/>
      </c>
      <c r="H10" s="156">
        <f>'4. Projected Sales Forecast'!$E$31*'4. Projected Sales Forecast'!K38</f>
        <v/>
      </c>
      <c r="I10" s="156">
        <f>'4. Projected Sales Forecast'!$E$31*'4. Projected Sales Forecast'!L38</f>
        <v/>
      </c>
      <c r="J10" s="156">
        <f>'4. Projected Sales Forecast'!$E$31*'4. Projected Sales Forecast'!M38</f>
        <v/>
      </c>
      <c r="K10" s="156">
        <f>'4. Projected Sales Forecast'!$E$31*'4. Projected Sales Forecast'!N38</f>
        <v/>
      </c>
      <c r="L10" s="156">
        <f>'4. Projected Sales Forecast'!$E$31*'4. Projected Sales Forecast'!O38</f>
        <v/>
      </c>
      <c r="M10" s="156">
        <f>'4. Projected Sales Forecast'!$E$31*'4. Projected Sales Forecast'!P38</f>
        <v/>
      </c>
      <c r="N10" s="156">
        <f>'4. Projected Sales Forecast'!$E$31*'4. Projected Sales Forecast'!Q38</f>
        <v/>
      </c>
      <c r="O10" s="156">
        <f>'4. Projected Sales Forecast'!$E$31*'4. Projected Sales Forecast'!R38</f>
        <v/>
      </c>
      <c r="P10" s="156">
        <f>'4. Projected Sales Forecast'!$E$31*'4. Projected Sales Forecast'!S38</f>
        <v/>
      </c>
      <c r="Q10" s="182">
        <f>SUM(E10:P10)</f>
        <v/>
      </c>
    </row>
    <row r="11" outlineLevel="1" ht="12.75" customHeight="1" s="131">
      <c r="A11" s="137" t="n"/>
      <c r="B11" s="137">
        <f>IF('5. Projected Sales Forecast (2)'!E9&gt;0,'5. Projected Sales Forecast (2)'!A8,"")</f>
        <v/>
      </c>
      <c r="C11" s="137" t="n"/>
      <c r="D11" s="145" t="n"/>
      <c r="E11" s="156">
        <f>IF('5. Projected Sales Forecast (2)'!$E$9&gt;0,'5. Projected Sales Forecast (2)'!$E$9*'5. Projected Sales Forecast (2)'!H16,"")</f>
        <v/>
      </c>
      <c r="F11" s="156">
        <f>IF('5. Projected Sales Forecast (2)'!$E$9&gt;0,'5. Projected Sales Forecast (2)'!$E$9*'5. Projected Sales Forecast (2)'!I16,"")</f>
        <v/>
      </c>
      <c r="G11" s="156">
        <f>IF('5. Projected Sales Forecast (2)'!$E$9&gt;0,'5. Projected Sales Forecast (2)'!$E$9*'5. Projected Sales Forecast (2)'!J16,"")</f>
        <v/>
      </c>
      <c r="H11" s="156">
        <f>IF('5. Projected Sales Forecast (2)'!$E$9&gt;0,'5. Projected Sales Forecast (2)'!$E$9*'5. Projected Sales Forecast (2)'!K16,"")</f>
        <v/>
      </c>
      <c r="I11" s="156">
        <f>IF('5. Projected Sales Forecast (2)'!$E$9&gt;0,'5. Projected Sales Forecast (2)'!$E$9*'5. Projected Sales Forecast (2)'!L16,"")</f>
        <v/>
      </c>
      <c r="J11" s="156">
        <f>IF('5. Projected Sales Forecast (2)'!$E$9&gt;0,'5. Projected Sales Forecast (2)'!$E$9*'5. Projected Sales Forecast (2)'!M16,"")</f>
        <v/>
      </c>
      <c r="K11" s="156">
        <f>IF('5. Projected Sales Forecast (2)'!$E$9&gt;0,'5. Projected Sales Forecast (2)'!$E$9*'5. Projected Sales Forecast (2)'!N16,"")</f>
        <v/>
      </c>
      <c r="L11" s="156">
        <f>IF('5. Projected Sales Forecast (2)'!$E$9&gt;0,'5. Projected Sales Forecast (2)'!$E$9*'5. Projected Sales Forecast (2)'!O16,"")</f>
        <v/>
      </c>
      <c r="M11" s="156">
        <f>IF('5. Projected Sales Forecast (2)'!$E$9&gt;0,'5. Projected Sales Forecast (2)'!$E$9*'5. Projected Sales Forecast (2)'!P16,"")</f>
        <v/>
      </c>
      <c r="N11" s="156">
        <f>IF('5. Projected Sales Forecast (2)'!$E$9&gt;0,'5. Projected Sales Forecast (2)'!$E$9*'5. Projected Sales Forecast (2)'!Q16,"")</f>
        <v/>
      </c>
      <c r="O11" s="156">
        <f>IF('5. Projected Sales Forecast (2)'!$E$9&gt;0,'5. Projected Sales Forecast (2)'!$E$9*'5. Projected Sales Forecast (2)'!R16,"")</f>
        <v/>
      </c>
      <c r="P11" s="156">
        <f>IF('5. Projected Sales Forecast (2)'!$E$9&gt;0,'5. Projected Sales Forecast (2)'!$E$9*'5. Projected Sales Forecast (2)'!S16,"")</f>
        <v/>
      </c>
      <c r="Q11" s="182">
        <f>SUM(E11:P11)</f>
        <v/>
      </c>
    </row>
    <row r="12" outlineLevel="1" ht="12.75" customHeight="1" s="131">
      <c r="A12" s="137" t="n"/>
      <c r="B12" s="137">
        <f>IF('5. Projected Sales Forecast (2)'!E31&gt;0,'5. Projected Sales Forecast (2)'!A30,"")</f>
        <v/>
      </c>
      <c r="C12" s="137" t="n"/>
      <c r="D12" s="145" t="n"/>
      <c r="E12" s="162">
        <f>IF('5. Projected Sales Forecast (2)'!$E$31&gt;0,'5. Projected Sales Forecast (2)'!$E$31*'5. Projected Sales Forecast (2)'!H38,"")</f>
        <v/>
      </c>
      <c r="F12" s="162">
        <f>IF('5. Projected Sales Forecast (2)'!$E$31&gt;0,'5. Projected Sales Forecast (2)'!$E$31*'5. Projected Sales Forecast (2)'!I38,"")</f>
        <v/>
      </c>
      <c r="G12" s="162">
        <f>IF('5. Projected Sales Forecast (2)'!$E$31&gt;0,'5. Projected Sales Forecast (2)'!$E$31*'5. Projected Sales Forecast (2)'!J38,"")</f>
        <v/>
      </c>
      <c r="H12" s="162">
        <f>IF('5. Projected Sales Forecast (2)'!$E$31&gt;0,'5. Projected Sales Forecast (2)'!$E$31*'5. Projected Sales Forecast (2)'!K38,"")</f>
        <v/>
      </c>
      <c r="I12" s="162">
        <f>IF('5. Projected Sales Forecast (2)'!$E$31&gt;0,'5. Projected Sales Forecast (2)'!$E$31*'5. Projected Sales Forecast (2)'!L38,"")</f>
        <v/>
      </c>
      <c r="J12" s="162">
        <f>IF('5. Projected Sales Forecast (2)'!$E$31&gt;0,'5. Projected Sales Forecast (2)'!$E$31*'5. Projected Sales Forecast (2)'!M38,"")</f>
        <v/>
      </c>
      <c r="K12" s="162">
        <f>IF('5. Projected Sales Forecast (2)'!$E$31&gt;0,'5. Projected Sales Forecast (2)'!$E$31*'5. Projected Sales Forecast (2)'!N38,"")</f>
        <v/>
      </c>
      <c r="L12" s="162">
        <f>IF('5. Projected Sales Forecast (2)'!$E$31&gt;0,'5. Projected Sales Forecast (2)'!$E$31*'5. Projected Sales Forecast (2)'!O38,"")</f>
        <v/>
      </c>
      <c r="M12" s="162">
        <f>IF('5. Projected Sales Forecast (2)'!$E$31&gt;0,'5. Projected Sales Forecast (2)'!$E$31*'5. Projected Sales Forecast (2)'!P38,"")</f>
        <v/>
      </c>
      <c r="N12" s="162">
        <f>IF('5. Projected Sales Forecast (2)'!$E$31&gt;0,'5. Projected Sales Forecast (2)'!$E$31*'5. Projected Sales Forecast (2)'!Q38,"")</f>
        <v/>
      </c>
      <c r="O12" s="162">
        <f>IF('5. Projected Sales Forecast (2)'!$E$31&gt;0,'5. Projected Sales Forecast (2)'!$E$31*'5. Projected Sales Forecast (2)'!R38,"")</f>
        <v/>
      </c>
      <c r="P12" s="162">
        <f>IF('5. Projected Sales Forecast (2)'!$E$31&gt;0,'5. Projected Sales Forecast (2)'!$E$31*'5. Projected Sales Forecast (2)'!S38,"")</f>
        <v/>
      </c>
      <c r="Q12" s="218">
        <f>SUM(E12:P12)</f>
        <v/>
      </c>
    </row>
    <row r="13" ht="12.75" customHeight="1" s="131">
      <c r="A13" s="137" t="inlineStr">
        <is>
          <t>Total Income</t>
        </is>
      </c>
      <c r="B13" s="137" t="n"/>
      <c r="C13" s="137" t="n"/>
      <c r="D13" s="145" t="n"/>
      <c r="E13" s="182">
        <f>SUM(E9:E12)</f>
        <v/>
      </c>
      <c r="F13" s="182">
        <f>SUM(F9:F12)</f>
        <v/>
      </c>
      <c r="G13" s="182">
        <f>SUM(G9:G12)</f>
        <v/>
      </c>
      <c r="H13" s="182">
        <f>SUM(H9:H12)</f>
        <v/>
      </c>
      <c r="I13" s="182">
        <f>SUM(I9:I12)</f>
        <v/>
      </c>
      <c r="J13" s="182">
        <f>SUM(J9:J12)</f>
        <v/>
      </c>
      <c r="K13" s="182">
        <f>SUM(K9:K12)</f>
        <v/>
      </c>
      <c r="L13" s="182">
        <f>SUM(L9:L12)</f>
        <v/>
      </c>
      <c r="M13" s="182">
        <f>SUM(M9:M12)</f>
        <v/>
      </c>
      <c r="N13" s="182">
        <f>SUM(N9:N12)</f>
        <v/>
      </c>
      <c r="O13" s="182">
        <f>SUM(O9:O12)</f>
        <v/>
      </c>
      <c r="P13" s="182">
        <f>SUM(P9:P12)</f>
        <v/>
      </c>
      <c r="Q13" s="182">
        <f>SUM(Q9:Q12)</f>
        <v/>
      </c>
    </row>
    <row r="14" ht="12.75" customHeight="1" s="131">
      <c r="A14" s="137" t="n"/>
      <c r="B14" s="137" t="n"/>
      <c r="C14" s="137" t="n"/>
      <c r="D14" s="145" t="n"/>
      <c r="E14" s="145" t="n"/>
      <c r="F14" s="145" t="n"/>
      <c r="G14" s="145" t="n"/>
      <c r="H14" s="145" t="n"/>
      <c r="I14" s="145" t="n"/>
      <c r="J14" s="145" t="n"/>
      <c r="K14" s="145" t="n"/>
      <c r="L14" s="145" t="n"/>
      <c r="M14" s="145" t="n"/>
      <c r="N14" s="145" t="n"/>
      <c r="O14" s="145" t="n"/>
      <c r="P14" s="145" t="n"/>
      <c r="Q14" s="145" t="n"/>
    </row>
    <row r="15" outlineLevel="1" ht="12.75" customHeight="1" s="131">
      <c r="A15" s="137" t="inlineStr">
        <is>
          <t>Cost of Sales</t>
        </is>
      </c>
      <c r="B15" s="137" t="n"/>
      <c r="C15" s="137" t="n"/>
      <c r="D15" s="145" t="n"/>
      <c r="E15" s="156" t="n"/>
      <c r="F15" s="156" t="n"/>
      <c r="G15" s="156" t="n"/>
      <c r="H15" s="156" t="n"/>
      <c r="I15" s="156" t="n"/>
      <c r="J15" s="156" t="n"/>
      <c r="K15" s="156" t="n"/>
      <c r="L15" s="156" t="n"/>
      <c r="M15" s="156" t="n"/>
      <c r="N15" s="156" t="n"/>
      <c r="O15" s="156" t="n"/>
      <c r="P15" s="156" t="n"/>
      <c r="Q15" s="156" t="n"/>
    </row>
    <row r="16" outlineLevel="1" ht="12.75" customHeight="1" s="131">
      <c r="A16" s="137" t="n"/>
      <c r="B16" s="137">
        <f>B9</f>
        <v/>
      </c>
      <c r="C16" s="137" t="n"/>
      <c r="D16" s="145" t="n"/>
      <c r="E16" s="156">
        <f>'4. Projected Sales Forecast'!$E$10*'4. Projected Sales Forecast'!H16</f>
        <v/>
      </c>
      <c r="F16" s="156">
        <f>'4. Projected Sales Forecast'!$E$10*'4. Projected Sales Forecast'!I16</f>
        <v/>
      </c>
      <c r="G16" s="156">
        <f>'4. Projected Sales Forecast'!$E$10*'4. Projected Sales Forecast'!J16</f>
        <v/>
      </c>
      <c r="H16" s="156">
        <f>'4. Projected Sales Forecast'!$E$10*'4. Projected Sales Forecast'!K16</f>
        <v/>
      </c>
      <c r="I16" s="156">
        <f>'4. Projected Sales Forecast'!$E$10*'4. Projected Sales Forecast'!L16</f>
        <v/>
      </c>
      <c r="J16" s="156">
        <f>'4. Projected Sales Forecast'!$E$10*'4. Projected Sales Forecast'!M16</f>
        <v/>
      </c>
      <c r="K16" s="156">
        <f>'4. Projected Sales Forecast'!$E$10*'4. Projected Sales Forecast'!N16</f>
        <v/>
      </c>
      <c r="L16" s="156">
        <f>'4. Projected Sales Forecast'!$E$10*'4. Projected Sales Forecast'!O16</f>
        <v/>
      </c>
      <c r="M16" s="156">
        <f>'4. Projected Sales Forecast'!$E$10*'4. Projected Sales Forecast'!P16</f>
        <v/>
      </c>
      <c r="N16" s="156">
        <f>'4. Projected Sales Forecast'!$E$10*'4. Projected Sales Forecast'!Q16</f>
        <v/>
      </c>
      <c r="O16" s="156">
        <f>'4. Projected Sales Forecast'!$E$10*'4. Projected Sales Forecast'!R16</f>
        <v/>
      </c>
      <c r="P16" s="156">
        <f>'4. Projected Sales Forecast'!$E$10*'4. Projected Sales Forecast'!S16</f>
        <v/>
      </c>
      <c r="Q16" s="156">
        <f>SUM(E16:P16)</f>
        <v/>
      </c>
    </row>
    <row r="17" outlineLevel="1" ht="12.75" customHeight="1" s="131">
      <c r="A17" s="137" t="n"/>
      <c r="B17" s="137">
        <f>B10</f>
        <v/>
      </c>
      <c r="C17" s="137" t="n"/>
      <c r="D17" s="145" t="n"/>
      <c r="E17" s="182">
        <f>'4. Projected Sales Forecast'!$E$32*'4. Projected Sales Forecast'!H38</f>
        <v/>
      </c>
      <c r="F17" s="182">
        <f>'4. Projected Sales Forecast'!$E$32*'4. Projected Sales Forecast'!I38</f>
        <v/>
      </c>
      <c r="G17" s="182">
        <f>'4. Projected Sales Forecast'!$E$32*'4. Projected Sales Forecast'!J38</f>
        <v/>
      </c>
      <c r="H17" s="182">
        <f>'4. Projected Sales Forecast'!$E$32*'4. Projected Sales Forecast'!K38</f>
        <v/>
      </c>
      <c r="I17" s="182">
        <f>'4. Projected Sales Forecast'!$E$32*'4. Projected Sales Forecast'!L38</f>
        <v/>
      </c>
      <c r="J17" s="182">
        <f>'4. Projected Sales Forecast'!$E$32*'4. Projected Sales Forecast'!M38</f>
        <v/>
      </c>
      <c r="K17" s="182">
        <f>'4. Projected Sales Forecast'!$E$32*'4. Projected Sales Forecast'!N38</f>
        <v/>
      </c>
      <c r="L17" s="182">
        <f>'4. Projected Sales Forecast'!$E$32*'4. Projected Sales Forecast'!O38</f>
        <v/>
      </c>
      <c r="M17" s="182">
        <f>'4. Projected Sales Forecast'!$E$32*'4. Projected Sales Forecast'!P38</f>
        <v/>
      </c>
      <c r="N17" s="182">
        <f>'4. Projected Sales Forecast'!$E$32*'4. Projected Sales Forecast'!Q38</f>
        <v/>
      </c>
      <c r="O17" s="182">
        <f>'4. Projected Sales Forecast'!$E$32*'4. Projected Sales Forecast'!R38</f>
        <v/>
      </c>
      <c r="P17" s="182">
        <f>'4. Projected Sales Forecast'!$E$32*'4. Projected Sales Forecast'!S38</f>
        <v/>
      </c>
      <c r="Q17" s="156">
        <f>SUM(E17:P17)</f>
        <v/>
      </c>
    </row>
    <row r="18" outlineLevel="1" ht="12.75" customHeight="1" s="131">
      <c r="A18" s="137" t="n"/>
      <c r="B18" s="137">
        <f>B11</f>
        <v/>
      </c>
      <c r="C18" s="137" t="n"/>
      <c r="D18" s="145" t="n"/>
      <c r="E18" s="182">
        <f>IF('5. Projected Sales Forecast (2)'!$E$10&gt;0,'5. Projected Sales Forecast (2)'!$E$10*'5. Projected Sales Forecast (2)'!H16,"")</f>
        <v/>
      </c>
      <c r="F18" s="182">
        <f>IF('5. Projected Sales Forecast (2)'!$E$10&gt;0,'5. Projected Sales Forecast (2)'!$E$10*'5. Projected Sales Forecast (2)'!I16,"")</f>
        <v/>
      </c>
      <c r="G18" s="182">
        <f>IF('5. Projected Sales Forecast (2)'!$E$10&gt;0,'5. Projected Sales Forecast (2)'!$E$10*'5. Projected Sales Forecast (2)'!J16,"")</f>
        <v/>
      </c>
      <c r="H18" s="182">
        <f>IF('5. Projected Sales Forecast (2)'!$E$10&gt;0,'5. Projected Sales Forecast (2)'!$E$10*'5. Projected Sales Forecast (2)'!K16,"")</f>
        <v/>
      </c>
      <c r="I18" s="182">
        <f>IF('5. Projected Sales Forecast (2)'!$E$10&gt;0,'5. Projected Sales Forecast (2)'!$E$10*'5. Projected Sales Forecast (2)'!L16,"")</f>
        <v/>
      </c>
      <c r="J18" s="182">
        <f>IF('5. Projected Sales Forecast (2)'!$E$10&gt;0,'5. Projected Sales Forecast (2)'!$E$10*'5. Projected Sales Forecast (2)'!M16,"")</f>
        <v/>
      </c>
      <c r="K18" s="182">
        <f>IF('5. Projected Sales Forecast (2)'!$E$10&gt;0,'5. Projected Sales Forecast (2)'!$E$10*'5. Projected Sales Forecast (2)'!N16,"")</f>
        <v/>
      </c>
      <c r="L18" s="182">
        <f>IF('5. Projected Sales Forecast (2)'!$E$10&gt;0,'5. Projected Sales Forecast (2)'!$E$10*'5. Projected Sales Forecast (2)'!O16,"")</f>
        <v/>
      </c>
      <c r="M18" s="182">
        <f>IF('5. Projected Sales Forecast (2)'!$E$10&gt;0,'5. Projected Sales Forecast (2)'!$E$10*'5. Projected Sales Forecast (2)'!P16,"")</f>
        <v/>
      </c>
      <c r="N18" s="182">
        <f>IF('5. Projected Sales Forecast (2)'!$E$10&gt;0,'5. Projected Sales Forecast (2)'!$E$10*'5. Projected Sales Forecast (2)'!Q16,"")</f>
        <v/>
      </c>
      <c r="O18" s="182">
        <f>IF('5. Projected Sales Forecast (2)'!$E$10&gt;0,'5. Projected Sales Forecast (2)'!$E$10*'5. Projected Sales Forecast (2)'!R16,"")</f>
        <v/>
      </c>
      <c r="P18" s="182">
        <f>IF('5. Projected Sales Forecast (2)'!$E$10&gt;0,'5. Projected Sales Forecast (2)'!$E$10*'5. Projected Sales Forecast (2)'!S16,"")</f>
        <v/>
      </c>
      <c r="Q18" s="156">
        <f>SUM(E18:P18)</f>
        <v/>
      </c>
    </row>
    <row r="19" outlineLevel="1" ht="12.75" customHeight="1" s="131">
      <c r="A19" s="137" t="n"/>
      <c r="B19" s="137">
        <f>B12</f>
        <v/>
      </c>
      <c r="C19" s="137" t="n"/>
      <c r="D19" s="145" t="n"/>
      <c r="E19" s="162">
        <f>IF('5. Projected Sales Forecast (2)'!$E$32&gt;0,'5. Projected Sales Forecast (2)'!$E$32*'5. Projected Sales Forecast (2)'!H38,"")</f>
        <v/>
      </c>
      <c r="F19" s="162">
        <f>IF('5. Projected Sales Forecast (2)'!$E$32&gt;0,'5. Projected Sales Forecast (2)'!$E$32*'5. Projected Sales Forecast (2)'!I38,"")</f>
        <v/>
      </c>
      <c r="G19" s="162">
        <f>IF('5. Projected Sales Forecast (2)'!$E$32&gt;0,'5. Projected Sales Forecast (2)'!$E$32*'5. Projected Sales Forecast (2)'!J38,"")</f>
        <v/>
      </c>
      <c r="H19" s="162">
        <f>IF('5. Projected Sales Forecast (2)'!$E$32&gt;0,'5. Projected Sales Forecast (2)'!$E$32*'5. Projected Sales Forecast (2)'!K38,"")</f>
        <v/>
      </c>
      <c r="I19" s="162">
        <f>IF('5. Projected Sales Forecast (2)'!$E$32&gt;0,'5. Projected Sales Forecast (2)'!$E$32*'5. Projected Sales Forecast (2)'!L38,"")</f>
        <v/>
      </c>
      <c r="J19" s="162">
        <f>IF('5. Projected Sales Forecast (2)'!$E$32&gt;0,'5. Projected Sales Forecast (2)'!$E$32*'5. Projected Sales Forecast (2)'!M38,"")</f>
        <v/>
      </c>
      <c r="K19" s="162">
        <f>IF('5. Projected Sales Forecast (2)'!$E$32&gt;0,'5. Projected Sales Forecast (2)'!$E$32*'5. Projected Sales Forecast (2)'!N38,"")</f>
        <v/>
      </c>
      <c r="L19" s="162">
        <f>IF('5. Projected Sales Forecast (2)'!$E$32&gt;0,'5. Projected Sales Forecast (2)'!$E$32*'5. Projected Sales Forecast (2)'!O38,"")</f>
        <v/>
      </c>
      <c r="M19" s="162">
        <f>IF('5. Projected Sales Forecast (2)'!$E$32&gt;0,'5. Projected Sales Forecast (2)'!$E$32*'5. Projected Sales Forecast (2)'!P38,"")</f>
        <v/>
      </c>
      <c r="N19" s="162">
        <f>IF('5. Projected Sales Forecast (2)'!$E$32&gt;0,'5. Projected Sales Forecast (2)'!$E$32*'5. Projected Sales Forecast (2)'!Q38,"")</f>
        <v/>
      </c>
      <c r="O19" s="162">
        <f>IF('5. Projected Sales Forecast (2)'!$E$32&gt;0,'5. Projected Sales Forecast (2)'!$E$32*'5. Projected Sales Forecast (2)'!R38,"")</f>
        <v/>
      </c>
      <c r="P19" s="162">
        <f>IF('5. Projected Sales Forecast (2)'!$E$32&gt;0,'5. Projected Sales Forecast (2)'!$E$32*'5. Projected Sales Forecast (2)'!S38,"")</f>
        <v/>
      </c>
      <c r="Q19" s="162">
        <f>SUM(E19:P19)</f>
        <v/>
      </c>
    </row>
    <row r="20" ht="12.75" customHeight="1" s="131">
      <c r="A20" s="137" t="inlineStr">
        <is>
          <t>Total Cost of Sales</t>
        </is>
      </c>
      <c r="B20" s="137" t="n"/>
      <c r="C20" s="137" t="n"/>
      <c r="D20" s="145" t="n"/>
      <c r="E20" s="156">
        <f>SUM(E16:E19)</f>
        <v/>
      </c>
      <c r="F20" s="156">
        <f>SUM(F16:F19)</f>
        <v/>
      </c>
      <c r="G20" s="156">
        <f>SUM(G16:G19)</f>
        <v/>
      </c>
      <c r="H20" s="156">
        <f>SUM(H16:H19)</f>
        <v/>
      </c>
      <c r="I20" s="156">
        <f>SUM(I16:I19)</f>
        <v/>
      </c>
      <c r="J20" s="156">
        <f>SUM(J16:J19)</f>
        <v/>
      </c>
      <c r="K20" s="156">
        <f>SUM(K16:K19)</f>
        <v/>
      </c>
      <c r="L20" s="156">
        <f>SUM(L16:L19)</f>
        <v/>
      </c>
      <c r="M20" s="156">
        <f>SUM(M16:M19)</f>
        <v/>
      </c>
      <c r="N20" s="156">
        <f>SUM(N16:N19)</f>
        <v/>
      </c>
      <c r="O20" s="156">
        <f>SUM(O16:O19)</f>
        <v/>
      </c>
      <c r="P20" s="156">
        <f>SUM(P16:P19)</f>
        <v/>
      </c>
      <c r="Q20" s="156">
        <f>SUM(Q16:Q19)</f>
        <v/>
      </c>
    </row>
    <row r="21" ht="12.75" customHeight="1" s="131">
      <c r="A21" s="137" t="n"/>
      <c r="B21" s="137" t="n"/>
      <c r="C21" s="137" t="n"/>
      <c r="D21" s="145" t="n"/>
      <c r="E21" s="182" t="n"/>
      <c r="F21" s="182" t="n"/>
      <c r="G21" s="182" t="n"/>
      <c r="H21" s="182" t="n"/>
      <c r="I21" s="182" t="n"/>
      <c r="J21" s="182" t="n"/>
      <c r="K21" s="182" t="n"/>
      <c r="L21" s="182" t="n"/>
      <c r="M21" s="182" t="n"/>
      <c r="N21" s="182" t="n"/>
      <c r="O21" s="182" t="n"/>
      <c r="P21" s="182" t="n"/>
      <c r="Q21" s="182" t="n"/>
    </row>
    <row r="22" ht="12.75" customHeight="1" s="131">
      <c r="A22" s="137" t="inlineStr">
        <is>
          <t>Gross Margin</t>
        </is>
      </c>
      <c r="B22" s="137" t="n"/>
      <c r="C22" s="137" t="n"/>
      <c r="D22" s="145" t="n"/>
      <c r="E22" s="218">
        <f>E13-E20</f>
        <v/>
      </c>
      <c r="F22" s="218">
        <f>F13-F20</f>
        <v/>
      </c>
      <c r="G22" s="218">
        <f>G13-G20</f>
        <v/>
      </c>
      <c r="H22" s="218">
        <f>H13-H20</f>
        <v/>
      </c>
      <c r="I22" s="218">
        <f>I13-I20</f>
        <v/>
      </c>
      <c r="J22" s="218">
        <f>J13-J20</f>
        <v/>
      </c>
      <c r="K22" s="218">
        <f>K13-K20</f>
        <v/>
      </c>
      <c r="L22" s="218">
        <f>L13-L20</f>
        <v/>
      </c>
      <c r="M22" s="218">
        <f>M13-M20</f>
        <v/>
      </c>
      <c r="N22" s="218">
        <f>N13-N20</f>
        <v/>
      </c>
      <c r="O22" s="218">
        <f>O13-O20</f>
        <v/>
      </c>
      <c r="P22" s="218">
        <f>P13-P20</f>
        <v/>
      </c>
      <c r="Q22" s="218">
        <f>Q13-Q20</f>
        <v/>
      </c>
    </row>
    <row r="23" ht="12.75" customHeight="1" s="131">
      <c r="A23" s="137" t="n"/>
      <c r="B23" s="137" t="n"/>
      <c r="C23" s="137" t="n"/>
      <c r="D23" s="145" t="n"/>
      <c r="E23" s="156" t="n"/>
      <c r="F23" s="156" t="n"/>
      <c r="G23" s="156" t="n"/>
      <c r="H23" s="156" t="n"/>
      <c r="I23" s="156" t="n"/>
      <c r="J23" s="156" t="n"/>
      <c r="K23" s="156" t="n"/>
      <c r="L23" s="156" t="n"/>
      <c r="M23" s="156" t="n"/>
      <c r="N23" s="156" t="n"/>
      <c r="O23" s="156" t="n"/>
      <c r="P23" s="156" t="n"/>
      <c r="Q23" s="156" t="n"/>
    </row>
    <row r="24" hidden="1" outlineLevel="1" ht="12.75" customHeight="1" s="131">
      <c r="A24" s="137">
        <f>'2. Salaries and Wages'!A10</f>
        <v/>
      </c>
      <c r="B24" s="137" t="n"/>
      <c r="C24" s="137" t="n"/>
      <c r="D24" s="145" t="n"/>
      <c r="E24" s="156" t="n"/>
      <c r="F24" s="156" t="n"/>
      <c r="G24" s="156" t="n"/>
      <c r="H24" s="156" t="n"/>
      <c r="I24" s="156" t="n"/>
      <c r="J24" s="156" t="n"/>
      <c r="K24" s="156" t="n"/>
      <c r="L24" s="156" t="n"/>
      <c r="M24" s="156" t="n"/>
      <c r="N24" s="156" t="n"/>
      <c r="O24" s="156" t="n"/>
      <c r="P24" s="156" t="n"/>
      <c r="Q24" s="156" t="n"/>
    </row>
    <row r="25" hidden="1" outlineLevel="1" ht="12.75" customHeight="1" s="131">
      <c r="A25" s="137" t="n"/>
      <c r="B25" s="137">
        <f>'2. Salaries and Wages'!B11</f>
        <v/>
      </c>
      <c r="C25" s="137" t="n"/>
      <c r="D25" s="145" t="n"/>
      <c r="E25" s="156">
        <f>'2. Salaries and Wages'!O11/12</f>
        <v/>
      </c>
      <c r="F25" s="156">
        <f>E25</f>
        <v/>
      </c>
      <c r="G25" s="156">
        <f>F25</f>
        <v/>
      </c>
      <c r="H25" s="156">
        <f>G25</f>
        <v/>
      </c>
      <c r="I25" s="156">
        <f>H25</f>
        <v/>
      </c>
      <c r="J25" s="156">
        <f>I25</f>
        <v/>
      </c>
      <c r="K25" s="156">
        <f>J25</f>
        <v/>
      </c>
      <c r="L25" s="156">
        <f>K25</f>
        <v/>
      </c>
      <c r="M25" s="156">
        <f>L25</f>
        <v/>
      </c>
      <c r="N25" s="156">
        <f>M25</f>
        <v/>
      </c>
      <c r="O25" s="156">
        <f>N25</f>
        <v/>
      </c>
      <c r="P25" s="156">
        <f>O25</f>
        <v/>
      </c>
      <c r="Q25" s="156">
        <f>SUM(E25:P25)</f>
        <v/>
      </c>
    </row>
    <row r="26" hidden="1" outlineLevel="1" ht="12.75" customHeight="1" s="131">
      <c r="A26" s="137" t="n"/>
      <c r="B26" s="137">
        <f>'2. Salaries and Wages'!B12</f>
        <v/>
      </c>
      <c r="C26" s="137" t="n"/>
      <c r="D26" s="145" t="n"/>
      <c r="E26" s="156">
        <f>'2. Salaries and Wages'!O12/12</f>
        <v/>
      </c>
      <c r="F26" s="156">
        <f>E26</f>
        <v/>
      </c>
      <c r="G26" s="156">
        <f>F26</f>
        <v/>
      </c>
      <c r="H26" s="156">
        <f>G26</f>
        <v/>
      </c>
      <c r="I26" s="156">
        <f>H26</f>
        <v/>
      </c>
      <c r="J26" s="156">
        <f>I26</f>
        <v/>
      </c>
      <c r="K26" s="156">
        <f>J26</f>
        <v/>
      </c>
      <c r="L26" s="156">
        <f>K26</f>
        <v/>
      </c>
      <c r="M26" s="156">
        <f>L26</f>
        <v/>
      </c>
      <c r="N26" s="156">
        <f>M26</f>
        <v/>
      </c>
      <c r="O26" s="156">
        <f>N26</f>
        <v/>
      </c>
      <c r="P26" s="156">
        <f>O26</f>
        <v/>
      </c>
      <c r="Q26" s="156">
        <f>SUM(E26:P26)</f>
        <v/>
      </c>
    </row>
    <row r="27" hidden="1" outlineLevel="1" ht="12.75" customHeight="1" s="131">
      <c r="A27" s="137" t="n"/>
      <c r="B27" s="137">
        <f>'2. Salaries and Wages'!C14</f>
        <v/>
      </c>
      <c r="C27" s="137" t="n"/>
      <c r="D27" s="145" t="n"/>
      <c r="E27" s="156">
        <f>'2. Salaries and Wages'!O14/12</f>
        <v/>
      </c>
      <c r="F27" s="156">
        <f>E27</f>
        <v/>
      </c>
      <c r="G27" s="156">
        <f>F27</f>
        <v/>
      </c>
      <c r="H27" s="156">
        <f>G27</f>
        <v/>
      </c>
      <c r="I27" s="156">
        <f>H27</f>
        <v/>
      </c>
      <c r="J27" s="156">
        <f>I27</f>
        <v/>
      </c>
      <c r="K27" s="156">
        <f>J27</f>
        <v/>
      </c>
      <c r="L27" s="156">
        <f>K27</f>
        <v/>
      </c>
      <c r="M27" s="156">
        <f>L27</f>
        <v/>
      </c>
      <c r="N27" s="156">
        <f>M27</f>
        <v/>
      </c>
      <c r="O27" s="156">
        <f>N27</f>
        <v/>
      </c>
      <c r="P27" s="156">
        <f>O27</f>
        <v/>
      </c>
      <c r="Q27" s="156">
        <f>SUM(E27:P27)</f>
        <v/>
      </c>
    </row>
    <row r="28" hidden="1" outlineLevel="1" ht="12.75" customHeight="1" s="131">
      <c r="A28" s="137" t="n"/>
      <c r="B28" s="137">
        <f>'2. Salaries and Wages'!C17</f>
        <v/>
      </c>
      <c r="C28" s="137" t="n"/>
      <c r="D28" s="145" t="n"/>
      <c r="E28" s="156">
        <f>'2. Salaries and Wages'!O17/12</f>
        <v/>
      </c>
      <c r="F28" s="156">
        <f>E28</f>
        <v/>
      </c>
      <c r="G28" s="156">
        <f>F28</f>
        <v/>
      </c>
      <c r="H28" s="156">
        <f>G28</f>
        <v/>
      </c>
      <c r="I28" s="156">
        <f>H28</f>
        <v/>
      </c>
      <c r="J28" s="156">
        <f>I28</f>
        <v/>
      </c>
      <c r="K28" s="156">
        <f>J28</f>
        <v/>
      </c>
      <c r="L28" s="156">
        <f>K28</f>
        <v/>
      </c>
      <c r="M28" s="156">
        <f>L28</f>
        <v/>
      </c>
      <c r="N28" s="156">
        <f>M28</f>
        <v/>
      </c>
      <c r="O28" s="156">
        <f>N28</f>
        <v/>
      </c>
      <c r="P28" s="156">
        <f>O28</f>
        <v/>
      </c>
      <c r="Q28" s="156">
        <f>SUM(E28:P28)</f>
        <v/>
      </c>
    </row>
    <row r="29" hidden="1" outlineLevel="1" ht="12.75" customHeight="1" s="131">
      <c r="A29" s="137" t="n"/>
      <c r="B29" s="137">
        <f>'2. Salaries and Wages'!B20</f>
        <v/>
      </c>
      <c r="C29" s="137" t="n"/>
      <c r="D29" s="145" t="n"/>
      <c r="E29" s="156">
        <f>'2. Salaries and Wages'!O20/12</f>
        <v/>
      </c>
      <c r="F29" s="156">
        <f>E29</f>
        <v/>
      </c>
      <c r="G29" s="156">
        <f>F29</f>
        <v/>
      </c>
      <c r="H29" s="156">
        <f>G29</f>
        <v/>
      </c>
      <c r="I29" s="156">
        <f>H29</f>
        <v/>
      </c>
      <c r="J29" s="156">
        <f>I29</f>
        <v/>
      </c>
      <c r="K29" s="156">
        <f>J29</f>
        <v/>
      </c>
      <c r="L29" s="156">
        <f>K29</f>
        <v/>
      </c>
      <c r="M29" s="156">
        <f>L29</f>
        <v/>
      </c>
      <c r="N29" s="156">
        <f>M29</f>
        <v/>
      </c>
      <c r="O29" s="156">
        <f>N29</f>
        <v/>
      </c>
      <c r="P29" s="156">
        <f>O29</f>
        <v/>
      </c>
      <c r="Q29" s="156">
        <f>SUM(E29:P29)</f>
        <v/>
      </c>
    </row>
    <row r="30" hidden="1" outlineLevel="1" ht="12.75" customHeight="1" s="131">
      <c r="A30" s="137" t="n"/>
      <c r="B30" s="137">
        <f>'2. Salaries and Wages'!A23</f>
        <v/>
      </c>
      <c r="C30" s="137" t="n"/>
      <c r="D30" s="145" t="n"/>
      <c r="E30" s="162">
        <f>'2. Salaries and Wages'!O32/12</f>
        <v/>
      </c>
      <c r="F30" s="162">
        <f>E30</f>
        <v/>
      </c>
      <c r="G30" s="162">
        <f>F30</f>
        <v/>
      </c>
      <c r="H30" s="162">
        <f>G30</f>
        <v/>
      </c>
      <c r="I30" s="162">
        <f>H30</f>
        <v/>
      </c>
      <c r="J30" s="162">
        <f>I30</f>
        <v/>
      </c>
      <c r="K30" s="162">
        <f>J30</f>
        <v/>
      </c>
      <c r="L30" s="162">
        <f>K30</f>
        <v/>
      </c>
      <c r="M30" s="162">
        <f>L30</f>
        <v/>
      </c>
      <c r="N30" s="162">
        <f>M30</f>
        <v/>
      </c>
      <c r="O30" s="162">
        <f>N30</f>
        <v/>
      </c>
      <c r="P30" s="162">
        <f>O30</f>
        <v/>
      </c>
      <c r="Q30" s="162">
        <f>SUM(E30:P30)</f>
        <v/>
      </c>
    </row>
    <row r="31" ht="12.75" customHeight="1" s="131">
      <c r="A31" s="137" t="inlineStr">
        <is>
          <t>Total Salary and Wages</t>
        </is>
      </c>
      <c r="B31" s="137" t="n"/>
      <c r="C31" s="137" t="n"/>
      <c r="D31" s="145" t="n"/>
      <c r="E31" s="156">
        <f>SUM(E25:E30)</f>
        <v/>
      </c>
      <c r="F31" s="156">
        <f>SUM(F25:F30)</f>
        <v/>
      </c>
      <c r="G31" s="156">
        <f>SUM(G25:G30)</f>
        <v/>
      </c>
      <c r="H31" s="156">
        <f>SUM(H25:H30)</f>
        <v/>
      </c>
      <c r="I31" s="156">
        <f>SUM(I25:I30)</f>
        <v/>
      </c>
      <c r="J31" s="156">
        <f>SUM(J25:J30)</f>
        <v/>
      </c>
      <c r="K31" s="156">
        <f>SUM(K25:K30)</f>
        <v/>
      </c>
      <c r="L31" s="156">
        <f>SUM(L25:L30)</f>
        <v/>
      </c>
      <c r="M31" s="156">
        <f>SUM(M25:M30)</f>
        <v/>
      </c>
      <c r="N31" s="156">
        <f>SUM(N25:N30)</f>
        <v/>
      </c>
      <c r="O31" s="156">
        <f>SUM(O25:O30)</f>
        <v/>
      </c>
      <c r="P31" s="156">
        <f>SUM(P25:P30)</f>
        <v/>
      </c>
      <c r="Q31" s="156">
        <f>SUM(Q25:Q30)</f>
        <v/>
      </c>
    </row>
    <row r="32" ht="12.75" customHeight="1" s="131">
      <c r="A32" s="137" t="n"/>
      <c r="B32" s="137" t="n"/>
      <c r="C32" s="137" t="n"/>
      <c r="D32" s="145" t="n"/>
      <c r="E32" s="156" t="n"/>
      <c r="F32" s="156" t="n"/>
      <c r="G32" s="156" t="n"/>
      <c r="H32" s="156" t="n"/>
      <c r="I32" s="156" t="n"/>
      <c r="J32" s="156" t="n"/>
      <c r="K32" s="156" t="n"/>
      <c r="L32" s="156" t="n"/>
      <c r="M32" s="156" t="n"/>
      <c r="N32" s="156" t="n"/>
      <c r="O32" s="156" t="n"/>
      <c r="P32" s="156" t="n"/>
      <c r="Q32" s="156" t="n"/>
    </row>
    <row r="33" outlineLevel="1" ht="12.75" customHeight="1" s="131">
      <c r="A33" s="137" t="inlineStr">
        <is>
          <t>Fixed Business Expenses</t>
        </is>
      </c>
      <c r="B33" s="137" t="n"/>
      <c r="C33" s="137" t="n"/>
      <c r="D33" s="145" t="n"/>
      <c r="E33" s="156" t="n"/>
      <c r="F33" s="156" t="n"/>
      <c r="G33" s="156" t="n"/>
      <c r="H33" s="156" t="n"/>
      <c r="I33" s="156" t="n"/>
      <c r="J33" s="156" t="n"/>
      <c r="K33" s="156" t="n"/>
      <c r="L33" s="156" t="n"/>
      <c r="M33" s="156" t="n"/>
      <c r="N33" s="156" t="n"/>
      <c r="O33" s="156" t="n"/>
      <c r="P33" s="156" t="n"/>
      <c r="Q33" s="156" t="n"/>
    </row>
    <row r="34" outlineLevel="1" ht="12.75" customHeight="1" s="131">
      <c r="A34" s="137" t="n"/>
      <c r="B34" s="137">
        <f>'3. Fixed Operating Expenses'!B11</f>
        <v/>
      </c>
      <c r="C34" s="137" t="n"/>
      <c r="D34" s="145" t="n"/>
      <c r="E34" s="156">
        <f>'3. Fixed Operating Expenses'!K11/12</f>
        <v/>
      </c>
      <c r="F34" s="156">
        <f>E34</f>
        <v/>
      </c>
      <c r="G34" s="156">
        <f>F34</f>
        <v/>
      </c>
      <c r="H34" s="156">
        <f>G34</f>
        <v/>
      </c>
      <c r="I34" s="156">
        <f>H34</f>
        <v/>
      </c>
      <c r="J34" s="156">
        <f>I34</f>
        <v/>
      </c>
      <c r="K34" s="156">
        <f>J34</f>
        <v/>
      </c>
      <c r="L34" s="156">
        <f>K34</f>
        <v/>
      </c>
      <c r="M34" s="156">
        <f>L34</f>
        <v/>
      </c>
      <c r="N34" s="156">
        <f>M34</f>
        <v/>
      </c>
      <c r="O34" s="156">
        <f>N34</f>
        <v/>
      </c>
      <c r="P34" s="156">
        <f>O34</f>
        <v/>
      </c>
      <c r="Q34" s="156">
        <f>SUM(E34:P34)</f>
        <v/>
      </c>
    </row>
    <row r="35" outlineLevel="1" ht="12.75" customHeight="1" s="131">
      <c r="A35" s="137" t="n"/>
      <c r="B35" s="137">
        <f>'3. Fixed Operating Expenses'!B12</f>
        <v/>
      </c>
      <c r="C35" s="137" t="n"/>
      <c r="D35" s="145" t="n"/>
      <c r="E35" s="156">
        <f>'3. Fixed Operating Expenses'!K12/12</f>
        <v/>
      </c>
      <c r="F35" s="156">
        <f>E35</f>
        <v/>
      </c>
      <c r="G35" s="156">
        <f>F35</f>
        <v/>
      </c>
      <c r="H35" s="156">
        <f>G35</f>
        <v/>
      </c>
      <c r="I35" s="156">
        <f>H35</f>
        <v/>
      </c>
      <c r="J35" s="156">
        <f>I35</f>
        <v/>
      </c>
      <c r="K35" s="156">
        <f>J35</f>
        <v/>
      </c>
      <c r="L35" s="156">
        <f>K35</f>
        <v/>
      </c>
      <c r="M35" s="156">
        <f>L35</f>
        <v/>
      </c>
      <c r="N35" s="156">
        <f>M35</f>
        <v/>
      </c>
      <c r="O35" s="156">
        <f>N35</f>
        <v/>
      </c>
      <c r="P35" s="156">
        <f>O35</f>
        <v/>
      </c>
      <c r="Q35" s="156">
        <f>SUM(E35:P35)</f>
        <v/>
      </c>
    </row>
    <row r="36" outlineLevel="1" ht="12.75" customHeight="1" s="131">
      <c r="A36" s="137" t="n"/>
      <c r="B36" s="137">
        <f>'3. Fixed Operating Expenses'!B13</f>
        <v/>
      </c>
      <c r="C36" s="137" t="n"/>
      <c r="D36" s="145" t="n"/>
      <c r="E36" s="156">
        <f>'3. Fixed Operating Expenses'!K13/12</f>
        <v/>
      </c>
      <c r="F36" s="156">
        <f>E36</f>
        <v/>
      </c>
      <c r="G36" s="156">
        <f>F36</f>
        <v/>
      </c>
      <c r="H36" s="156">
        <f>G36</f>
        <v/>
      </c>
      <c r="I36" s="156">
        <f>H36</f>
        <v/>
      </c>
      <c r="J36" s="156">
        <f>I36</f>
        <v/>
      </c>
      <c r="K36" s="156">
        <f>J36</f>
        <v/>
      </c>
      <c r="L36" s="156">
        <f>K36</f>
        <v/>
      </c>
      <c r="M36" s="156">
        <f>L36</f>
        <v/>
      </c>
      <c r="N36" s="156">
        <f>M36</f>
        <v/>
      </c>
      <c r="O36" s="156">
        <f>N36</f>
        <v/>
      </c>
      <c r="P36" s="156">
        <f>O36</f>
        <v/>
      </c>
      <c r="Q36" s="156">
        <f>SUM(E36:P36)</f>
        <v/>
      </c>
    </row>
    <row r="37" outlineLevel="1" ht="12.75" customHeight="1" s="131">
      <c r="A37" s="137" t="n"/>
      <c r="B37" s="137">
        <f>'3. Fixed Operating Expenses'!B14</f>
        <v/>
      </c>
      <c r="C37" s="137" t="n"/>
      <c r="D37" s="145" t="n"/>
      <c r="E37" s="156">
        <f>'3. Fixed Operating Expenses'!K14/12</f>
        <v/>
      </c>
      <c r="F37" s="156">
        <f>E37</f>
        <v/>
      </c>
      <c r="G37" s="156">
        <f>F37</f>
        <v/>
      </c>
      <c r="H37" s="156">
        <f>G37</f>
        <v/>
      </c>
      <c r="I37" s="156">
        <f>H37</f>
        <v/>
      </c>
      <c r="J37" s="156">
        <f>I37</f>
        <v/>
      </c>
      <c r="K37" s="156">
        <f>J37</f>
        <v/>
      </c>
      <c r="L37" s="156">
        <f>K37</f>
        <v/>
      </c>
      <c r="M37" s="156">
        <f>L37</f>
        <v/>
      </c>
      <c r="N37" s="156">
        <f>M37</f>
        <v/>
      </c>
      <c r="O37" s="156">
        <f>N37</f>
        <v/>
      </c>
      <c r="P37" s="156">
        <f>O37</f>
        <v/>
      </c>
      <c r="Q37" s="156">
        <f>SUM(E37:P37)</f>
        <v/>
      </c>
    </row>
    <row r="38" outlineLevel="1" ht="12.75" customHeight="1" s="131">
      <c r="A38" s="137" t="n"/>
      <c r="B38" s="137">
        <f>'3. Fixed Operating Expenses'!B15</f>
        <v/>
      </c>
      <c r="C38" s="137" t="n"/>
      <c r="D38" s="145" t="n"/>
      <c r="E38" s="156">
        <f>'3. Fixed Operating Expenses'!K15/12</f>
        <v/>
      </c>
      <c r="F38" s="156">
        <f>E38</f>
        <v/>
      </c>
      <c r="G38" s="156">
        <f>F38</f>
        <v/>
      </c>
      <c r="H38" s="156">
        <f>G38</f>
        <v/>
      </c>
      <c r="I38" s="156">
        <f>H38</f>
        <v/>
      </c>
      <c r="J38" s="156">
        <f>I38</f>
        <v/>
      </c>
      <c r="K38" s="156">
        <f>J38</f>
        <v/>
      </c>
      <c r="L38" s="156">
        <f>K38</f>
        <v/>
      </c>
      <c r="M38" s="156">
        <f>L38</f>
        <v/>
      </c>
      <c r="N38" s="156">
        <f>M38</f>
        <v/>
      </c>
      <c r="O38" s="156">
        <f>N38</f>
        <v/>
      </c>
      <c r="P38" s="156">
        <f>O38</f>
        <v/>
      </c>
      <c r="Q38" s="156">
        <f>SUM(E38:P38)</f>
        <v/>
      </c>
    </row>
    <row r="39" outlineLevel="1" ht="12.75" customHeight="1" s="131">
      <c r="A39" s="137" t="n"/>
      <c r="B39" s="137">
        <f>'3. Fixed Operating Expenses'!B16</f>
        <v/>
      </c>
      <c r="C39" s="137" t="n"/>
      <c r="D39" s="145" t="n"/>
      <c r="E39" s="156">
        <f>'3. Fixed Operating Expenses'!K16/12</f>
        <v/>
      </c>
      <c r="F39" s="156">
        <f>E39</f>
        <v/>
      </c>
      <c r="G39" s="156">
        <f>F39</f>
        <v/>
      </c>
      <c r="H39" s="156">
        <f>G39</f>
        <v/>
      </c>
      <c r="I39" s="156">
        <f>H39</f>
        <v/>
      </c>
      <c r="J39" s="156">
        <f>I39</f>
        <v/>
      </c>
      <c r="K39" s="156">
        <f>J39</f>
        <v/>
      </c>
      <c r="L39" s="156">
        <f>K39</f>
        <v/>
      </c>
      <c r="M39" s="156">
        <f>L39</f>
        <v/>
      </c>
      <c r="N39" s="156">
        <f>M39</f>
        <v/>
      </c>
      <c r="O39" s="156">
        <f>N39</f>
        <v/>
      </c>
      <c r="P39" s="156">
        <f>O39</f>
        <v/>
      </c>
      <c r="Q39" s="156">
        <f>SUM(E39:P39)</f>
        <v/>
      </c>
    </row>
    <row r="40" outlineLevel="1" ht="12.75" customHeight="1" s="131">
      <c r="A40" s="137" t="n"/>
      <c r="B40" s="137">
        <f>'3. Fixed Operating Expenses'!B17</f>
        <v/>
      </c>
      <c r="C40" s="137" t="n"/>
      <c r="D40" s="145" t="n"/>
      <c r="E40" s="156">
        <f>'3. Fixed Operating Expenses'!K17/12</f>
        <v/>
      </c>
      <c r="F40" s="156">
        <f>E40</f>
        <v/>
      </c>
      <c r="G40" s="156">
        <f>F40</f>
        <v/>
      </c>
      <c r="H40" s="156">
        <f>G40</f>
        <v/>
      </c>
      <c r="I40" s="156">
        <f>H40</f>
        <v/>
      </c>
      <c r="J40" s="156">
        <f>I40</f>
        <v/>
      </c>
      <c r="K40" s="156">
        <f>J40</f>
        <v/>
      </c>
      <c r="L40" s="156">
        <f>K40</f>
        <v/>
      </c>
      <c r="M40" s="156">
        <f>L40</f>
        <v/>
      </c>
      <c r="N40" s="156">
        <f>M40</f>
        <v/>
      </c>
      <c r="O40" s="156">
        <f>N40</f>
        <v/>
      </c>
      <c r="P40" s="156">
        <f>O40</f>
        <v/>
      </c>
      <c r="Q40" s="156">
        <f>SUM(E40:P40)</f>
        <v/>
      </c>
    </row>
    <row r="41" outlineLevel="1" ht="12.75" customHeight="1" s="131">
      <c r="A41" s="137" t="n"/>
      <c r="B41" s="137">
        <f>'3. Fixed Operating Expenses'!B18</f>
        <v/>
      </c>
      <c r="C41" s="137" t="n"/>
      <c r="D41" s="145" t="n"/>
      <c r="E41" s="156">
        <f>'3. Fixed Operating Expenses'!K18/12</f>
        <v/>
      </c>
      <c r="F41" s="156">
        <f>E41</f>
        <v/>
      </c>
      <c r="G41" s="156">
        <f>F41</f>
        <v/>
      </c>
      <c r="H41" s="156">
        <f>G41</f>
        <v/>
      </c>
      <c r="I41" s="156">
        <f>H41</f>
        <v/>
      </c>
      <c r="J41" s="156">
        <f>I41</f>
        <v/>
      </c>
      <c r="K41" s="156">
        <f>J41</f>
        <v/>
      </c>
      <c r="L41" s="156">
        <f>K41</f>
        <v/>
      </c>
      <c r="M41" s="156">
        <f>L41</f>
        <v/>
      </c>
      <c r="N41" s="156">
        <f>M41</f>
        <v/>
      </c>
      <c r="O41" s="156">
        <f>N41</f>
        <v/>
      </c>
      <c r="P41" s="156">
        <f>O41</f>
        <v/>
      </c>
      <c r="Q41" s="156">
        <f>SUM(E41:P41)</f>
        <v/>
      </c>
    </row>
    <row r="42" outlineLevel="1" ht="12.75" customHeight="1" s="131">
      <c r="A42" s="137" t="n"/>
      <c r="B42" s="137">
        <f>'3. Fixed Operating Expenses'!B19</f>
        <v/>
      </c>
      <c r="C42" s="137" t="n"/>
      <c r="D42" s="145" t="n"/>
      <c r="E42" s="156">
        <f>'3. Fixed Operating Expenses'!K19/12</f>
        <v/>
      </c>
      <c r="F42" s="156">
        <f>E42</f>
        <v/>
      </c>
      <c r="G42" s="156">
        <f>F42</f>
        <v/>
      </c>
      <c r="H42" s="156">
        <f>G42</f>
        <v/>
      </c>
      <c r="I42" s="156">
        <f>H42</f>
        <v/>
      </c>
      <c r="J42" s="156">
        <f>I42</f>
        <v/>
      </c>
      <c r="K42" s="156">
        <f>J42</f>
        <v/>
      </c>
      <c r="L42" s="156">
        <f>K42</f>
        <v/>
      </c>
      <c r="M42" s="156">
        <f>L42</f>
        <v/>
      </c>
      <c r="N42" s="156">
        <f>M42</f>
        <v/>
      </c>
      <c r="O42" s="156">
        <f>N42</f>
        <v/>
      </c>
      <c r="P42" s="156">
        <f>O42</f>
        <v/>
      </c>
      <c r="Q42" s="156">
        <f>SUM(E42:P42)</f>
        <v/>
      </c>
    </row>
    <row r="43" outlineLevel="1" ht="12.75" customHeight="1" s="131">
      <c r="A43" s="137" t="n"/>
      <c r="B43" s="137">
        <f>'3. Fixed Operating Expenses'!B20</f>
        <v/>
      </c>
      <c r="C43" s="137" t="n"/>
      <c r="D43" s="145" t="n"/>
      <c r="E43" s="156">
        <f>'3. Fixed Operating Expenses'!K20/12</f>
        <v/>
      </c>
      <c r="F43" s="156">
        <f>E43</f>
        <v/>
      </c>
      <c r="G43" s="156">
        <f>F43</f>
        <v/>
      </c>
      <c r="H43" s="156">
        <f>G43</f>
        <v/>
      </c>
      <c r="I43" s="156">
        <f>H43</f>
        <v/>
      </c>
      <c r="J43" s="156">
        <f>I43</f>
        <v/>
      </c>
      <c r="K43" s="156">
        <f>J43</f>
        <v/>
      </c>
      <c r="L43" s="156">
        <f>K43</f>
        <v/>
      </c>
      <c r="M43" s="156">
        <f>L43</f>
        <v/>
      </c>
      <c r="N43" s="156">
        <f>M43</f>
        <v/>
      </c>
      <c r="O43" s="156">
        <f>N43</f>
        <v/>
      </c>
      <c r="P43" s="156">
        <f>O43</f>
        <v/>
      </c>
      <c r="Q43" s="156">
        <f>SUM(E43:P43)</f>
        <v/>
      </c>
    </row>
    <row r="44" outlineLevel="1" ht="12.75" customHeight="1" s="131">
      <c r="A44" s="137" t="n"/>
      <c r="B44" s="137">
        <f>'3. Fixed Operating Expenses'!B21</f>
        <v/>
      </c>
      <c r="C44" s="137" t="n"/>
      <c r="D44" s="145" t="n"/>
      <c r="E44" s="156">
        <f>'3. Fixed Operating Expenses'!K21/12</f>
        <v/>
      </c>
      <c r="F44" s="156">
        <f>E44</f>
        <v/>
      </c>
      <c r="G44" s="156">
        <f>F44</f>
        <v/>
      </c>
      <c r="H44" s="156">
        <f>G44</f>
        <v/>
      </c>
      <c r="I44" s="156">
        <f>H44</f>
        <v/>
      </c>
      <c r="J44" s="156">
        <f>I44</f>
        <v/>
      </c>
      <c r="K44" s="156">
        <f>J44</f>
        <v/>
      </c>
      <c r="L44" s="156">
        <f>K44</f>
        <v/>
      </c>
      <c r="M44" s="156">
        <f>L44</f>
        <v/>
      </c>
      <c r="N44" s="156">
        <f>M44</f>
        <v/>
      </c>
      <c r="O44" s="156">
        <f>N44</f>
        <v/>
      </c>
      <c r="P44" s="156">
        <f>O44</f>
        <v/>
      </c>
      <c r="Q44" s="156">
        <f>SUM(E44:P44)</f>
        <v/>
      </c>
    </row>
    <row r="45" outlineLevel="1" ht="12.75" customHeight="1" s="131">
      <c r="A45" s="137" t="n"/>
      <c r="B45" s="137">
        <f>'3. Fixed Operating Expenses'!B22</f>
        <v/>
      </c>
      <c r="C45" s="137" t="n"/>
      <c r="D45" s="145" t="n"/>
      <c r="E45" s="156">
        <f>'3. Fixed Operating Expenses'!K22/12</f>
        <v/>
      </c>
      <c r="F45" s="156">
        <f>E45</f>
        <v/>
      </c>
      <c r="G45" s="156">
        <f>F45</f>
        <v/>
      </c>
      <c r="H45" s="156">
        <f>G45</f>
        <v/>
      </c>
      <c r="I45" s="156">
        <f>H45</f>
        <v/>
      </c>
      <c r="J45" s="156">
        <f>I45</f>
        <v/>
      </c>
      <c r="K45" s="156">
        <f>J45</f>
        <v/>
      </c>
      <c r="L45" s="156">
        <f>K45</f>
        <v/>
      </c>
      <c r="M45" s="156">
        <f>L45</f>
        <v/>
      </c>
      <c r="N45" s="156">
        <f>M45</f>
        <v/>
      </c>
      <c r="O45" s="156">
        <f>N45</f>
        <v/>
      </c>
      <c r="P45" s="156">
        <f>O45</f>
        <v/>
      </c>
      <c r="Q45" s="156">
        <f>SUM(E45:P45)</f>
        <v/>
      </c>
    </row>
    <row r="46" outlineLevel="1" ht="12.75" customHeight="1" s="131">
      <c r="A46" s="137" t="n"/>
      <c r="B46" s="137">
        <f>'3. Fixed Operating Expenses'!B23</f>
        <v/>
      </c>
      <c r="C46" s="137" t="n"/>
      <c r="D46" s="145" t="n"/>
      <c r="E46" s="156">
        <f>'3. Fixed Operating Expenses'!K23/12</f>
        <v/>
      </c>
      <c r="F46" s="156">
        <f>E46</f>
        <v/>
      </c>
      <c r="G46" s="156">
        <f>F46</f>
        <v/>
      </c>
      <c r="H46" s="156">
        <f>G46</f>
        <v/>
      </c>
      <c r="I46" s="156">
        <f>H46</f>
        <v/>
      </c>
      <c r="J46" s="156">
        <f>I46</f>
        <v/>
      </c>
      <c r="K46" s="156">
        <f>J46</f>
        <v/>
      </c>
      <c r="L46" s="156">
        <f>K46</f>
        <v/>
      </c>
      <c r="M46" s="156">
        <f>L46</f>
        <v/>
      </c>
      <c r="N46" s="156">
        <f>M46</f>
        <v/>
      </c>
      <c r="O46" s="156">
        <f>N46</f>
        <v/>
      </c>
      <c r="P46" s="156">
        <f>O46</f>
        <v/>
      </c>
      <c r="Q46" s="156">
        <f>SUM(E46:P46)</f>
        <v/>
      </c>
    </row>
    <row r="47" outlineLevel="1" ht="12.75" customHeight="1" s="131">
      <c r="A47" s="137" t="n"/>
      <c r="B47" s="137">
        <f>'3. Fixed Operating Expenses'!B24</f>
        <v/>
      </c>
      <c r="C47" s="137" t="n"/>
      <c r="D47" s="145" t="n"/>
      <c r="E47" s="156">
        <f>'3. Fixed Operating Expenses'!K24/12</f>
        <v/>
      </c>
      <c r="F47" s="156">
        <f>E47</f>
        <v/>
      </c>
      <c r="G47" s="156">
        <f>F47</f>
        <v/>
      </c>
      <c r="H47" s="156">
        <f>G47</f>
        <v/>
      </c>
      <c r="I47" s="156">
        <f>H47</f>
        <v/>
      </c>
      <c r="J47" s="156">
        <f>I47</f>
        <v/>
      </c>
      <c r="K47" s="156">
        <f>J47</f>
        <v/>
      </c>
      <c r="L47" s="156">
        <f>K47</f>
        <v/>
      </c>
      <c r="M47" s="156">
        <f>L47</f>
        <v/>
      </c>
      <c r="N47" s="156">
        <f>M47</f>
        <v/>
      </c>
      <c r="O47" s="156">
        <f>N47</f>
        <v/>
      </c>
      <c r="P47" s="156">
        <f>O47</f>
        <v/>
      </c>
      <c r="Q47" s="156">
        <f>SUM(E47:P47)</f>
        <v/>
      </c>
    </row>
    <row r="48" outlineLevel="1" ht="12.75" customHeight="1" s="131">
      <c r="A48" s="137" t="n"/>
      <c r="B48" s="137">
        <f>'3. Fixed Operating Expenses'!B25</f>
        <v/>
      </c>
      <c r="C48" s="137" t="n"/>
      <c r="D48" s="145" t="n"/>
      <c r="E48" s="156">
        <f>'3. Fixed Operating Expenses'!K25/12</f>
        <v/>
      </c>
      <c r="F48" s="156">
        <f>E48</f>
        <v/>
      </c>
      <c r="G48" s="156">
        <f>F48</f>
        <v/>
      </c>
      <c r="H48" s="156">
        <f>G48</f>
        <v/>
      </c>
      <c r="I48" s="156">
        <f>H48</f>
        <v/>
      </c>
      <c r="J48" s="156">
        <f>I48</f>
        <v/>
      </c>
      <c r="K48" s="156">
        <f>J48</f>
        <v/>
      </c>
      <c r="L48" s="156">
        <f>K48</f>
        <v/>
      </c>
      <c r="M48" s="156">
        <f>L48</f>
        <v/>
      </c>
      <c r="N48" s="156">
        <f>M48</f>
        <v/>
      </c>
      <c r="O48" s="156">
        <f>N48</f>
        <v/>
      </c>
      <c r="P48" s="156">
        <f>O48</f>
        <v/>
      </c>
      <c r="Q48" s="156">
        <f>SUM(E48:P48)</f>
        <v/>
      </c>
    </row>
    <row r="49" outlineLevel="1" ht="12.75" customHeight="1" s="131">
      <c r="A49" s="137" t="n"/>
      <c r="B49" s="137">
        <f>'3. Fixed Operating Expenses'!B26</f>
        <v/>
      </c>
      <c r="C49" s="137" t="n"/>
      <c r="D49" s="145" t="n"/>
      <c r="E49" s="156">
        <f>'3. Fixed Operating Expenses'!K26/12</f>
        <v/>
      </c>
      <c r="F49" s="156">
        <f>E49</f>
        <v/>
      </c>
      <c r="G49" s="156">
        <f>F49</f>
        <v/>
      </c>
      <c r="H49" s="156">
        <f>G49</f>
        <v/>
      </c>
      <c r="I49" s="156">
        <f>H49</f>
        <v/>
      </c>
      <c r="J49" s="156">
        <f>I49</f>
        <v/>
      </c>
      <c r="K49" s="156">
        <f>J49</f>
        <v/>
      </c>
      <c r="L49" s="156">
        <f>K49</f>
        <v/>
      </c>
      <c r="M49" s="156">
        <f>L49</f>
        <v/>
      </c>
      <c r="N49" s="156">
        <f>M49</f>
        <v/>
      </c>
      <c r="O49" s="156">
        <f>N49</f>
        <v/>
      </c>
      <c r="P49" s="156">
        <f>O49</f>
        <v/>
      </c>
      <c r="Q49" s="156">
        <f>SUM(E49:P49)</f>
        <v/>
      </c>
    </row>
    <row r="50" outlineLevel="1" ht="12.75" customHeight="1" s="131">
      <c r="A50" s="137" t="n"/>
      <c r="B50" s="137">
        <f>'3. Fixed Operating Expenses'!B27</f>
        <v/>
      </c>
      <c r="C50" s="137" t="n"/>
      <c r="D50" s="145" t="n"/>
      <c r="E50" s="156">
        <f>'3. Fixed Operating Expenses'!K27/12</f>
        <v/>
      </c>
      <c r="F50" s="156">
        <f>E50</f>
        <v/>
      </c>
      <c r="G50" s="156">
        <f>F50</f>
        <v/>
      </c>
      <c r="H50" s="156">
        <f>G50</f>
        <v/>
      </c>
      <c r="I50" s="156">
        <f>H50</f>
        <v/>
      </c>
      <c r="J50" s="156">
        <f>I50</f>
        <v/>
      </c>
      <c r="K50" s="156">
        <f>J50</f>
        <v/>
      </c>
      <c r="L50" s="156">
        <f>K50</f>
        <v/>
      </c>
      <c r="M50" s="156">
        <f>L50</f>
        <v/>
      </c>
      <c r="N50" s="156">
        <f>M50</f>
        <v/>
      </c>
      <c r="O50" s="156">
        <f>N50</f>
        <v/>
      </c>
      <c r="P50" s="156">
        <f>O50</f>
        <v/>
      </c>
      <c r="Q50" s="156">
        <f>SUM(E50:P50)</f>
        <v/>
      </c>
    </row>
    <row r="51" outlineLevel="1" ht="12.75" customHeight="1" s="131">
      <c r="A51" s="137" t="n"/>
      <c r="B51" s="137">
        <f>'3. Fixed Operating Expenses'!B28</f>
        <v/>
      </c>
      <c r="C51" s="137" t="n"/>
      <c r="D51" s="145" t="n"/>
      <c r="E51" s="156">
        <f>'3. Fixed Operating Expenses'!K28/12</f>
        <v/>
      </c>
      <c r="F51" s="156">
        <f>E51</f>
        <v/>
      </c>
      <c r="G51" s="156">
        <f>F51</f>
        <v/>
      </c>
      <c r="H51" s="156">
        <f>G51</f>
        <v/>
      </c>
      <c r="I51" s="156">
        <f>H51</f>
        <v/>
      </c>
      <c r="J51" s="156">
        <f>I51</f>
        <v/>
      </c>
      <c r="K51" s="156">
        <f>J51</f>
        <v/>
      </c>
      <c r="L51" s="156">
        <f>K51</f>
        <v/>
      </c>
      <c r="M51" s="156">
        <f>L51</f>
        <v/>
      </c>
      <c r="N51" s="156">
        <f>M51</f>
        <v/>
      </c>
      <c r="O51" s="156">
        <f>N51</f>
        <v/>
      </c>
      <c r="P51" s="156">
        <f>O51</f>
        <v/>
      </c>
      <c r="Q51" s="156">
        <f>SUM(E51:P51)</f>
        <v/>
      </c>
    </row>
    <row r="52" outlineLevel="1" ht="12.75" customHeight="1" s="131">
      <c r="A52" s="137" t="n"/>
      <c r="B52" s="137">
        <f>'3. Fixed Operating Expenses'!B29</f>
        <v/>
      </c>
      <c r="C52" s="137" t="n"/>
      <c r="D52" s="145" t="n"/>
      <c r="E52" s="156">
        <f>'3. Fixed Operating Expenses'!K29/12</f>
        <v/>
      </c>
      <c r="F52" s="156">
        <f>E52</f>
        <v/>
      </c>
      <c r="G52" s="156">
        <f>F52</f>
        <v/>
      </c>
      <c r="H52" s="156">
        <f>G52</f>
        <v/>
      </c>
      <c r="I52" s="156">
        <f>H52</f>
        <v/>
      </c>
      <c r="J52" s="156">
        <f>I52</f>
        <v/>
      </c>
      <c r="K52" s="156">
        <f>J52</f>
        <v/>
      </c>
      <c r="L52" s="156">
        <f>K52</f>
        <v/>
      </c>
      <c r="M52" s="156">
        <f>L52</f>
        <v/>
      </c>
      <c r="N52" s="156">
        <f>M52</f>
        <v/>
      </c>
      <c r="O52" s="156">
        <f>N52</f>
        <v/>
      </c>
      <c r="P52" s="156">
        <f>O52</f>
        <v/>
      </c>
      <c r="Q52" s="156">
        <f>SUM(E52:P52)</f>
        <v/>
      </c>
    </row>
    <row r="53" outlineLevel="1" ht="12.75" customHeight="1" s="131">
      <c r="A53" s="137" t="n"/>
      <c r="B53" s="137">
        <f>'3. Fixed Operating Expenses'!B30</f>
        <v/>
      </c>
      <c r="C53" s="137" t="n"/>
      <c r="D53" s="145" t="n"/>
      <c r="E53" s="162">
        <f>'3. Fixed Operating Expenses'!K30/12</f>
        <v/>
      </c>
      <c r="F53" s="162">
        <f>E53</f>
        <v/>
      </c>
      <c r="G53" s="162">
        <f>F53</f>
        <v/>
      </c>
      <c r="H53" s="162">
        <f>G53</f>
        <v/>
      </c>
      <c r="I53" s="162">
        <f>H53</f>
        <v/>
      </c>
      <c r="J53" s="162">
        <f>I53</f>
        <v/>
      </c>
      <c r="K53" s="162">
        <f>J53</f>
        <v/>
      </c>
      <c r="L53" s="162">
        <f>K53</f>
        <v/>
      </c>
      <c r="M53" s="162">
        <f>L53</f>
        <v/>
      </c>
      <c r="N53" s="162">
        <f>M53</f>
        <v/>
      </c>
      <c r="O53" s="162">
        <f>N53</f>
        <v/>
      </c>
      <c r="P53" s="162">
        <f>O53</f>
        <v/>
      </c>
      <c r="Q53" s="162">
        <f>SUM(E53:P53)</f>
        <v/>
      </c>
    </row>
    <row r="54" ht="12.75" customHeight="1" s="131">
      <c r="A54" s="137" t="inlineStr">
        <is>
          <t>Total Fixed Business Expenses</t>
        </is>
      </c>
      <c r="B54" s="137" t="n"/>
      <c r="C54" s="137" t="n"/>
      <c r="D54" s="145" t="n"/>
      <c r="E54" s="156">
        <f>SUM(E34:E53)</f>
        <v/>
      </c>
      <c r="F54" s="156">
        <f>SUM(F34:F53)</f>
        <v/>
      </c>
      <c r="G54" s="156">
        <f>SUM(G34:G53)</f>
        <v/>
      </c>
      <c r="H54" s="156">
        <f>SUM(H34:H53)</f>
        <v/>
      </c>
      <c r="I54" s="156">
        <f>SUM(I34:I53)</f>
        <v/>
      </c>
      <c r="J54" s="156">
        <f>SUM(J34:J53)</f>
        <v/>
      </c>
      <c r="K54" s="156">
        <f>SUM(K34:K53)</f>
        <v/>
      </c>
      <c r="L54" s="156">
        <f>SUM(L34:L53)</f>
        <v/>
      </c>
      <c r="M54" s="156">
        <f>SUM(M34:M53)</f>
        <v/>
      </c>
      <c r="N54" s="156">
        <f>SUM(N34:N53)</f>
        <v/>
      </c>
      <c r="O54" s="156">
        <f>SUM(O34:O53)</f>
        <v/>
      </c>
      <c r="P54" s="156">
        <f>SUM(P34:P53)</f>
        <v/>
      </c>
      <c r="Q54" s="156">
        <f>SUM(Q34:Q53)</f>
        <v/>
      </c>
    </row>
    <row r="55" ht="12.75" customHeight="1" s="131">
      <c r="A55" s="137" t="n"/>
      <c r="B55" s="137" t="n"/>
      <c r="C55" s="137" t="n"/>
      <c r="D55" s="145" t="n"/>
      <c r="E55" s="156" t="n"/>
      <c r="F55" s="156" t="n"/>
      <c r="G55" s="156" t="n"/>
      <c r="H55" s="156" t="n"/>
      <c r="I55" s="156" t="n"/>
      <c r="J55" s="156" t="n"/>
      <c r="K55" s="156" t="n"/>
      <c r="L55" s="156" t="n"/>
      <c r="M55" s="156" t="n"/>
      <c r="N55" s="156" t="n"/>
      <c r="O55" s="156" t="n"/>
      <c r="P55" s="156" t="n"/>
      <c r="Q55" s="156" t="n"/>
    </row>
    <row r="56" hidden="1" outlineLevel="1" ht="12.75" customHeight="1" s="131">
      <c r="A56" s="137" t="inlineStr">
        <is>
          <t>Other Expenses</t>
        </is>
      </c>
      <c r="B56" s="137" t="n"/>
      <c r="C56" s="137" t="n"/>
      <c r="D56" s="145" t="n"/>
      <c r="E56" s="156" t="n"/>
      <c r="F56" s="156" t="n"/>
      <c r="G56" s="156" t="n"/>
      <c r="H56" s="156" t="n"/>
      <c r="I56" s="156" t="n"/>
      <c r="J56" s="156" t="n"/>
      <c r="K56" s="156" t="n"/>
      <c r="L56" s="156" t="n"/>
      <c r="M56" s="156" t="n"/>
      <c r="N56" s="156" t="n"/>
      <c r="O56" s="156" t="n"/>
      <c r="P56" s="156" t="n"/>
      <c r="Q56" s="156" t="n"/>
    </row>
    <row r="57" hidden="1" outlineLevel="1" ht="12.75" customHeight="1" s="131">
      <c r="A57" s="137" t="n"/>
      <c r="B57" s="137" t="inlineStr">
        <is>
          <t>Amortized Start-up Expenses</t>
        </is>
      </c>
      <c r="C57" s="137" t="n"/>
      <c r="D57" s="145" t="n"/>
      <c r="E57" s="156">
        <f>IF('6. Cash Receipts-Disbursements'!$G$28&gt;2,'6. Cash Receipts-Disbursements'!$K$28,0)</f>
        <v/>
      </c>
      <c r="F57" s="156">
        <f>IF('6. Cash Receipts-Disbursements'!$G$28&gt;2,'6. Cash Receipts-Disbursements'!$K$28,0)</f>
        <v/>
      </c>
      <c r="G57" s="156">
        <f>IF('6. Cash Receipts-Disbursements'!$G$28&gt;2,'6. Cash Receipts-Disbursements'!$K$28,0)</f>
        <v/>
      </c>
      <c r="H57" s="156">
        <f>IF('6. Cash Receipts-Disbursements'!$G$28&gt;2,'6. Cash Receipts-Disbursements'!$K$28,0)</f>
        <v/>
      </c>
      <c r="I57" s="156">
        <f>IF('6. Cash Receipts-Disbursements'!$G$28&gt;2,'6. Cash Receipts-Disbursements'!$K$28,0)</f>
        <v/>
      </c>
      <c r="J57" s="156">
        <f>IF('6. Cash Receipts-Disbursements'!$G$28&gt;2,'6. Cash Receipts-Disbursements'!$K$28,0)</f>
        <v/>
      </c>
      <c r="K57" s="156">
        <f>IF('6. Cash Receipts-Disbursements'!$G$28&gt;2,'6. Cash Receipts-Disbursements'!$K$28,0)</f>
        <v/>
      </c>
      <c r="L57" s="156">
        <f>IF('6. Cash Receipts-Disbursements'!$G$28&gt;2,'6. Cash Receipts-Disbursements'!$K$28,0)</f>
        <v/>
      </c>
      <c r="M57" s="156">
        <f>IF('6. Cash Receipts-Disbursements'!$G$28&gt;2,'6. Cash Receipts-Disbursements'!$K$28,0)</f>
        <v/>
      </c>
      <c r="N57" s="156">
        <f>IF('6. Cash Receipts-Disbursements'!$G$28&gt;2,'6. Cash Receipts-Disbursements'!$K$28,0)</f>
        <v/>
      </c>
      <c r="O57" s="156">
        <f>IF('6. Cash Receipts-Disbursements'!$G$28&gt;2,'6. Cash Receipts-Disbursements'!$K$28,0)</f>
        <v/>
      </c>
      <c r="P57" s="156">
        <f>IF('6. Cash Receipts-Disbursements'!$G$28&gt;2,'6. Cash Receipts-Disbursements'!$K$28,0)</f>
        <v/>
      </c>
      <c r="Q57" s="156">
        <f>SUM(E57:P57)</f>
        <v/>
      </c>
    </row>
    <row r="58" hidden="1" outlineLevel="1" ht="12.75" customHeight="1" s="131">
      <c r="A58" s="137" t="n"/>
      <c r="B58" s="137" t="inlineStr">
        <is>
          <t>Depreciation</t>
        </is>
      </c>
      <c r="C58" s="137" t="n"/>
      <c r="D58" s="145" t="n"/>
      <c r="E58" s="156">
        <f>'3. Fixed Operating Expenses'!G34</f>
        <v/>
      </c>
      <c r="F58" s="156">
        <f>E58</f>
        <v/>
      </c>
      <c r="G58" s="156">
        <f>F58</f>
        <v/>
      </c>
      <c r="H58" s="156">
        <f>G58</f>
        <v/>
      </c>
      <c r="I58" s="156">
        <f>H58</f>
        <v/>
      </c>
      <c r="J58" s="156">
        <f>I58</f>
        <v/>
      </c>
      <c r="K58" s="156">
        <f>J58</f>
        <v/>
      </c>
      <c r="L58" s="156">
        <f>K58</f>
        <v/>
      </c>
      <c r="M58" s="156">
        <f>L58</f>
        <v/>
      </c>
      <c r="N58" s="156">
        <f>M58</f>
        <v/>
      </c>
      <c r="O58" s="156">
        <f>N58</f>
        <v/>
      </c>
      <c r="P58" s="156">
        <f>O58</f>
        <v/>
      </c>
      <c r="Q58" s="156">
        <f>SUM(E58:P58)</f>
        <v/>
      </c>
    </row>
    <row r="59" hidden="1" outlineLevel="1" ht="12.75" customHeight="1" s="131">
      <c r="A59" s="137" t="n"/>
      <c r="B59" s="137" t="inlineStr">
        <is>
          <t>Interest</t>
        </is>
      </c>
      <c r="C59" s="137" t="n"/>
      <c r="D59" s="145" t="n"/>
      <c r="E59" s="156" t="n"/>
      <c r="F59" s="156" t="n"/>
      <c r="G59" s="156" t="n"/>
      <c r="H59" s="156" t="n"/>
      <c r="I59" s="156" t="n"/>
      <c r="J59" s="156" t="n"/>
      <c r="K59" s="156" t="n"/>
      <c r="L59" s="156" t="n"/>
      <c r="M59" s="156" t="n"/>
      <c r="N59" s="156" t="n"/>
      <c r="O59" s="156" t="n"/>
      <c r="P59" s="156" t="n"/>
      <c r="Q59" s="156" t="n"/>
    </row>
    <row r="60" hidden="1" outlineLevel="1" ht="12.75" customHeight="1" s="131">
      <c r="A60" s="137" t="n"/>
      <c r="B60" s="137" t="n"/>
      <c r="C60" s="137" t="inlineStr">
        <is>
          <t>Commercial Loan</t>
        </is>
      </c>
      <c r="D60" s="145" t="n"/>
      <c r="E60" s="156">
        <f>'20. Amoritization Schedule'!G23</f>
        <v/>
      </c>
      <c r="F60" s="156">
        <f>'20. Amoritization Schedule'!H23</f>
        <v/>
      </c>
      <c r="G60" s="156">
        <f>'20. Amoritization Schedule'!I23</f>
        <v/>
      </c>
      <c r="H60" s="156">
        <f>'20. Amoritization Schedule'!J23</f>
        <v/>
      </c>
      <c r="I60" s="156">
        <f>'20. Amoritization Schedule'!K23</f>
        <v/>
      </c>
      <c r="J60" s="156">
        <f>'20. Amoritization Schedule'!L23</f>
        <v/>
      </c>
      <c r="K60" s="156">
        <f>'20. Amoritization Schedule'!M23</f>
        <v/>
      </c>
      <c r="L60" s="156">
        <f>'20. Amoritization Schedule'!N23</f>
        <v/>
      </c>
      <c r="M60" s="156">
        <f>'20. Amoritization Schedule'!O23</f>
        <v/>
      </c>
      <c r="N60" s="156">
        <f>'20. Amoritization Schedule'!P23</f>
        <v/>
      </c>
      <c r="O60" s="156">
        <f>'20. Amoritization Schedule'!Q23</f>
        <v/>
      </c>
      <c r="P60" s="156">
        <f>'20. Amoritization Schedule'!R23</f>
        <v/>
      </c>
      <c r="Q60" s="156">
        <f>SUM(E60:P60)</f>
        <v/>
      </c>
    </row>
    <row r="61" hidden="1" outlineLevel="1" ht="12.75" customHeight="1" s="131">
      <c r="A61" s="137" t="n"/>
      <c r="B61" s="137" t="n"/>
      <c r="C61" s="137" t="inlineStr">
        <is>
          <t>Commercial Mortgage</t>
        </is>
      </c>
      <c r="D61" s="145" t="n"/>
      <c r="E61" s="156">
        <f>'20. Amoritization Schedule'!G43</f>
        <v/>
      </c>
      <c r="F61" s="156">
        <f>'20. Amoritization Schedule'!H43</f>
        <v/>
      </c>
      <c r="G61" s="156">
        <f>'20. Amoritization Schedule'!I43</f>
        <v/>
      </c>
      <c r="H61" s="156">
        <f>'20. Amoritization Schedule'!J43</f>
        <v/>
      </c>
      <c r="I61" s="156">
        <f>'20. Amoritization Schedule'!K43</f>
        <v/>
      </c>
      <c r="J61" s="156">
        <f>'20. Amoritization Schedule'!L43</f>
        <v/>
      </c>
      <c r="K61" s="156">
        <f>'20. Amoritization Schedule'!M43</f>
        <v/>
      </c>
      <c r="L61" s="156">
        <f>'20. Amoritization Schedule'!N43</f>
        <v/>
      </c>
      <c r="M61" s="156">
        <f>'20. Amoritization Schedule'!O43</f>
        <v/>
      </c>
      <c r="N61" s="156">
        <f>'20. Amoritization Schedule'!P43</f>
        <v/>
      </c>
      <c r="O61" s="156">
        <f>'20. Amoritization Schedule'!Q43</f>
        <v/>
      </c>
      <c r="P61" s="156">
        <f>'20. Amoritization Schedule'!R43</f>
        <v/>
      </c>
      <c r="Q61" s="156">
        <f>SUM(E61:P61)</f>
        <v/>
      </c>
    </row>
    <row r="62" hidden="1" outlineLevel="1" ht="12.75" customHeight="1" s="131">
      <c r="A62" s="137" t="n"/>
      <c r="B62" s="137" t="n"/>
      <c r="C62" s="137" t="inlineStr">
        <is>
          <t>Line of Credit</t>
        </is>
      </c>
      <c r="D62" s="145" t="n"/>
      <c r="E62" s="156">
        <f>'16. Cash Flow Statement (3)'!E26</f>
        <v/>
      </c>
      <c r="F62" s="156">
        <f>'16. Cash Flow Statement (3)'!F26</f>
        <v/>
      </c>
      <c r="G62" s="156">
        <f>'16. Cash Flow Statement (3)'!G26</f>
        <v/>
      </c>
      <c r="H62" s="156">
        <f>'16. Cash Flow Statement (3)'!H26</f>
        <v/>
      </c>
      <c r="I62" s="156">
        <f>'16. Cash Flow Statement (3)'!I26</f>
        <v/>
      </c>
      <c r="J62" s="156">
        <f>'16. Cash Flow Statement (3)'!J26</f>
        <v/>
      </c>
      <c r="K62" s="156">
        <f>'16. Cash Flow Statement (3)'!K26</f>
        <v/>
      </c>
      <c r="L62" s="156">
        <f>'16. Cash Flow Statement (3)'!L26</f>
        <v/>
      </c>
      <c r="M62" s="156">
        <f>'16. Cash Flow Statement (3)'!M26</f>
        <v/>
      </c>
      <c r="N62" s="156">
        <f>'16. Cash Flow Statement (3)'!N26</f>
        <v/>
      </c>
      <c r="O62" s="156">
        <f>'16. Cash Flow Statement (3)'!O26</f>
        <v/>
      </c>
      <c r="P62" s="156">
        <f>'16. Cash Flow Statement (3)'!P26</f>
        <v/>
      </c>
      <c r="Q62" s="156">
        <f>SUM(E62:P62)</f>
        <v/>
      </c>
    </row>
    <row r="63" hidden="1" outlineLevel="1" ht="12.75" customHeight="1" s="131">
      <c r="A63" s="137" t="n"/>
      <c r="B63" s="137" t="inlineStr">
        <is>
          <t>Taxes</t>
        </is>
      </c>
      <c r="C63" s="137" t="n"/>
      <c r="D63" s="145" t="n"/>
      <c r="E63" s="162">
        <f>IF(E71&gt;0,(E70)*'6. Cash Receipts-Disbursements'!G25,0)</f>
        <v/>
      </c>
      <c r="F63" s="162">
        <f>IF(F71&gt;0,IF(E71&lt;0,(F70-ABS(E71))*'6. Cash Receipts-Disbursements'!$G$25,'15. Income Statement (3)'!F70*'6. Cash Receipts-Disbursements'!$G$25),IF('15. Income Statement (3)'!E71&gt;0,-('15. Income Statement (3)'!E71*'6. Cash Receipts-Disbursements'!$G$25),0))</f>
        <v/>
      </c>
      <c r="G63" s="162">
        <f>IF(G71&gt;0,IF(F71&lt;0,(G70-ABS(F71))*'6. Cash Receipts-Disbursements'!$G$25,'15. Income Statement (3)'!G70*'6. Cash Receipts-Disbursements'!$G$25),IF('15. Income Statement (3)'!F71&gt;0,-('15. Income Statement (3)'!F71*'6. Cash Receipts-Disbursements'!$G$25),0))</f>
        <v/>
      </c>
      <c r="H63" s="162">
        <f>IF(H71&gt;0,IF(G71&lt;0,(H70-ABS(G71))*'6. Cash Receipts-Disbursements'!$G$25,'15. Income Statement (3)'!H70*'6. Cash Receipts-Disbursements'!$G$25),IF('15. Income Statement (3)'!G71&gt;0,-('15. Income Statement (3)'!G71*'6. Cash Receipts-Disbursements'!$G$25),0))</f>
        <v/>
      </c>
      <c r="I63" s="162">
        <f>IF(I71&gt;0,IF(H71&lt;0,(I70-ABS(H71))*'6. Cash Receipts-Disbursements'!$G$25,'15. Income Statement (3)'!I70*'6. Cash Receipts-Disbursements'!$G$25),IF('15. Income Statement (3)'!H71&gt;0,-('15. Income Statement (3)'!H71*'6. Cash Receipts-Disbursements'!$G$25),0))</f>
        <v/>
      </c>
      <c r="J63" s="162">
        <f>IF(J71&gt;0,IF(I71&lt;0,(J70-ABS(I71))*'6. Cash Receipts-Disbursements'!$G$25,'15. Income Statement (3)'!J70*'6. Cash Receipts-Disbursements'!$G$25),IF('15. Income Statement (3)'!I71&gt;0,-('15. Income Statement (3)'!I71*'6. Cash Receipts-Disbursements'!$G$25),0))</f>
        <v/>
      </c>
      <c r="K63" s="162">
        <f>IF(K71&gt;0,IF(J71&lt;0,(K70-ABS(J71))*'6. Cash Receipts-Disbursements'!$G$25,'15. Income Statement (3)'!K70*'6. Cash Receipts-Disbursements'!$G$25),IF('15. Income Statement (3)'!J71&gt;0,-('15. Income Statement (3)'!J71*'6. Cash Receipts-Disbursements'!$G$25),0))</f>
        <v/>
      </c>
      <c r="L63" s="162">
        <f>IF(L71&gt;0,IF(K71&lt;0,(L70-ABS(K71))*'6. Cash Receipts-Disbursements'!$G$25,'15. Income Statement (3)'!L70*'6. Cash Receipts-Disbursements'!$G$25),IF('15. Income Statement (3)'!K71&gt;0,-('15. Income Statement (3)'!K71*'6. Cash Receipts-Disbursements'!$G$25),0))</f>
        <v/>
      </c>
      <c r="M63" s="162">
        <f>IF(M71&gt;0,IF(L71&lt;0,(M70-ABS(L71))*'6. Cash Receipts-Disbursements'!$G$25,'15. Income Statement (3)'!M70*'6. Cash Receipts-Disbursements'!$G$25),IF('15. Income Statement (3)'!L71&gt;0,-('15. Income Statement (3)'!L71*'6. Cash Receipts-Disbursements'!$G$25),0))</f>
        <v/>
      </c>
      <c r="N63" s="162">
        <f>IF(N71&gt;0,IF(M71&lt;0,(N70-ABS(M71))*'6. Cash Receipts-Disbursements'!$G$25,'15. Income Statement (3)'!N70*'6. Cash Receipts-Disbursements'!$G$25),IF('15. Income Statement (3)'!M71&gt;0,-('15. Income Statement (3)'!M71*'6. Cash Receipts-Disbursements'!$G$25),0))</f>
        <v/>
      </c>
      <c r="O63" s="162">
        <f>IF(O71&gt;0,IF(N71&lt;0,(O70-ABS(N71))*'6. Cash Receipts-Disbursements'!$G$25,'15. Income Statement (3)'!O70*'6. Cash Receipts-Disbursements'!$G$25),IF('15. Income Statement (3)'!N71&gt;0,-('15. Income Statement (3)'!N71*'6. Cash Receipts-Disbursements'!$G$25),0))</f>
        <v/>
      </c>
      <c r="P63" s="162">
        <f>IF(P71&gt;0,IF(O71&lt;0,(P70-ABS(O71))*'6. Cash Receipts-Disbursements'!$G$25,'15. Income Statement (3)'!P70*'6. Cash Receipts-Disbursements'!$G$25),IF('15. Income Statement (3)'!O71&gt;0,-('15. Income Statement (3)'!O71*'6. Cash Receipts-Disbursements'!$G$25),0))</f>
        <v/>
      </c>
      <c r="Q63" s="162">
        <f>SUM(E63:P63)</f>
        <v/>
      </c>
    </row>
    <row r="64" ht="12.75" customHeight="1" s="131">
      <c r="A64" s="137" t="inlineStr">
        <is>
          <t>Total Other Expenses</t>
        </is>
      </c>
      <c r="B64" s="137" t="n"/>
      <c r="C64" s="137" t="n"/>
      <c r="D64" s="145" t="n"/>
      <c r="E64" s="156">
        <f>SUM(E57:E63)</f>
        <v/>
      </c>
      <c r="F64" s="156">
        <f>SUM(F57:F63)</f>
        <v/>
      </c>
      <c r="G64" s="156">
        <f>SUM(G57:G63)</f>
        <v/>
      </c>
      <c r="H64" s="156">
        <f>SUM(H57:H63)</f>
        <v/>
      </c>
      <c r="I64" s="156">
        <f>SUM(I57:I63)</f>
        <v/>
      </c>
      <c r="J64" s="156">
        <f>SUM(J57:J63)</f>
        <v/>
      </c>
      <c r="K64" s="156">
        <f>SUM(K57:K63)</f>
        <v/>
      </c>
      <c r="L64" s="156">
        <f>SUM(L57:L63)</f>
        <v/>
      </c>
      <c r="M64" s="156">
        <f>SUM(M57:M63)</f>
        <v/>
      </c>
      <c r="N64" s="156">
        <f>SUM(N57:N63)</f>
        <v/>
      </c>
      <c r="O64" s="156">
        <f>SUM(O57:O63)</f>
        <v/>
      </c>
      <c r="P64" s="156">
        <f>SUM(P57:P63)</f>
        <v/>
      </c>
      <c r="Q64" s="156">
        <f>SUM(Q57:Q63)</f>
        <v/>
      </c>
    </row>
    <row r="65" ht="12.75" customHeight="1" s="131">
      <c r="A65" s="137" t="n"/>
      <c r="B65" s="137" t="n"/>
      <c r="C65" s="137" t="n"/>
      <c r="D65" s="145" t="n"/>
      <c r="E65" s="162" t="n"/>
      <c r="F65" s="162" t="n"/>
      <c r="G65" s="162" t="n"/>
      <c r="H65" s="162" t="n"/>
      <c r="I65" s="162" t="n"/>
      <c r="J65" s="162" t="n"/>
      <c r="K65" s="162" t="n"/>
      <c r="L65" s="162" t="n"/>
      <c r="M65" s="162" t="n"/>
      <c r="N65" s="162" t="n"/>
      <c r="O65" s="162" t="n"/>
      <c r="P65" s="162" t="n"/>
      <c r="Q65" s="162" t="n"/>
    </row>
    <row r="66" ht="15.95" customHeight="1" s="131">
      <c r="A66" s="137" t="inlineStr">
        <is>
          <t>Net Income</t>
        </is>
      </c>
      <c r="B66" s="137" t="n"/>
      <c r="C66" s="137" t="n"/>
      <c r="D66" s="145" t="n"/>
      <c r="E66" s="219">
        <f>E22-E31-E54-E64</f>
        <v/>
      </c>
      <c r="F66" s="219">
        <f>F22-F31-F54-F64</f>
        <v/>
      </c>
      <c r="G66" s="219">
        <f>G22-G31-G54-G64</f>
        <v/>
      </c>
      <c r="H66" s="219">
        <f>H22-H31-H54-H64</f>
        <v/>
      </c>
      <c r="I66" s="219">
        <f>I22-I31-I54-I64</f>
        <v/>
      </c>
      <c r="J66" s="219">
        <f>J22-J31-J54-J64</f>
        <v/>
      </c>
      <c r="K66" s="219">
        <f>K22-K31-K54-K64</f>
        <v/>
      </c>
      <c r="L66" s="219">
        <f>L22-L31-L54-L64</f>
        <v/>
      </c>
      <c r="M66" s="219">
        <f>M22-M31-M54-M64</f>
        <v/>
      </c>
      <c r="N66" s="219">
        <f>N22-N31-N54-N64</f>
        <v/>
      </c>
      <c r="O66" s="219">
        <f>O22-O31-O54-O64</f>
        <v/>
      </c>
      <c r="P66" s="219">
        <f>P22-P31-P54-P64</f>
        <v/>
      </c>
      <c r="Q66" s="219">
        <f>Q22-Q31-Q54-Q64</f>
        <v/>
      </c>
    </row>
    <row r="67" ht="12.75" customHeight="1" s="131">
      <c r="A67" s="137" t="n"/>
      <c r="B67" s="137" t="n"/>
      <c r="C67" s="137" t="n"/>
      <c r="D67" s="145" t="n"/>
      <c r="E67" s="145" t="n"/>
      <c r="F67" s="145" t="n"/>
      <c r="G67" s="145" t="n"/>
      <c r="H67" s="145" t="n"/>
      <c r="I67" s="145" t="n"/>
      <c r="J67" s="145" t="n"/>
      <c r="K67" s="145" t="n"/>
      <c r="L67" s="145" t="n"/>
      <c r="M67" s="145" t="n"/>
      <c r="N67" s="145" t="n"/>
      <c r="O67" s="145" t="n"/>
      <c r="P67" s="145" t="n"/>
      <c r="Q67" s="145" t="n"/>
    </row>
    <row r="68" ht="12.75" customHeight="1" s="131">
      <c r="A68" s="137" t="n"/>
      <c r="B68" s="137" t="n"/>
      <c r="C68" s="137" t="n"/>
      <c r="D68" s="145" t="n"/>
      <c r="E68" s="145" t="n"/>
      <c r="F68" s="145" t="n"/>
      <c r="G68" s="145" t="n"/>
      <c r="H68" s="145" t="n"/>
      <c r="I68" s="145" t="n"/>
      <c r="J68" s="145" t="n"/>
      <c r="K68" s="145" t="n"/>
      <c r="L68" s="145" t="n"/>
      <c r="M68" s="145" t="n"/>
      <c r="N68" s="145" t="n"/>
      <c r="O68" s="145" t="n"/>
      <c r="P68" s="145" t="n"/>
      <c r="Q68" s="182" t="n"/>
    </row>
    <row r="69" ht="12.75" customHeight="1" s="131">
      <c r="A69" s="137" t="n"/>
      <c r="B69" s="137" t="n"/>
      <c r="C69" s="137" t="n"/>
      <c r="D69" s="145" t="n"/>
      <c r="E69" s="145" t="n"/>
      <c r="F69" s="145" t="n"/>
      <c r="G69" s="145" t="n"/>
      <c r="H69" s="145" t="n"/>
      <c r="I69" s="145" t="n"/>
      <c r="J69" s="145" t="n"/>
      <c r="K69" s="145" t="n"/>
      <c r="L69" s="145" t="n"/>
      <c r="M69" s="145" t="n"/>
      <c r="N69" s="145" t="n"/>
      <c r="O69" s="145" t="n"/>
      <c r="P69" s="145" t="n"/>
      <c r="Q69" s="145" t="n"/>
    </row>
    <row r="70" ht="12.75" customHeight="1" s="131">
      <c r="A70" s="137" t="n"/>
      <c r="B70" s="137" t="n"/>
      <c r="C70" s="137" t="n"/>
      <c r="D70" s="145" t="n"/>
      <c r="E70" s="220">
        <f>E22-E31-E54-E58-E60-E61-E62</f>
        <v/>
      </c>
      <c r="F70" s="220">
        <f>F22-F31-F54-F58-F60-F61-F62</f>
        <v/>
      </c>
      <c r="G70" s="220">
        <f>G22-G31-G54-G58-G60-G61-G62</f>
        <v/>
      </c>
      <c r="H70" s="220">
        <f>H22-H31-H54-H58-H60-H61-H62</f>
        <v/>
      </c>
      <c r="I70" s="220">
        <f>I22-I31-I54-I58-I60-I61-I62</f>
        <v/>
      </c>
      <c r="J70" s="220">
        <f>J22-J31-J54-J58-J60-J61-J62</f>
        <v/>
      </c>
      <c r="K70" s="220">
        <f>K22-K31-K54-K58-K60-K61-K62</f>
        <v/>
      </c>
      <c r="L70" s="220">
        <f>L22-L31-L54-L58-L60-L61-L62</f>
        <v/>
      </c>
      <c r="M70" s="220">
        <f>M22-M31-M54-M58-M60-M61-M62</f>
        <v/>
      </c>
      <c r="N70" s="220">
        <f>N22-N31-N54-N58-N60-N61-N62</f>
        <v/>
      </c>
      <c r="O70" s="220">
        <f>O22-O31-O54-O58-O60-O61-O62</f>
        <v/>
      </c>
      <c r="P70" s="220">
        <f>P22-P31-P54-P58-P60-P61-P62</f>
        <v/>
      </c>
      <c r="Q70" s="145" t="n"/>
    </row>
    <row r="71" ht="12.75" customHeight="1" s="131">
      <c r="A71" s="137" t="n"/>
      <c r="B71" s="137" t="n"/>
      <c r="C71" s="137" t="n"/>
      <c r="D71" s="145" t="n"/>
      <c r="E71" s="220">
        <f>E70</f>
        <v/>
      </c>
      <c r="F71" s="220">
        <f>E71+F70</f>
        <v/>
      </c>
      <c r="G71" s="220">
        <f>F71+G70</f>
        <v/>
      </c>
      <c r="H71" s="220">
        <f>G71+H70</f>
        <v/>
      </c>
      <c r="I71" s="220">
        <f>H71+I70</f>
        <v/>
      </c>
      <c r="J71" s="220">
        <f>I71+J70</f>
        <v/>
      </c>
      <c r="K71" s="220">
        <f>J71+K70</f>
        <v/>
      </c>
      <c r="L71" s="220">
        <f>K71+L70</f>
        <v/>
      </c>
      <c r="M71" s="220">
        <f>L71+M70</f>
        <v/>
      </c>
      <c r="N71" s="220">
        <f>M71+N70</f>
        <v/>
      </c>
      <c r="O71" s="220">
        <f>N71+O70</f>
        <v/>
      </c>
      <c r="P71" s="220">
        <f>O71+P70</f>
        <v/>
      </c>
      <c r="Q71" s="145" t="n"/>
    </row>
    <row r="72" ht="12.75" customHeight="1" s="131">
      <c r="P72" s="221" t="n"/>
      <c r="Q72" s="221" t="n"/>
    </row>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Q6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E17" activeCellId="0" sqref="E17"/>
    </sheetView>
  </sheetViews>
  <sheetFormatPr baseColWidth="8" defaultColWidth="9.15234375" defaultRowHeight="12" zeroHeight="0" outlineLevelRow="0"/>
  <cols>
    <col width="2.99" customWidth="1" style="168" min="1" max="3"/>
    <col width="22.75" customWidth="1" style="130" min="4" max="4"/>
    <col width="10.72" customWidth="1" style="130" min="5" max="16"/>
    <col width="15.73" customWidth="1" style="130" min="17" max="17"/>
  </cols>
  <sheetData>
    <row r="1" ht="15.75" customHeight="1" s="131">
      <c r="A1" s="142">
        <f>'1. Required Start-Up Funds'!A1</f>
        <v/>
      </c>
    </row>
    <row r="2" ht="15.75" customHeight="1" s="131">
      <c r="A2" s="142" t="inlineStr">
        <is>
          <t>Projected Cash Flow Statement - Year Three</t>
        </is>
      </c>
    </row>
    <row r="3" ht="12.75" customHeight="1" s="131">
      <c r="A3" s="137" t="n"/>
      <c r="B3" s="137" t="n"/>
      <c r="C3" s="137" t="n"/>
      <c r="D3" s="145" t="n"/>
      <c r="E3" s="145" t="n"/>
      <c r="F3" s="145" t="n"/>
      <c r="G3" s="145" t="n"/>
      <c r="H3" s="145" t="n"/>
      <c r="I3" s="145" t="n"/>
      <c r="J3" s="145" t="n"/>
      <c r="K3" s="145" t="n"/>
      <c r="L3" s="145" t="n"/>
      <c r="M3" s="145" t="n"/>
      <c r="N3" s="145" t="n"/>
      <c r="O3" s="145" t="n"/>
      <c r="P3" s="145" t="n"/>
      <c r="Q3" s="145" t="n"/>
    </row>
    <row r="4" ht="12.75" customHeight="1" s="131">
      <c r="A4" s="137" t="n"/>
      <c r="B4" s="137" t="n"/>
      <c r="C4" s="137" t="n"/>
      <c r="D4" s="145" t="n"/>
      <c r="E4" s="145" t="n"/>
      <c r="F4" s="145" t="n"/>
      <c r="G4" s="145" t="n"/>
      <c r="H4" s="145" t="n"/>
      <c r="I4" s="145" t="n"/>
      <c r="J4" s="145" t="n"/>
      <c r="K4" s="145" t="n"/>
      <c r="L4" s="145" t="n"/>
      <c r="M4" s="145" t="n"/>
      <c r="N4" s="145" t="n"/>
      <c r="O4" s="145" t="n"/>
      <c r="P4" s="145" t="n"/>
      <c r="Q4" s="145" t="n"/>
    </row>
    <row r="5" ht="12.75" customHeight="1" s="131">
      <c r="A5" s="137" t="n"/>
      <c r="B5" s="137" t="n"/>
      <c r="C5" s="137" t="n"/>
      <c r="D5" s="145" t="n"/>
      <c r="E5" s="145" t="n"/>
      <c r="F5" s="145" t="n"/>
      <c r="G5" s="145" t="n"/>
      <c r="H5" s="145" t="n"/>
      <c r="I5" s="145" t="n"/>
      <c r="J5" s="145" t="n"/>
      <c r="K5" s="145" t="n"/>
      <c r="L5" s="145" t="n"/>
      <c r="M5" s="145" t="n"/>
      <c r="N5" s="145" t="n"/>
      <c r="O5" s="145" t="n"/>
      <c r="P5" s="145" t="n"/>
      <c r="Q5" s="145" t="n"/>
    </row>
    <row r="6" ht="12.75" customHeight="1" s="131">
      <c r="A6" s="137" t="n"/>
      <c r="B6" s="137" t="n"/>
      <c r="C6" s="137" t="n"/>
      <c r="D6" s="145" t="n"/>
      <c r="E6" s="172">
        <f>'4. Projected Sales Forecast'!H6</f>
        <v/>
      </c>
      <c r="F6" s="172">
        <f>'4. Projected Sales Forecast'!I6</f>
        <v/>
      </c>
      <c r="G6" s="172">
        <f>'4. Projected Sales Forecast'!J6</f>
        <v/>
      </c>
      <c r="H6" s="172">
        <f>'4. Projected Sales Forecast'!K6</f>
        <v/>
      </c>
      <c r="I6" s="172">
        <f>'4. Projected Sales Forecast'!L6</f>
        <v/>
      </c>
      <c r="J6" s="172">
        <f>'4. Projected Sales Forecast'!M6</f>
        <v/>
      </c>
      <c r="K6" s="172">
        <f>'4. Projected Sales Forecast'!N6</f>
        <v/>
      </c>
      <c r="L6" s="172">
        <f>'4. Projected Sales Forecast'!O6</f>
        <v/>
      </c>
      <c r="M6" s="172">
        <f>'4. Projected Sales Forecast'!P6</f>
        <v/>
      </c>
      <c r="N6" s="172">
        <f>'4. Projected Sales Forecast'!Q6</f>
        <v/>
      </c>
      <c r="O6" s="172">
        <f>'4. Projected Sales Forecast'!R6</f>
        <v/>
      </c>
      <c r="P6" s="172">
        <f>'4. Projected Sales Forecast'!S6</f>
        <v/>
      </c>
      <c r="Q6" s="172" t="inlineStr">
        <is>
          <t>Totals</t>
        </is>
      </c>
    </row>
    <row r="7" ht="12.75" customHeight="1" s="131">
      <c r="A7" s="137" t="n"/>
      <c r="B7" s="137" t="n"/>
      <c r="C7" s="137" t="n"/>
      <c r="D7" s="145" t="n"/>
      <c r="E7" s="145" t="n"/>
      <c r="F7" s="145" t="n"/>
      <c r="G7" s="145" t="n"/>
      <c r="H7" s="145" t="n"/>
      <c r="I7" s="145" t="n"/>
      <c r="J7" s="145" t="n"/>
      <c r="K7" s="145" t="n"/>
      <c r="L7" s="145" t="n"/>
      <c r="M7" s="145" t="n"/>
      <c r="N7" s="145" t="n"/>
      <c r="O7" s="145" t="n"/>
      <c r="P7" s="145" t="n"/>
      <c r="Q7" s="145" t="n"/>
    </row>
    <row r="8" ht="12.75" customHeight="1" s="131">
      <c r="A8" s="137" t="inlineStr">
        <is>
          <t>Beginning Cash Balance</t>
        </is>
      </c>
      <c r="B8" s="137" t="n"/>
      <c r="C8" s="137" t="n"/>
      <c r="D8" s="145" t="n"/>
      <c r="E8" s="156">
        <f>'13. Cash Flow Statement (2)'!P37</f>
        <v/>
      </c>
      <c r="F8" s="156">
        <f>E37</f>
        <v/>
      </c>
      <c r="G8" s="156">
        <f>F37</f>
        <v/>
      </c>
      <c r="H8" s="156">
        <f>G37</f>
        <v/>
      </c>
      <c r="I8" s="156">
        <f>H37</f>
        <v/>
      </c>
      <c r="J8" s="156">
        <f>I37</f>
        <v/>
      </c>
      <c r="K8" s="156">
        <f>J37</f>
        <v/>
      </c>
      <c r="L8" s="156">
        <f>K37</f>
        <v/>
      </c>
      <c r="M8" s="156">
        <f>L37</f>
        <v/>
      </c>
      <c r="N8" s="156">
        <f>M37</f>
        <v/>
      </c>
      <c r="O8" s="156">
        <f>N37</f>
        <v/>
      </c>
      <c r="P8" s="156">
        <f>O37</f>
        <v/>
      </c>
      <c r="Q8" s="156" t="n"/>
    </row>
    <row r="9" ht="12.75" customHeight="1" s="131">
      <c r="A9" s="137" t="n"/>
      <c r="B9" s="137" t="n"/>
      <c r="C9" s="137" t="n"/>
      <c r="D9" s="145" t="n"/>
      <c r="E9" s="156" t="n"/>
      <c r="F9" s="156" t="n"/>
      <c r="G9" s="156" t="n"/>
      <c r="H9" s="156" t="n"/>
      <c r="I9" s="156" t="n"/>
      <c r="J9" s="156" t="n"/>
      <c r="K9" s="156" t="n"/>
      <c r="L9" s="156" t="n"/>
      <c r="M9" s="156" t="n"/>
      <c r="N9" s="156" t="n"/>
      <c r="O9" s="156" t="n"/>
      <c r="P9" s="156" t="n"/>
      <c r="Q9" s="156" t="n"/>
    </row>
    <row r="10" ht="12.75" customHeight="1" s="131">
      <c r="A10" s="137" t="inlineStr">
        <is>
          <t>Cash Inflows</t>
        </is>
      </c>
      <c r="B10" s="137" t="n"/>
      <c r="C10" s="137" t="n"/>
      <c r="D10" s="145" t="n"/>
      <c r="E10" s="156" t="n"/>
      <c r="F10" s="156" t="n"/>
      <c r="G10" s="156" t="n"/>
      <c r="H10" s="156" t="n"/>
      <c r="I10" s="156" t="n"/>
      <c r="J10" s="156" t="n"/>
      <c r="K10" s="156" t="n"/>
      <c r="L10" s="156" t="n"/>
      <c r="M10" s="156" t="n"/>
      <c r="N10" s="156" t="n"/>
      <c r="O10" s="156" t="n"/>
      <c r="P10" s="156" t="n"/>
      <c r="Q10" s="156" t="n"/>
    </row>
    <row r="11" ht="12.75" customHeight="1" s="131">
      <c r="A11" s="137" t="n"/>
      <c r="B11" s="137" t="inlineStr">
        <is>
          <t>Income from Sales</t>
        </is>
      </c>
      <c r="C11" s="137" t="n"/>
      <c r="D11" s="145" t="n"/>
      <c r="E11" s="156">
        <f>'15. Income Statement (3)'!E13*'6. Cash Receipts-Disbursements'!$G$8</f>
        <v/>
      </c>
      <c r="F11" s="156">
        <f>'15. Income Statement (3)'!F13*'6. Cash Receipts-Disbursements'!$G$8</f>
        <v/>
      </c>
      <c r="G11" s="156">
        <f>'15. Income Statement (3)'!G13*'6. Cash Receipts-Disbursements'!$G$8</f>
        <v/>
      </c>
      <c r="H11" s="156">
        <f>'15. Income Statement (3)'!H13*'6. Cash Receipts-Disbursements'!$G$8</f>
        <v/>
      </c>
      <c r="I11" s="156">
        <f>'15. Income Statement (3)'!I13*'6. Cash Receipts-Disbursements'!$G$8</f>
        <v/>
      </c>
      <c r="J11" s="156">
        <f>'15. Income Statement (3)'!J13*'6. Cash Receipts-Disbursements'!$G$8</f>
        <v/>
      </c>
      <c r="K11" s="156">
        <f>'15. Income Statement (3)'!K13*'6. Cash Receipts-Disbursements'!$G$8</f>
        <v/>
      </c>
      <c r="L11" s="156">
        <f>'15. Income Statement (3)'!L13*'6. Cash Receipts-Disbursements'!$G$8</f>
        <v/>
      </c>
      <c r="M11" s="156">
        <f>'15. Income Statement (3)'!M13*'6. Cash Receipts-Disbursements'!$G$8</f>
        <v/>
      </c>
      <c r="N11" s="156">
        <f>'15. Income Statement (3)'!N13*'6. Cash Receipts-Disbursements'!$G$8</f>
        <v/>
      </c>
      <c r="O11" s="156">
        <f>'15. Income Statement (3)'!O13*'6. Cash Receipts-Disbursements'!$G$8</f>
        <v/>
      </c>
      <c r="P11" s="156">
        <f>'15. Income Statement (3)'!P13*'6. Cash Receipts-Disbursements'!$G$8</f>
        <v/>
      </c>
      <c r="Q11" s="156">
        <f>SUM(E11:P11)</f>
        <v/>
      </c>
    </row>
    <row r="12" ht="12.75" customHeight="1" s="131">
      <c r="A12" s="137" t="n"/>
      <c r="B12" s="137" t="inlineStr">
        <is>
          <t>Accounts Receivable</t>
        </is>
      </c>
      <c r="C12" s="137" t="n"/>
      <c r="D12" s="145" t="n"/>
      <c r="E12" s="162">
        <f>('12. Income Statement (2)'!O13*'6. Cash Receipts-Disbursements'!G10)+('12. Income Statement (2)'!P13*'6. Cash Receipts-Disbursements'!G9)</f>
        <v/>
      </c>
      <c r="F12" s="162">
        <f>('12. Income Statement (2)'!P13*'6. Cash Receipts-Disbursements'!G10)+('15. Income Statement (3)'!E13*'6. Cash Receipts-Disbursements'!G9)</f>
        <v/>
      </c>
      <c r="G12" s="162">
        <f>('15. Income Statement (3)'!E13*'6. Cash Receipts-Disbursements'!$G$10)+('15. Income Statement (3)'!F13*'6. Cash Receipts-Disbursements'!$G$9)</f>
        <v/>
      </c>
      <c r="H12" s="162">
        <f>('15. Income Statement (3)'!F13*'6. Cash Receipts-Disbursements'!$G$10)+('15. Income Statement (3)'!G13*'6. Cash Receipts-Disbursements'!$G$9)</f>
        <v/>
      </c>
      <c r="I12" s="162">
        <f>('15. Income Statement (3)'!G13*'6. Cash Receipts-Disbursements'!$G$10)+('15. Income Statement (3)'!H13*'6. Cash Receipts-Disbursements'!$G$9)</f>
        <v/>
      </c>
      <c r="J12" s="162">
        <f>('15. Income Statement (3)'!H13*'6. Cash Receipts-Disbursements'!$G$10)+('15. Income Statement (3)'!I13*'6. Cash Receipts-Disbursements'!$G$9)</f>
        <v/>
      </c>
      <c r="K12" s="162">
        <f>('15. Income Statement (3)'!I13*'6. Cash Receipts-Disbursements'!$G$10)+('15. Income Statement (3)'!J13*'6. Cash Receipts-Disbursements'!$G$9)</f>
        <v/>
      </c>
      <c r="L12" s="162">
        <f>('15. Income Statement (3)'!J13*'6. Cash Receipts-Disbursements'!$G$10)+('15. Income Statement (3)'!K13*'6. Cash Receipts-Disbursements'!$G$9)</f>
        <v/>
      </c>
      <c r="M12" s="162">
        <f>('15. Income Statement (3)'!K13*'6. Cash Receipts-Disbursements'!$G$10)+('15. Income Statement (3)'!L13*'6. Cash Receipts-Disbursements'!$G$9)</f>
        <v/>
      </c>
      <c r="N12" s="162">
        <f>('15. Income Statement (3)'!L13*'6. Cash Receipts-Disbursements'!$G$10)+('15. Income Statement (3)'!M13*'6. Cash Receipts-Disbursements'!$G$9)</f>
        <v/>
      </c>
      <c r="O12" s="162">
        <f>('15. Income Statement (3)'!M13*'6. Cash Receipts-Disbursements'!$G$10)+('15. Income Statement (3)'!N13*'6. Cash Receipts-Disbursements'!$G$9)</f>
        <v/>
      </c>
      <c r="P12" s="162">
        <f>('15. Income Statement (3)'!N13*'6. Cash Receipts-Disbursements'!$G$10)+('15. Income Statement (3)'!O13*'6. Cash Receipts-Disbursements'!$G$9)</f>
        <v/>
      </c>
      <c r="Q12" s="162">
        <f>SUM(E12:P12)</f>
        <v/>
      </c>
    </row>
    <row r="13" ht="12.75" customHeight="1" s="131">
      <c r="A13" s="137" t="inlineStr">
        <is>
          <t>Total Cash Inflows</t>
        </is>
      </c>
      <c r="B13" s="137" t="n"/>
      <c r="C13" s="137" t="n"/>
      <c r="D13" s="145" t="n"/>
      <c r="E13" s="156">
        <f>SUM(E11:E12)</f>
        <v/>
      </c>
      <c r="F13" s="156">
        <f>SUM(F11:F12)</f>
        <v/>
      </c>
      <c r="G13" s="156">
        <f>SUM(G11:G12)</f>
        <v/>
      </c>
      <c r="H13" s="156">
        <f>SUM(H11:H12)</f>
        <v/>
      </c>
      <c r="I13" s="156">
        <f>SUM(I11:I12)</f>
        <v/>
      </c>
      <c r="J13" s="156">
        <f>SUM(J11:J12)</f>
        <v/>
      </c>
      <c r="K13" s="156">
        <f>SUM(K11:K12)</f>
        <v/>
      </c>
      <c r="L13" s="156">
        <f>SUM(L11:L12)</f>
        <v/>
      </c>
      <c r="M13" s="156">
        <f>SUM(M11:M12)</f>
        <v/>
      </c>
      <c r="N13" s="156">
        <f>SUM(N11:N12)</f>
        <v/>
      </c>
      <c r="O13" s="156">
        <f>SUM(O11:O12)</f>
        <v/>
      </c>
      <c r="P13" s="156">
        <f>SUM(P11:P12)</f>
        <v/>
      </c>
      <c r="Q13" s="156">
        <f>SUM(Q11:Q12)</f>
        <v/>
      </c>
    </row>
    <row r="14" ht="12.75" customHeight="1" s="131">
      <c r="A14" s="137" t="n"/>
      <c r="B14" s="137" t="n"/>
      <c r="C14" s="137" t="n"/>
      <c r="D14" s="145" t="n"/>
      <c r="E14" s="156" t="n"/>
      <c r="F14" s="156" t="n"/>
      <c r="G14" s="156" t="n"/>
      <c r="H14" s="156" t="n"/>
      <c r="I14" s="156" t="n"/>
      <c r="J14" s="156" t="n"/>
      <c r="K14" s="156" t="n"/>
      <c r="L14" s="156" t="n"/>
      <c r="M14" s="156" t="n"/>
      <c r="N14" s="156" t="n"/>
      <c r="O14" s="156" t="n"/>
      <c r="P14" s="156" t="n"/>
      <c r="Q14" s="156" t="n"/>
    </row>
    <row r="15" ht="12.75" customHeight="1" s="131">
      <c r="A15" s="137" t="inlineStr">
        <is>
          <t>Cash Outflows</t>
        </is>
      </c>
      <c r="B15" s="137" t="n"/>
      <c r="C15" s="137" t="n"/>
      <c r="D15" s="145" t="n"/>
      <c r="E15" s="156" t="n"/>
      <c r="F15" s="156" t="n"/>
      <c r="G15" s="156" t="n"/>
      <c r="H15" s="156" t="n"/>
      <c r="I15" s="156" t="n"/>
      <c r="J15" s="156" t="n"/>
      <c r="K15" s="156" t="n"/>
      <c r="L15" s="156" t="n"/>
      <c r="M15" s="156" t="n"/>
      <c r="N15" s="156" t="n"/>
      <c r="O15" s="156" t="n"/>
      <c r="P15" s="156" t="n"/>
      <c r="Q15" s="156" t="n"/>
    </row>
    <row r="16" ht="12.75" customHeight="1" s="131">
      <c r="A16" s="137" t="n"/>
      <c r="B16" s="137" t="inlineStr">
        <is>
          <t>Investing Activities</t>
        </is>
      </c>
      <c r="C16" s="137" t="n"/>
      <c r="D16" s="145" t="n"/>
      <c r="E16" s="156" t="n"/>
      <c r="F16" s="156" t="n"/>
      <c r="G16" s="156" t="n"/>
      <c r="H16" s="156" t="n"/>
      <c r="I16" s="156" t="n"/>
      <c r="J16" s="156" t="n"/>
      <c r="K16" s="156" t="n"/>
      <c r="L16" s="156" t="n"/>
      <c r="M16" s="156" t="n"/>
      <c r="N16" s="156" t="n"/>
      <c r="O16" s="156" t="n"/>
      <c r="P16" s="156" t="n"/>
      <c r="Q16" s="156" t="n"/>
    </row>
    <row r="17" ht="12.75" customHeight="1" s="131">
      <c r="A17" s="137" t="n"/>
      <c r="B17" s="137" t="n"/>
      <c r="C17" s="137" t="inlineStr">
        <is>
          <t>New Capital Purchases</t>
        </is>
      </c>
      <c r="D17" s="145" t="n"/>
      <c r="E17" s="200" t="n">
        <v>0</v>
      </c>
      <c r="F17" s="200" t="n">
        <v>0</v>
      </c>
      <c r="G17" s="200" t="n">
        <v>0</v>
      </c>
      <c r="H17" s="200" t="n">
        <v>0</v>
      </c>
      <c r="I17" s="200" t="n">
        <v>0</v>
      </c>
      <c r="J17" s="200" t="n">
        <v>0</v>
      </c>
      <c r="K17" s="200" t="n">
        <v>0</v>
      </c>
      <c r="L17" s="200" t="n">
        <v>0</v>
      </c>
      <c r="M17" s="200" t="n">
        <v>0</v>
      </c>
      <c r="N17" s="200" t="n">
        <v>0</v>
      </c>
      <c r="O17" s="200" t="n">
        <v>0</v>
      </c>
      <c r="P17" s="200" t="n">
        <v>0</v>
      </c>
      <c r="Q17" s="156">
        <f>SUM(E17:P17)</f>
        <v/>
      </c>
    </row>
    <row r="18" ht="12.75" customHeight="1" s="131">
      <c r="A18" s="137" t="n"/>
      <c r="B18" s="137" t="n"/>
      <c r="C18" s="137" t="inlineStr">
        <is>
          <t>Inventory Purchases</t>
        </is>
      </c>
      <c r="D18" s="145" t="n"/>
      <c r="E18" s="200" t="n">
        <v>0</v>
      </c>
      <c r="F18" s="200" t="n">
        <v>0</v>
      </c>
      <c r="G18" s="200" t="n">
        <v>0</v>
      </c>
      <c r="H18" s="200" t="n">
        <v>0</v>
      </c>
      <c r="I18" s="200" t="n">
        <v>0</v>
      </c>
      <c r="J18" s="200" t="n">
        <v>0</v>
      </c>
      <c r="K18" s="200" t="n">
        <v>0</v>
      </c>
      <c r="L18" s="200" t="n">
        <v>0</v>
      </c>
      <c r="M18" s="200" t="n">
        <v>0</v>
      </c>
      <c r="N18" s="200" t="n">
        <v>0</v>
      </c>
      <c r="O18" s="200" t="n">
        <v>0</v>
      </c>
      <c r="P18" s="200" t="n">
        <v>0</v>
      </c>
      <c r="Q18" s="156">
        <f>SUM(E18:P18)</f>
        <v/>
      </c>
    </row>
    <row r="19" ht="12.75" customHeight="1" s="131">
      <c r="A19" s="137" t="n"/>
      <c r="B19" s="137" t="n"/>
      <c r="C19" s="137" t="inlineStr">
        <is>
          <t>Cost of Sales</t>
        </is>
      </c>
      <c r="D19" s="145" t="n"/>
      <c r="E19" s="156">
        <f>('6. Cash Receipts-Disbursements'!G15*'15. Income Statement (3)'!E20)+('6. Cash Receipts-Disbursements'!G16*'12. Income Statement (2)'!P20)+('6. Cash Receipts-Disbursements'!G17*'12. Income Statement (2)'!O13)</f>
        <v/>
      </c>
      <c r="F19" s="156">
        <f>('6. Cash Receipts-Disbursements'!G15*'15. Income Statement (3)'!F20)+('6. Cash Receipts-Disbursements'!G16*'15. Income Statement (3)'!E20)+('6. Cash Receipts-Disbursements'!G17*'12. Income Statement (2)'!P20)</f>
        <v/>
      </c>
      <c r="G19" s="156">
        <f>('6. Cash Receipts-Disbursements'!$G$15*'15. Income Statement (3)'!G20)+('6. Cash Receipts-Disbursements'!$G$16*'15. Income Statement (3)'!F20)+('6. Cash Receipts-Disbursements'!$G$17*'15. Income Statement (3)'!E20)</f>
        <v/>
      </c>
      <c r="H19" s="156">
        <f>('6. Cash Receipts-Disbursements'!$G$15*'15. Income Statement (3)'!H20)+('6. Cash Receipts-Disbursements'!$G$16*'15. Income Statement (3)'!G20)+('6. Cash Receipts-Disbursements'!$G$17*'15. Income Statement (3)'!F20)</f>
        <v/>
      </c>
      <c r="I19" s="156">
        <f>('6. Cash Receipts-Disbursements'!$G$15*'15. Income Statement (3)'!I20)+('6. Cash Receipts-Disbursements'!$G$16*'15. Income Statement (3)'!H20)+('6. Cash Receipts-Disbursements'!$G$17*'15. Income Statement (3)'!G20)</f>
        <v/>
      </c>
      <c r="J19" s="156">
        <f>('6. Cash Receipts-Disbursements'!$G$15*'15. Income Statement (3)'!J20)+('6. Cash Receipts-Disbursements'!$G$16*'15. Income Statement (3)'!I20)+('6. Cash Receipts-Disbursements'!$G$17*'15. Income Statement (3)'!H20)</f>
        <v/>
      </c>
      <c r="K19" s="156">
        <f>('6. Cash Receipts-Disbursements'!$G$15*'15. Income Statement (3)'!K20)+('6. Cash Receipts-Disbursements'!$G$16*'15. Income Statement (3)'!J20)+('6. Cash Receipts-Disbursements'!$G$17*'15. Income Statement (3)'!I20)</f>
        <v/>
      </c>
      <c r="L19" s="156">
        <f>('6. Cash Receipts-Disbursements'!$G$15*'15. Income Statement (3)'!L20)+('6. Cash Receipts-Disbursements'!$G$16*'15. Income Statement (3)'!K20)+('6. Cash Receipts-Disbursements'!$G$17*'15. Income Statement (3)'!J20)</f>
        <v/>
      </c>
      <c r="M19" s="156">
        <f>('6. Cash Receipts-Disbursements'!$G$15*'15. Income Statement (3)'!M20)+('6. Cash Receipts-Disbursements'!$G$16*'15. Income Statement (3)'!L20)+('6. Cash Receipts-Disbursements'!$G$17*'15. Income Statement (3)'!K20)</f>
        <v/>
      </c>
      <c r="N19" s="156">
        <f>('6. Cash Receipts-Disbursements'!$G$15*'15. Income Statement (3)'!N20)+('6. Cash Receipts-Disbursements'!$G$16*'15. Income Statement (3)'!M20)+('6. Cash Receipts-Disbursements'!$G$17*'15. Income Statement (3)'!L20)</f>
        <v/>
      </c>
      <c r="O19" s="156">
        <f>('6. Cash Receipts-Disbursements'!$G$15*'15. Income Statement (3)'!O20)+('6. Cash Receipts-Disbursements'!$G$16*'15. Income Statement (3)'!N20)+('6. Cash Receipts-Disbursements'!$G$17*'15. Income Statement (3)'!M20)</f>
        <v/>
      </c>
      <c r="P19" s="156">
        <f>('6. Cash Receipts-Disbursements'!$G$15*'15. Income Statement (3)'!P20)+('6. Cash Receipts-Disbursements'!$G$16*'15. Income Statement (3)'!O20)+('6. Cash Receipts-Disbursements'!$G$17*'15. Income Statement (3)'!N20)</f>
        <v/>
      </c>
      <c r="Q19" s="156">
        <f>SUM(E19:P19)</f>
        <v/>
      </c>
    </row>
    <row r="20" ht="12.75" customHeight="1" s="131">
      <c r="A20" s="137" t="n"/>
      <c r="B20" s="137" t="inlineStr">
        <is>
          <t>Operating Activities</t>
        </is>
      </c>
      <c r="C20" s="137" t="n"/>
      <c r="D20" s="145" t="n"/>
      <c r="E20" s="156" t="n"/>
      <c r="F20" s="156" t="n"/>
      <c r="G20" s="156" t="n"/>
      <c r="H20" s="156" t="n"/>
      <c r="I20" s="156" t="n"/>
      <c r="J20" s="156" t="n"/>
      <c r="K20" s="156" t="n"/>
      <c r="L20" s="156" t="n"/>
      <c r="M20" s="156" t="n"/>
      <c r="N20" s="156" t="n"/>
      <c r="O20" s="156" t="n"/>
      <c r="P20" s="156" t="n"/>
      <c r="Q20" s="156" t="n"/>
    </row>
    <row r="21" ht="12.75" customHeight="1" s="131">
      <c r="A21" s="137" t="n"/>
      <c r="B21" s="137" t="n"/>
      <c r="C21" s="137">
        <f>'8. Income Statement'!A24</f>
        <v/>
      </c>
      <c r="D21" s="145" t="n"/>
      <c r="E21" s="156">
        <f>'15. Income Statement (3)'!E31</f>
        <v/>
      </c>
      <c r="F21" s="156">
        <f>'15. Income Statement (3)'!F31</f>
        <v/>
      </c>
      <c r="G21" s="156">
        <f>'15. Income Statement (3)'!G31</f>
        <v/>
      </c>
      <c r="H21" s="156">
        <f>'15. Income Statement (3)'!H31</f>
        <v/>
      </c>
      <c r="I21" s="156">
        <f>'15. Income Statement (3)'!I31</f>
        <v/>
      </c>
      <c r="J21" s="156">
        <f>'15. Income Statement (3)'!J31</f>
        <v/>
      </c>
      <c r="K21" s="156">
        <f>'15. Income Statement (3)'!K31</f>
        <v/>
      </c>
      <c r="L21" s="156">
        <f>'15. Income Statement (3)'!L31</f>
        <v/>
      </c>
      <c r="M21" s="156">
        <f>'15. Income Statement (3)'!M31</f>
        <v/>
      </c>
      <c r="N21" s="156">
        <f>'15. Income Statement (3)'!N31</f>
        <v/>
      </c>
      <c r="O21" s="156">
        <f>'15. Income Statement (3)'!O31</f>
        <v/>
      </c>
      <c r="P21" s="156">
        <f>'15. Income Statement (3)'!P31</f>
        <v/>
      </c>
      <c r="Q21" s="156">
        <f>SUM(E21:P21)</f>
        <v/>
      </c>
    </row>
    <row r="22" ht="12.75" customHeight="1" s="131">
      <c r="A22" s="137" t="n"/>
      <c r="B22" s="137" t="n"/>
      <c r="C22" s="137">
        <f>'8. Income Statement'!A33</f>
        <v/>
      </c>
      <c r="D22" s="145" t="n"/>
      <c r="E22" s="156">
        <f>'15. Income Statement (3)'!E54</f>
        <v/>
      </c>
      <c r="F22" s="156">
        <f>'15. Income Statement (3)'!F54</f>
        <v/>
      </c>
      <c r="G22" s="156">
        <f>'15. Income Statement (3)'!G54</f>
        <v/>
      </c>
      <c r="H22" s="156">
        <f>'15. Income Statement (3)'!H54</f>
        <v/>
      </c>
      <c r="I22" s="156">
        <f>'15. Income Statement (3)'!I54</f>
        <v/>
      </c>
      <c r="J22" s="156">
        <f>'15. Income Statement (3)'!J54</f>
        <v/>
      </c>
      <c r="K22" s="156">
        <f>'15. Income Statement (3)'!K54</f>
        <v/>
      </c>
      <c r="L22" s="156">
        <f>'15. Income Statement (3)'!L54</f>
        <v/>
      </c>
      <c r="M22" s="156">
        <f>'15. Income Statement (3)'!M54</f>
        <v/>
      </c>
      <c r="N22" s="156">
        <f>'15. Income Statement (3)'!N54</f>
        <v/>
      </c>
      <c r="O22" s="156">
        <f>'15. Income Statement (3)'!O54</f>
        <v/>
      </c>
      <c r="P22" s="156">
        <f>'15. Income Statement (3)'!P54</f>
        <v/>
      </c>
      <c r="Q22" s="156">
        <f>SUM(E22:P22)</f>
        <v/>
      </c>
    </row>
    <row r="23" ht="12.75" customHeight="1" s="131">
      <c r="A23" s="137" t="n"/>
      <c r="B23" s="137" t="n"/>
      <c r="C23" s="137" t="inlineStr">
        <is>
          <t>Taxes</t>
        </is>
      </c>
      <c r="D23" s="145" t="n"/>
      <c r="E23" s="156" t="n">
        <v>0</v>
      </c>
      <c r="F23" s="156" t="n">
        <v>0</v>
      </c>
      <c r="G23" s="156">
        <f>SUM('15. Income Statement (3)'!E63:G63)</f>
        <v/>
      </c>
      <c r="H23" s="156" t="n">
        <v>0</v>
      </c>
      <c r="I23" s="156" t="n">
        <v>0</v>
      </c>
      <c r="J23" s="156">
        <f>SUM('15. Income Statement (3)'!H63:J63)</f>
        <v/>
      </c>
      <c r="K23" s="156" t="n">
        <v>0</v>
      </c>
      <c r="L23" s="156" t="n">
        <v>0</v>
      </c>
      <c r="M23" s="156">
        <f>SUM('15. Income Statement (3)'!K63:M63)</f>
        <v/>
      </c>
      <c r="N23" s="156" t="n">
        <v>0</v>
      </c>
      <c r="O23" s="156" t="n">
        <v>0</v>
      </c>
      <c r="P23" s="156">
        <f>SUM('15. Income Statement (3)'!N63:P63)</f>
        <v/>
      </c>
      <c r="Q23" s="156">
        <f>SUM(E23:P23)</f>
        <v/>
      </c>
    </row>
    <row r="24" ht="12.75" customHeight="1" s="131">
      <c r="A24" s="137" t="n"/>
      <c r="B24" s="137" t="inlineStr">
        <is>
          <t>Financing Activities</t>
        </is>
      </c>
      <c r="C24" s="137" t="n"/>
      <c r="D24" s="145" t="n"/>
      <c r="E24" s="156" t="n"/>
      <c r="F24" s="156" t="n"/>
      <c r="G24" s="156" t="n"/>
      <c r="H24" s="156" t="n"/>
      <c r="I24" s="156" t="n"/>
      <c r="J24" s="156" t="n"/>
      <c r="K24" s="156" t="n"/>
      <c r="L24" s="156" t="n"/>
      <c r="M24" s="156" t="n"/>
      <c r="N24" s="156" t="n"/>
      <c r="O24" s="156" t="n"/>
      <c r="P24" s="156" t="n"/>
      <c r="Q24" s="156">
        <f>SUM(E24:P24)</f>
        <v/>
      </c>
    </row>
    <row r="25" ht="12.75" customHeight="1" s="131">
      <c r="A25" s="137" t="n"/>
      <c r="B25" s="137" t="n"/>
      <c r="C25" s="137" t="inlineStr">
        <is>
          <t>Loan Payments</t>
        </is>
      </c>
      <c r="D25" s="145" t="n"/>
      <c r="E25" s="156">
        <f>'1. Required Start-Up Funds'!J42</f>
        <v/>
      </c>
      <c r="F25" s="156">
        <f>E25</f>
        <v/>
      </c>
      <c r="G25" s="156">
        <f>F25</f>
        <v/>
      </c>
      <c r="H25" s="156">
        <f>G25</f>
        <v/>
      </c>
      <c r="I25" s="156">
        <f>H25</f>
        <v/>
      </c>
      <c r="J25" s="156">
        <f>I25</f>
        <v/>
      </c>
      <c r="K25" s="156">
        <f>J25</f>
        <v/>
      </c>
      <c r="L25" s="156">
        <f>K25</f>
        <v/>
      </c>
      <c r="M25" s="156">
        <f>L25</f>
        <v/>
      </c>
      <c r="N25" s="156">
        <f>M25</f>
        <v/>
      </c>
      <c r="O25" s="156">
        <f>N25</f>
        <v/>
      </c>
      <c r="P25" s="156">
        <f>O25</f>
        <v/>
      </c>
      <c r="Q25" s="156">
        <f>SUM(E25:P25)</f>
        <v/>
      </c>
    </row>
    <row r="26" ht="12.75" customHeight="1" s="131">
      <c r="A26" s="137" t="n"/>
      <c r="B26" s="137" t="n"/>
      <c r="C26" s="137" t="inlineStr">
        <is>
          <t>Line of Credit Interest</t>
        </is>
      </c>
      <c r="D26" s="145" t="n"/>
      <c r="E26" s="156">
        <f>'6. Cash Receipts-Disbursements'!G22/12*'13. Cash Flow Statement (2)'!P40</f>
        <v/>
      </c>
      <c r="F26" s="156">
        <f>'6. Cash Receipts-Disbursements'!G22/12*'16. Cash Flow Statement (3)'!E40</f>
        <v/>
      </c>
      <c r="G26" s="156">
        <f>('6. Cash Receipts-Disbursements'!$G$22/12)*F40</f>
        <v/>
      </c>
      <c r="H26" s="156">
        <f>('6. Cash Receipts-Disbursements'!$G$22/12)*G40</f>
        <v/>
      </c>
      <c r="I26" s="156">
        <f>('6. Cash Receipts-Disbursements'!$G$22/12)*H40</f>
        <v/>
      </c>
      <c r="J26" s="156">
        <f>('6. Cash Receipts-Disbursements'!$G$22/12)*I40</f>
        <v/>
      </c>
      <c r="K26" s="156">
        <f>('6. Cash Receipts-Disbursements'!$G$22/12)*J40</f>
        <v/>
      </c>
      <c r="L26" s="156">
        <f>('6. Cash Receipts-Disbursements'!$G$22/12)*K40</f>
        <v/>
      </c>
      <c r="M26" s="156">
        <f>('6. Cash Receipts-Disbursements'!$G$22/12)*L40</f>
        <v/>
      </c>
      <c r="N26" s="156">
        <f>('6. Cash Receipts-Disbursements'!$G$22/12)*M40</f>
        <v/>
      </c>
      <c r="O26" s="156">
        <f>('6. Cash Receipts-Disbursements'!$G$22/12)*N40</f>
        <v/>
      </c>
      <c r="P26" s="156">
        <f>('6. Cash Receipts-Disbursements'!$G$22/12)*O40</f>
        <v/>
      </c>
      <c r="Q26" s="156">
        <f>SUM(E26:P26)</f>
        <v/>
      </c>
    </row>
    <row r="27" ht="12.75" customHeight="1" s="131">
      <c r="A27" s="137" t="n"/>
      <c r="B27" s="137" t="n"/>
      <c r="C27" s="137" t="inlineStr">
        <is>
          <t>Line of Credit Repayments</t>
        </is>
      </c>
      <c r="D27" s="145" t="n"/>
      <c r="E27" s="200" t="n">
        <v>0</v>
      </c>
      <c r="F27" s="200" t="n">
        <v>0</v>
      </c>
      <c r="G27" s="200" t="n">
        <v>0</v>
      </c>
      <c r="H27" s="200" t="n">
        <v>0</v>
      </c>
      <c r="I27" s="200" t="n">
        <v>0</v>
      </c>
      <c r="J27" s="200" t="n">
        <v>0</v>
      </c>
      <c r="K27" s="200" t="n">
        <v>0</v>
      </c>
      <c r="L27" s="200" t="n">
        <v>0</v>
      </c>
      <c r="M27" s="200" t="n">
        <v>0</v>
      </c>
      <c r="N27" s="200" t="n">
        <v>0</v>
      </c>
      <c r="O27" s="200" t="n">
        <v>0</v>
      </c>
      <c r="P27" s="200" t="n">
        <v>0</v>
      </c>
      <c r="Q27" s="156">
        <f>SUM(E27:P27)</f>
        <v/>
      </c>
    </row>
    <row r="28" ht="12.75" customHeight="1" s="131">
      <c r="A28" s="137" t="n"/>
      <c r="B28" s="137" t="n"/>
      <c r="C28" s="137" t="inlineStr">
        <is>
          <t>Dividends Paid</t>
        </is>
      </c>
      <c r="D28" s="145" t="n"/>
      <c r="E28" s="222" t="n">
        <v>0</v>
      </c>
      <c r="F28" s="222" t="n">
        <v>0</v>
      </c>
      <c r="G28" s="222" t="n">
        <v>0</v>
      </c>
      <c r="H28" s="222" t="n">
        <v>0</v>
      </c>
      <c r="I28" s="222" t="n">
        <v>0</v>
      </c>
      <c r="J28" s="222" t="n">
        <v>0</v>
      </c>
      <c r="K28" s="222" t="n">
        <v>0</v>
      </c>
      <c r="L28" s="222" t="n">
        <v>0</v>
      </c>
      <c r="M28" s="222" t="n">
        <v>0</v>
      </c>
      <c r="N28" s="222" t="n">
        <v>0</v>
      </c>
      <c r="O28" s="222" t="n">
        <v>0</v>
      </c>
      <c r="P28" s="222" t="n">
        <v>0</v>
      </c>
      <c r="Q28" s="162">
        <f>SUM(E28:P28)</f>
        <v/>
      </c>
    </row>
    <row r="29" ht="12.75" customHeight="1" s="131">
      <c r="A29" s="137" t="inlineStr">
        <is>
          <t>Total Cash Outflows</t>
        </is>
      </c>
      <c r="B29" s="137" t="n"/>
      <c r="C29" s="137" t="n"/>
      <c r="D29" s="145" t="n"/>
      <c r="E29" s="156">
        <f>SUM(E17:E28)</f>
        <v/>
      </c>
      <c r="F29" s="156">
        <f>SUM(F17:F28)</f>
        <v/>
      </c>
      <c r="G29" s="156">
        <f>SUM(G17:G28)</f>
        <v/>
      </c>
      <c r="H29" s="156">
        <f>SUM(H17:H28)</f>
        <v/>
      </c>
      <c r="I29" s="156">
        <f>SUM(I17:I28)</f>
        <v/>
      </c>
      <c r="J29" s="156">
        <f>SUM(J17:J28)</f>
        <v/>
      </c>
      <c r="K29" s="156">
        <f>SUM(K17:K28)</f>
        <v/>
      </c>
      <c r="L29" s="156">
        <f>SUM(L17:L28)</f>
        <v/>
      </c>
      <c r="M29" s="156">
        <f>SUM(M17:M28)</f>
        <v/>
      </c>
      <c r="N29" s="156">
        <f>SUM(N17:N28)</f>
        <v/>
      </c>
      <c r="O29" s="156">
        <f>SUM(O17:O28)</f>
        <v/>
      </c>
      <c r="P29" s="156">
        <f>SUM(P17:P28)</f>
        <v/>
      </c>
      <c r="Q29" s="156">
        <f>SUM(Q17:Q28)</f>
        <v/>
      </c>
    </row>
    <row r="30" ht="12.75" customHeight="1" s="131">
      <c r="A30" s="137" t="n"/>
      <c r="B30" s="137" t="n"/>
      <c r="C30" s="137" t="n"/>
      <c r="D30" s="145" t="n"/>
      <c r="E30" s="156" t="n"/>
      <c r="F30" s="156" t="n"/>
      <c r="G30" s="156" t="n"/>
      <c r="H30" s="156" t="n"/>
      <c r="I30" s="156" t="n"/>
      <c r="J30" s="156" t="n"/>
      <c r="K30" s="156" t="n"/>
      <c r="L30" s="156" t="n"/>
      <c r="M30" s="156" t="n"/>
      <c r="N30" s="156" t="n"/>
      <c r="O30" s="156" t="n"/>
      <c r="P30" s="156" t="n"/>
      <c r="Q30" s="156" t="n"/>
    </row>
    <row r="31" ht="12.75" customHeight="1" s="131">
      <c r="A31" s="137" t="inlineStr">
        <is>
          <t>Cash Flow</t>
        </is>
      </c>
      <c r="B31" s="137" t="n"/>
      <c r="C31" s="137" t="n"/>
      <c r="D31" s="145" t="n"/>
      <c r="E31" s="156">
        <f>E13-E29</f>
        <v/>
      </c>
      <c r="F31" s="156">
        <f>F13-F29</f>
        <v/>
      </c>
      <c r="G31" s="156">
        <f>G13-G29</f>
        <v/>
      </c>
      <c r="H31" s="156">
        <f>H13-H29</f>
        <v/>
      </c>
      <c r="I31" s="156">
        <f>I13-I29</f>
        <v/>
      </c>
      <c r="J31" s="156">
        <f>J13-J29</f>
        <v/>
      </c>
      <c r="K31" s="156">
        <f>K13-K29</f>
        <v/>
      </c>
      <c r="L31" s="156">
        <f>L13-L29</f>
        <v/>
      </c>
      <c r="M31" s="156">
        <f>M13-M29</f>
        <v/>
      </c>
      <c r="N31" s="156">
        <f>N13-N29</f>
        <v/>
      </c>
      <c r="O31" s="156">
        <f>O13-O29</f>
        <v/>
      </c>
      <c r="P31" s="156">
        <f>P13-P29</f>
        <v/>
      </c>
      <c r="Q31" s="156">
        <f>Q13-Q29</f>
        <v/>
      </c>
    </row>
    <row r="32" ht="12.75" customHeight="1" s="131">
      <c r="A32" s="137" t="n"/>
      <c r="B32" s="137" t="n"/>
      <c r="C32" s="137" t="n"/>
      <c r="D32" s="145" t="n"/>
      <c r="E32" s="156" t="n"/>
      <c r="F32" s="156" t="n"/>
      <c r="G32" s="156" t="n"/>
      <c r="H32" s="156" t="n"/>
      <c r="I32" s="156" t="n"/>
      <c r="J32" s="156" t="n"/>
      <c r="K32" s="156" t="n"/>
      <c r="L32" s="156" t="n"/>
      <c r="M32" s="156" t="n"/>
      <c r="N32" s="156" t="n"/>
      <c r="O32" s="156" t="n"/>
      <c r="P32" s="156" t="n"/>
      <c r="Q32" s="156" t="n"/>
    </row>
    <row r="33" ht="12.75" customHeight="1" s="131">
      <c r="A33" s="137" t="inlineStr">
        <is>
          <t>Operating Cash Balance</t>
        </is>
      </c>
      <c r="B33" s="137" t="n"/>
      <c r="C33" s="137" t="n"/>
      <c r="D33" s="145" t="n"/>
      <c r="E33" s="162">
        <f>E8+E31</f>
        <v/>
      </c>
      <c r="F33" s="162">
        <f>F8+F31</f>
        <v/>
      </c>
      <c r="G33" s="162">
        <f>G8+G31</f>
        <v/>
      </c>
      <c r="H33" s="162">
        <f>H8+H31</f>
        <v/>
      </c>
      <c r="I33" s="162">
        <f>I8+I31</f>
        <v/>
      </c>
      <c r="J33" s="162">
        <f>J8+J31</f>
        <v/>
      </c>
      <c r="K33" s="162">
        <f>K8+K31</f>
        <v/>
      </c>
      <c r="L33" s="162">
        <f>L8+L31</f>
        <v/>
      </c>
      <c r="M33" s="162">
        <f>M8+M31</f>
        <v/>
      </c>
      <c r="N33" s="162">
        <f>N8+N31</f>
        <v/>
      </c>
      <c r="O33" s="162">
        <f>O8+O31</f>
        <v/>
      </c>
      <c r="P33" s="162">
        <f>P8+P31</f>
        <v/>
      </c>
      <c r="Q33" s="162" t="n"/>
    </row>
    <row r="34" ht="12.75" customHeight="1" s="131">
      <c r="A34" s="137" t="n"/>
      <c r="B34" s="137" t="n"/>
      <c r="C34" s="137" t="n"/>
      <c r="D34" s="145" t="n"/>
      <c r="E34" s="156" t="n"/>
      <c r="F34" s="156" t="n"/>
      <c r="G34" s="156" t="n"/>
      <c r="H34" s="156" t="n"/>
      <c r="I34" s="156" t="n"/>
      <c r="J34" s="156" t="n"/>
      <c r="K34" s="156" t="n"/>
      <c r="L34" s="156" t="n"/>
      <c r="M34" s="156" t="n"/>
      <c r="N34" s="156" t="n"/>
      <c r="O34" s="156" t="n"/>
      <c r="P34" s="156" t="n"/>
      <c r="Q34" s="156" t="n"/>
    </row>
    <row r="35" ht="12.75" customHeight="1" s="131">
      <c r="A35" s="137" t="inlineStr">
        <is>
          <t>Line of Credit Drawdowns</t>
        </is>
      </c>
      <c r="B35" s="137" t="n"/>
      <c r="C35" s="137" t="n"/>
      <c r="D35" s="145" t="n"/>
      <c r="E35" s="156">
        <f>IF((E33-'6. Cash Receipts-Disbursements'!$G$21)&lt;0,'6. Cash Receipts-Disbursements'!$G$21-'16. Cash Flow Statement (3)'!E33,0)</f>
        <v/>
      </c>
      <c r="F35" s="156">
        <f>IF((F33-'6. Cash Receipts-Disbursements'!$G$21)&lt;0,'6. Cash Receipts-Disbursements'!$G$21-'16. Cash Flow Statement (3)'!F33,0)</f>
        <v/>
      </c>
      <c r="G35" s="156">
        <f>IF((G33-'6. Cash Receipts-Disbursements'!$G$21)&lt;0,'6. Cash Receipts-Disbursements'!$G$21-'16. Cash Flow Statement (3)'!G33,0)</f>
        <v/>
      </c>
      <c r="H35" s="156">
        <f>IF((H33-'6. Cash Receipts-Disbursements'!$G$21)&lt;0,'6. Cash Receipts-Disbursements'!$G$21-'16. Cash Flow Statement (3)'!H33,0)</f>
        <v/>
      </c>
      <c r="I35" s="156">
        <f>IF((I33-'6. Cash Receipts-Disbursements'!$G$21)&lt;0,'6. Cash Receipts-Disbursements'!$G$21-'16. Cash Flow Statement (3)'!I33,0)</f>
        <v/>
      </c>
      <c r="J35" s="156">
        <f>IF((J33-'6. Cash Receipts-Disbursements'!$G$21)&lt;0,'6. Cash Receipts-Disbursements'!$G$21-'16. Cash Flow Statement (3)'!J33,0)</f>
        <v/>
      </c>
      <c r="K35" s="156">
        <f>IF((K33-'6. Cash Receipts-Disbursements'!$G$21)&lt;0,'6. Cash Receipts-Disbursements'!$G$21-'16. Cash Flow Statement (3)'!K33,0)</f>
        <v/>
      </c>
      <c r="L35" s="156">
        <f>IF((L33-'6. Cash Receipts-Disbursements'!$G$21)&lt;0,'6. Cash Receipts-Disbursements'!$G$21-'16. Cash Flow Statement (3)'!L33,0)</f>
        <v/>
      </c>
      <c r="M35" s="156">
        <f>IF((M33-'6. Cash Receipts-Disbursements'!$G$21)&lt;0,'6. Cash Receipts-Disbursements'!$G$21-'16. Cash Flow Statement (3)'!M33,0)</f>
        <v/>
      </c>
      <c r="N35" s="156">
        <f>IF((N33-'6. Cash Receipts-Disbursements'!$G$21)&lt;0,'6. Cash Receipts-Disbursements'!$G$21-'16. Cash Flow Statement (3)'!N33,0)</f>
        <v/>
      </c>
      <c r="O35" s="156">
        <f>IF((O33-'6. Cash Receipts-Disbursements'!$G$21)&lt;0,'6. Cash Receipts-Disbursements'!$G$21-'16. Cash Flow Statement (3)'!O33,0)</f>
        <v/>
      </c>
      <c r="P35" s="156">
        <f>IF((P33-'6. Cash Receipts-Disbursements'!$G$21)&lt;0,'6. Cash Receipts-Disbursements'!$G$21-'16. Cash Flow Statement (3)'!P33,0)</f>
        <v/>
      </c>
      <c r="Q35" s="156">
        <f>SUM(E35:P35)</f>
        <v/>
      </c>
    </row>
    <row r="36" ht="12.75" customHeight="1" s="131">
      <c r="A36" s="137" t="n"/>
      <c r="B36" s="137" t="n"/>
      <c r="C36" s="137" t="n"/>
      <c r="D36" s="145" t="n"/>
      <c r="E36" s="162" t="n"/>
      <c r="F36" s="162" t="n"/>
      <c r="G36" s="162" t="n"/>
      <c r="H36" s="162" t="n"/>
      <c r="I36" s="162" t="n"/>
      <c r="J36" s="162" t="n"/>
      <c r="K36" s="162" t="n"/>
      <c r="L36" s="162" t="n"/>
      <c r="M36" s="162" t="n"/>
      <c r="N36" s="162" t="n"/>
      <c r="O36" s="162" t="n"/>
      <c r="P36" s="162" t="n"/>
      <c r="Q36" s="162" t="n"/>
    </row>
    <row r="37" ht="15.95" customHeight="1" s="131">
      <c r="A37" s="137" t="inlineStr">
        <is>
          <t>Ending Cash Balance</t>
        </is>
      </c>
      <c r="B37" s="137" t="n"/>
      <c r="C37" s="137" t="n"/>
      <c r="D37" s="145" t="n"/>
      <c r="E37" s="184">
        <f>E33+E35</f>
        <v/>
      </c>
      <c r="F37" s="184">
        <f>F33+F35</f>
        <v/>
      </c>
      <c r="G37" s="184">
        <f>G33+G35</f>
        <v/>
      </c>
      <c r="H37" s="184">
        <f>H33+H35</f>
        <v/>
      </c>
      <c r="I37" s="184">
        <f>I33+I35</f>
        <v/>
      </c>
      <c r="J37" s="184">
        <f>J33+J35</f>
        <v/>
      </c>
      <c r="K37" s="184">
        <f>K33+K35</f>
        <v/>
      </c>
      <c r="L37" s="184">
        <f>L33+L35</f>
        <v/>
      </c>
      <c r="M37" s="184">
        <f>M33+M35</f>
        <v/>
      </c>
      <c r="N37" s="184">
        <f>N33+N35</f>
        <v/>
      </c>
      <c r="O37" s="184">
        <f>O33+O35</f>
        <v/>
      </c>
      <c r="P37" s="184">
        <f>P33+P35</f>
        <v/>
      </c>
      <c r="Q37" s="184" t="n"/>
    </row>
    <row r="38" ht="12.75" customHeight="1" s="131">
      <c r="A38" s="137" t="n"/>
      <c r="B38" s="137" t="n"/>
      <c r="C38" s="137" t="n"/>
      <c r="D38" s="145" t="n"/>
      <c r="E38" s="156" t="n"/>
      <c r="F38" s="156" t="n"/>
      <c r="G38" s="156" t="n"/>
      <c r="H38" s="156" t="n"/>
      <c r="I38" s="156" t="n"/>
      <c r="J38" s="156" t="n"/>
      <c r="K38" s="156" t="n"/>
      <c r="L38" s="156" t="n"/>
      <c r="M38" s="156" t="n"/>
      <c r="N38" s="156" t="n"/>
      <c r="O38" s="156" t="n"/>
      <c r="P38" s="156" t="n"/>
      <c r="Q38" s="156" t="n"/>
    </row>
    <row r="39" ht="12.75" customHeight="1" s="131">
      <c r="A39" s="137" t="n"/>
      <c r="B39" s="137" t="n"/>
      <c r="C39" s="137" t="n"/>
      <c r="D39" s="145" t="n"/>
      <c r="E39" s="156" t="n"/>
      <c r="F39" s="156" t="n"/>
      <c r="G39" s="156" t="n"/>
      <c r="H39" s="156" t="n"/>
      <c r="I39" s="156" t="n"/>
      <c r="J39" s="156" t="n"/>
      <c r="K39" s="156" t="n"/>
      <c r="L39" s="156" t="n"/>
      <c r="M39" s="156" t="n"/>
      <c r="N39" s="156" t="n"/>
      <c r="O39" s="156" t="n"/>
      <c r="P39" s="156" t="n"/>
      <c r="Q39" s="156" t="n"/>
    </row>
    <row r="40" ht="12.75" customHeight="1" s="131">
      <c r="A40" s="137" t="inlineStr">
        <is>
          <t>Line of Credit Balance</t>
        </is>
      </c>
      <c r="B40" s="137" t="n"/>
      <c r="C40" s="137" t="n"/>
      <c r="D40" s="145" t="n"/>
      <c r="E40" s="156">
        <f>E35+'13. Cash Flow Statement (2)'!P40-'16. Cash Flow Statement (3)'!E27</f>
        <v/>
      </c>
      <c r="F40" s="156">
        <f>E40+F35-F27</f>
        <v/>
      </c>
      <c r="G40" s="156">
        <f>F40+G35-G27</f>
        <v/>
      </c>
      <c r="H40" s="156">
        <f>G40+H35-H27</f>
        <v/>
      </c>
      <c r="I40" s="156">
        <f>H40+I35-I27</f>
        <v/>
      </c>
      <c r="J40" s="156">
        <f>I40+J35-J27</f>
        <v/>
      </c>
      <c r="K40" s="156">
        <f>J40+K35-K27</f>
        <v/>
      </c>
      <c r="L40" s="156">
        <f>K40+L35-L27</f>
        <v/>
      </c>
      <c r="M40" s="156">
        <f>L40+M35-M27</f>
        <v/>
      </c>
      <c r="N40" s="156">
        <f>M40+N35-N27</f>
        <v/>
      </c>
      <c r="O40" s="156">
        <f>N40+O35-O27</f>
        <v/>
      </c>
      <c r="P40" s="156">
        <f>O40+P35-P27</f>
        <v/>
      </c>
      <c r="Q40" s="156" t="n"/>
    </row>
    <row r="41" ht="12.75" customHeight="1" s="131">
      <c r="A41" s="137" t="n"/>
      <c r="B41" s="137" t="n"/>
      <c r="C41" s="137" t="n"/>
      <c r="D41" s="145" t="n"/>
      <c r="E41" s="145" t="n"/>
      <c r="F41" s="145" t="n"/>
      <c r="G41" s="145" t="n"/>
      <c r="H41" s="145" t="n"/>
      <c r="I41" s="145" t="n"/>
      <c r="J41" s="145" t="n"/>
      <c r="K41" s="145" t="n"/>
      <c r="L41" s="145" t="n"/>
      <c r="M41" s="145" t="n"/>
      <c r="N41" s="145" t="n"/>
      <c r="O41" s="145" t="n"/>
      <c r="P41" s="145" t="n"/>
      <c r="Q41" s="145" t="n"/>
    </row>
    <row r="42" ht="12.75" customHeight="1" s="131">
      <c r="A42" s="137" t="n"/>
      <c r="B42" s="137" t="n"/>
      <c r="C42" s="137" t="n"/>
      <c r="D42" s="145" t="n"/>
      <c r="E42" s="145" t="n"/>
      <c r="F42" s="145" t="n"/>
      <c r="G42" s="145" t="n"/>
      <c r="H42" s="145" t="n"/>
      <c r="I42" s="145" t="n"/>
      <c r="J42" s="145" t="n"/>
      <c r="K42" s="145" t="n"/>
      <c r="L42" s="145" t="n"/>
      <c r="M42" s="145" t="n"/>
      <c r="N42" s="145" t="n"/>
      <c r="O42" s="145" t="n"/>
      <c r="P42" s="145" t="n"/>
      <c r="Q42" s="145" t="n"/>
    </row>
    <row r="43" ht="12.75" customHeight="1" s="131">
      <c r="A43" s="137" t="n"/>
      <c r="B43" s="137" t="n"/>
      <c r="C43" s="137" t="n"/>
      <c r="D43" s="145" t="n"/>
      <c r="E43" s="145" t="n"/>
      <c r="F43" s="145" t="n"/>
      <c r="G43" s="145" t="n"/>
      <c r="H43" s="145" t="n"/>
      <c r="I43" s="145" t="n"/>
      <c r="J43" s="145" t="n"/>
      <c r="K43" s="145" t="n"/>
      <c r="L43" s="145" t="n"/>
      <c r="M43" s="145" t="n"/>
      <c r="N43" s="145" t="n"/>
      <c r="O43" s="145" t="n"/>
      <c r="P43" s="145" t="n"/>
      <c r="Q43" s="145" t="n"/>
    </row>
    <row r="44" ht="12.75" customHeight="1" s="131">
      <c r="A44" s="137" t="n"/>
      <c r="B44" s="137" t="n"/>
      <c r="C44" s="137" t="n"/>
      <c r="D44" s="145" t="n"/>
      <c r="E44" s="182" t="n"/>
      <c r="F44" s="145" t="n"/>
      <c r="G44" s="145" t="n"/>
      <c r="H44" s="145" t="n"/>
      <c r="I44" s="145" t="n"/>
      <c r="J44" s="145" t="n"/>
      <c r="K44" s="145" t="n"/>
      <c r="L44" s="145" t="n"/>
      <c r="M44" s="145" t="n"/>
      <c r="N44" s="145" t="n"/>
      <c r="O44" s="145" t="n"/>
      <c r="P44" s="145" t="n"/>
      <c r="Q44" s="145" t="n"/>
    </row>
    <row r="45" ht="12.75" customHeight="1" s="131">
      <c r="A45" s="137" t="n"/>
      <c r="B45" s="137" t="n"/>
      <c r="C45" s="137" t="n"/>
      <c r="D45" s="145" t="n"/>
      <c r="E45" s="145" t="n"/>
      <c r="F45" s="145" t="n"/>
      <c r="G45" s="145" t="n"/>
      <c r="H45" s="145" t="n"/>
      <c r="I45" s="145" t="n"/>
      <c r="J45" s="145" t="n"/>
      <c r="K45" s="145" t="n"/>
      <c r="L45" s="145" t="n"/>
      <c r="M45" s="145" t="n"/>
      <c r="N45" s="145" t="n"/>
      <c r="O45" s="145" t="n"/>
      <c r="P45" s="145" t="n"/>
      <c r="Q45" s="145" t="n"/>
    </row>
    <row r="46" ht="12.75" customHeight="1" s="131">
      <c r="A46" s="137" t="n"/>
      <c r="B46" s="137" t="n"/>
      <c r="C46" s="137" t="n"/>
      <c r="D46" s="145" t="n"/>
      <c r="E46" s="145" t="n"/>
      <c r="F46" s="145" t="n"/>
      <c r="G46" s="145" t="n"/>
      <c r="H46" s="145" t="n"/>
      <c r="I46" s="145" t="n"/>
      <c r="J46" s="145" t="n"/>
      <c r="K46" s="145" t="n"/>
      <c r="L46" s="145" t="n"/>
      <c r="M46" s="145" t="n"/>
      <c r="N46" s="145" t="n"/>
      <c r="O46" s="145" t="n"/>
      <c r="P46" s="145" t="n"/>
      <c r="Q46" s="145" t="n"/>
    </row>
    <row r="47" ht="12.75" customHeight="1" s="131">
      <c r="A47" s="137" t="n"/>
      <c r="B47" s="137" t="n"/>
      <c r="C47" s="137" t="n"/>
      <c r="D47" s="145" t="n"/>
      <c r="E47" s="145" t="n"/>
      <c r="F47" s="145" t="n"/>
      <c r="G47" s="145" t="n"/>
      <c r="H47" s="145" t="n"/>
      <c r="I47" s="145" t="n"/>
      <c r="J47" s="145" t="n"/>
      <c r="K47" s="145" t="n"/>
      <c r="L47" s="145" t="n"/>
      <c r="M47" s="145" t="n"/>
      <c r="N47" s="145" t="n"/>
      <c r="O47" s="145" t="n"/>
      <c r="P47" s="145" t="n"/>
      <c r="Q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c r="Q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c r="Q49" s="145" t="n"/>
    </row>
    <row r="50" ht="12.75" customHeight="1" s="131">
      <c r="A50" s="137" t="n"/>
      <c r="B50" s="137" t="n"/>
      <c r="C50" s="137" t="n"/>
      <c r="D50" s="145" t="n"/>
      <c r="E50" s="145" t="n"/>
      <c r="F50" s="145" t="n"/>
      <c r="G50" s="145" t="n"/>
      <c r="H50" s="145" t="n"/>
      <c r="I50" s="145" t="n"/>
      <c r="J50" s="145" t="n"/>
      <c r="K50" s="145" t="n"/>
      <c r="L50" s="145" t="n"/>
      <c r="M50" s="145" t="n"/>
      <c r="N50" s="145" t="n"/>
      <c r="O50" s="145" t="n"/>
      <c r="P50" s="145" t="n"/>
      <c r="Q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c r="Q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c r="Q52" s="145" t="n"/>
    </row>
    <row r="53" ht="12.75" customHeight="1" s="131"/>
    <row r="54" ht="12.75" customHeight="1" s="131">
      <c r="E54" s="130" t="n"/>
      <c r="F54" s="130" t="n"/>
      <c r="G54" s="130" t="n"/>
      <c r="H54" s="130" t="n"/>
      <c r="I54" s="130" t="n"/>
      <c r="J54" s="130" t="n"/>
      <c r="K54" s="130" t="n"/>
      <c r="L54" s="130" t="n"/>
      <c r="M54" s="130" t="n"/>
      <c r="N54" s="130" t="n"/>
      <c r="O54" s="130" t="n"/>
      <c r="P54" s="130" t="n"/>
      <c r="Q54" s="130" t="n"/>
    </row>
    <row r="55" ht="12.75" customHeight="1" s="131">
      <c r="E55" s="130" t="n"/>
      <c r="F55" s="130" t="n"/>
      <c r="G55" s="130" t="n"/>
      <c r="H55" s="130" t="n"/>
      <c r="I55" s="130" t="n"/>
      <c r="J55" s="130" t="n"/>
      <c r="K55" s="130" t="n"/>
      <c r="L55" s="130" t="n"/>
      <c r="M55" s="130" t="n"/>
      <c r="N55" s="130" t="n"/>
      <c r="O55" s="130" t="n"/>
      <c r="P55" s="130" t="n"/>
      <c r="Q55" s="130" t="n"/>
    </row>
    <row r="56" ht="12.75" customHeight="1" s="131">
      <c r="E56" s="130" t="n"/>
      <c r="F56" s="130" t="n"/>
      <c r="G56" s="130" t="n"/>
      <c r="H56" s="130" t="n"/>
      <c r="I56" s="130" t="n"/>
      <c r="J56" s="130" t="n"/>
      <c r="K56" s="130" t="n"/>
      <c r="L56" s="130" t="n"/>
      <c r="M56" s="130" t="n"/>
      <c r="N56" s="130" t="n"/>
      <c r="O56" s="130" t="n"/>
      <c r="P56" s="130" t="n"/>
      <c r="Q56" s="130" t="n"/>
    </row>
    <row r="57" ht="12.75" customHeight="1" s="131">
      <c r="D57" s="167" t="n"/>
      <c r="E57" s="130" t="n"/>
      <c r="F57" s="130" t="n"/>
      <c r="G57" s="130" t="n"/>
      <c r="H57" s="130" t="n"/>
      <c r="I57" s="130" t="n"/>
      <c r="J57" s="130" t="n"/>
      <c r="K57" s="130" t="n"/>
      <c r="L57" s="130" t="n"/>
      <c r="M57" s="130" t="n"/>
      <c r="N57" s="130" t="n"/>
      <c r="O57" s="130" t="n"/>
      <c r="P57" s="130" t="n"/>
      <c r="Q57" s="130" t="n"/>
    </row>
    <row r="58" ht="12.75" customHeight="1" s="131">
      <c r="D58" s="167" t="n"/>
      <c r="E58" s="130" t="n"/>
      <c r="F58" s="130" t="n"/>
      <c r="G58" s="130" t="n"/>
      <c r="H58" s="130" t="n"/>
      <c r="I58" s="130" t="n"/>
      <c r="J58" s="130" t="n"/>
      <c r="K58" s="130" t="n"/>
      <c r="L58" s="130" t="n"/>
      <c r="M58" s="130" t="n"/>
      <c r="N58" s="130" t="n"/>
      <c r="O58" s="130" t="n"/>
      <c r="P58" s="130" t="n"/>
      <c r="Q58" s="130" t="n"/>
    </row>
    <row r="59" ht="12.75" customHeight="1" s="131">
      <c r="D59" s="167" t="n"/>
      <c r="E59" s="130" t="n"/>
      <c r="F59" s="130" t="n"/>
      <c r="G59" s="130" t="n"/>
      <c r="H59" s="130" t="n"/>
      <c r="I59" s="130" t="n"/>
      <c r="J59" s="130" t="n"/>
      <c r="K59" s="130" t="n"/>
      <c r="L59" s="130" t="n"/>
      <c r="M59" s="130" t="n"/>
      <c r="N59" s="130" t="n"/>
      <c r="O59" s="130" t="n"/>
      <c r="P59" s="130" t="n"/>
      <c r="Q59" s="130" t="n"/>
    </row>
    <row r="60" ht="12.75" customHeight="1" s="131">
      <c r="D60" s="167" t="n"/>
      <c r="E60" s="130" t="n"/>
      <c r="F60" s="130" t="n"/>
      <c r="G60" s="130" t="n"/>
      <c r="H60" s="130" t="n"/>
      <c r="I60" s="130" t="n"/>
      <c r="J60" s="130" t="n"/>
      <c r="K60" s="130" t="n"/>
      <c r="L60" s="130" t="n"/>
      <c r="M60" s="130" t="n"/>
      <c r="N60" s="130" t="n"/>
      <c r="O60" s="130" t="n"/>
      <c r="P60" s="130" t="n"/>
      <c r="Q60" s="130" t="n"/>
    </row>
    <row r="61" ht="12.75" customHeight="1" s="131">
      <c r="D61" s="167" t="n"/>
      <c r="E61" s="130" t="n"/>
      <c r="F61" s="130" t="n"/>
      <c r="G61" s="130" t="n"/>
      <c r="H61" s="130" t="n"/>
      <c r="I61" s="130" t="n"/>
      <c r="J61" s="130" t="n"/>
      <c r="K61" s="130" t="n"/>
      <c r="L61" s="130" t="n"/>
      <c r="M61" s="130" t="n"/>
      <c r="N61" s="130" t="n"/>
      <c r="O61" s="130" t="n"/>
      <c r="P61" s="130" t="n"/>
      <c r="Q61" s="130" t="n"/>
    </row>
    <row r="62" ht="12.75" customHeight="1" s="131">
      <c r="E62" s="130" t="n"/>
      <c r="F62" s="130" t="n"/>
      <c r="G62" s="130" t="n"/>
      <c r="H62" s="130" t="n"/>
      <c r="I62" s="130" t="n"/>
      <c r="J62" s="130" t="n"/>
      <c r="K62" s="130" t="n"/>
      <c r="L62" s="130" t="n"/>
      <c r="M62" s="130" t="n"/>
      <c r="N62" s="130" t="n"/>
      <c r="O62" s="130" t="n"/>
      <c r="P62" s="130" t="n"/>
      <c r="Q62" s="130" t="n"/>
    </row>
    <row r="63" ht="12.75" customHeight="1" s="131">
      <c r="E63" s="130" t="n"/>
      <c r="F63" s="130" t="n"/>
      <c r="G63" s="130" t="n"/>
      <c r="H63" s="130" t="n"/>
      <c r="I63" s="130" t="n"/>
      <c r="J63" s="130" t="n"/>
      <c r="K63" s="130" t="n"/>
      <c r="L63" s="130" t="n"/>
      <c r="M63" s="130" t="n"/>
      <c r="N63" s="130" t="n"/>
      <c r="O63" s="130" t="n"/>
      <c r="P63" s="130" t="n"/>
      <c r="Q63" s="130" t="n"/>
    </row>
    <row r="64" ht="12.75" customHeight="1" s="131">
      <c r="E64" s="130" t="n"/>
      <c r="F64" s="130" t="n"/>
      <c r="G64" s="130" t="n"/>
      <c r="H64" s="130" t="n"/>
      <c r="I64" s="130" t="n"/>
      <c r="J64" s="130" t="n"/>
      <c r="K64" s="130" t="n"/>
      <c r="L64" s="130" t="n"/>
      <c r="M64" s="130" t="n"/>
      <c r="N64" s="130" t="n"/>
      <c r="O64" s="130" t="n"/>
      <c r="P64" s="130" t="n"/>
      <c r="Q64" s="130" t="n"/>
    </row>
    <row r="65" ht="12.75" customHeight="1" s="131">
      <c r="E65" s="130" t="n"/>
      <c r="F65" s="130" t="n"/>
      <c r="G65" s="130" t="n"/>
      <c r="H65" s="130" t="n"/>
      <c r="I65" s="130" t="n"/>
      <c r="J65" s="130" t="n"/>
      <c r="K65" s="130" t="n"/>
      <c r="L65" s="130" t="n"/>
      <c r="M65" s="130" t="n"/>
      <c r="N65" s="130" t="n"/>
      <c r="O65" s="130" t="n"/>
      <c r="P65" s="130" t="n"/>
      <c r="Q65" s="130" t="n"/>
    </row>
    <row r="66" ht="12.75" customHeight="1" s="131"/>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R66"/>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68" min="1" max="3"/>
    <col width="22.75" customWidth="1" style="130" min="4" max="4"/>
    <col width="10.72" customWidth="1" style="130" min="5" max="5"/>
    <col width="20.74" customWidth="1" style="130" min="6" max="6"/>
    <col width="8.720000000000001" customWidth="1" style="130" min="7" max="7"/>
    <col width="10.72" customWidth="1" style="130" min="8" max="8"/>
    <col width="20.74" customWidth="1" style="130" min="9" max="9"/>
    <col width="8.720000000000001" customWidth="1" style="130" min="10" max="10"/>
    <col width="10.72" customWidth="1" style="130" min="11" max="17"/>
    <col width="15.73" customWidth="1" style="130" min="18" max="18"/>
  </cols>
  <sheetData>
    <row r="1" ht="15.75" customHeight="1" s="131">
      <c r="A1" s="142">
        <f>'1. Required Start-Up Funds'!A1</f>
        <v/>
      </c>
    </row>
    <row r="2" ht="15.75" customHeight="1" s="131">
      <c r="A2" s="142" t="inlineStr">
        <is>
          <t>Balance Sheet - Year Three</t>
        </is>
      </c>
    </row>
    <row r="3" ht="12.75" customHeight="1" s="131">
      <c r="A3" s="137" t="n"/>
      <c r="B3" s="137" t="n"/>
      <c r="C3" s="137" t="n"/>
      <c r="D3" s="145" t="n"/>
      <c r="E3" s="145" t="n"/>
      <c r="F3" s="145" t="n"/>
      <c r="G3" s="145" t="n"/>
      <c r="H3" s="145" t="n"/>
      <c r="I3" s="145" t="n"/>
      <c r="J3" s="145" t="n"/>
      <c r="K3" s="145" t="n"/>
      <c r="L3" s="145" t="n"/>
      <c r="M3" s="145" t="n"/>
      <c r="N3" s="145" t="n"/>
      <c r="O3" s="145" t="n"/>
      <c r="P3" s="145" t="n"/>
      <c r="Q3" s="167" t="n"/>
      <c r="R3" s="167" t="n"/>
    </row>
    <row r="4" ht="12.75" customHeight="1" s="131">
      <c r="A4" s="137" t="n"/>
      <c r="B4" s="137" t="n"/>
      <c r="C4" s="137" t="n"/>
      <c r="D4" s="145" t="n"/>
      <c r="E4" s="145" t="n"/>
      <c r="F4" s="145" t="n"/>
      <c r="G4" s="145" t="n"/>
      <c r="H4" s="145" t="n"/>
      <c r="I4" s="145" t="n"/>
      <c r="J4" s="145" t="n"/>
      <c r="K4" s="145" t="n"/>
      <c r="L4" s="145" t="n"/>
      <c r="M4" s="145" t="n"/>
      <c r="N4" s="145" t="n"/>
      <c r="O4" s="145" t="n"/>
      <c r="P4" s="145" t="n"/>
      <c r="Q4" s="167" t="n"/>
      <c r="R4" s="167" t="n"/>
    </row>
    <row r="5" ht="12.75" customHeight="1" s="131">
      <c r="A5" s="137" t="n"/>
      <c r="B5" s="137" t="n"/>
      <c r="C5" s="137" t="n"/>
      <c r="D5" s="145" t="n"/>
      <c r="E5" s="145" t="n"/>
      <c r="F5" s="145" t="n"/>
      <c r="G5" s="145" t="n"/>
      <c r="H5" s="145" t="n"/>
      <c r="I5" s="145" t="n"/>
      <c r="J5" s="145" t="n"/>
      <c r="K5" s="145" t="n"/>
      <c r="L5" s="145" t="n"/>
      <c r="M5" s="145" t="n"/>
      <c r="N5" s="145" t="n"/>
      <c r="O5" s="145" t="n"/>
      <c r="P5" s="145" t="n"/>
      <c r="Q5" s="167" t="n"/>
      <c r="R5" s="167" t="n"/>
    </row>
    <row r="6" ht="12.75" customHeight="1" s="131">
      <c r="A6" s="137" t="n"/>
      <c r="B6" s="137" t="n"/>
      <c r="C6" s="137" t="n"/>
      <c r="D6" s="145" t="n"/>
      <c r="E6" s="140" t="n"/>
      <c r="F6" s="172" t="inlineStr">
        <is>
          <t>End of Year Two</t>
        </is>
      </c>
      <c r="G6" s="171" t="n"/>
      <c r="H6" s="140" t="n"/>
      <c r="I6" s="172" t="inlineStr">
        <is>
          <t>End of Year Three</t>
        </is>
      </c>
      <c r="J6" s="171" t="n"/>
      <c r="K6" s="140" t="n"/>
      <c r="L6" s="140" t="n"/>
      <c r="M6" s="140" t="n"/>
      <c r="N6" s="140" t="n"/>
      <c r="O6" s="140" t="n"/>
      <c r="P6" s="140" t="n"/>
      <c r="Q6" s="217" t="n"/>
      <c r="R6" s="217" t="n"/>
    </row>
    <row r="7" ht="12.75" customHeight="1" s="131">
      <c r="A7" s="137" t="n"/>
      <c r="B7" s="137" t="n"/>
      <c r="C7" s="137" t="n"/>
      <c r="D7" s="145" t="n"/>
      <c r="E7" s="145" t="n"/>
      <c r="F7" s="145" t="n"/>
      <c r="G7" s="145" t="n"/>
      <c r="H7" s="145" t="n"/>
      <c r="I7" s="145" t="n"/>
      <c r="J7" s="145" t="n"/>
      <c r="K7" s="145" t="n"/>
      <c r="L7" s="145" t="n"/>
      <c r="M7" s="145" t="n"/>
      <c r="N7" s="145" t="n"/>
      <c r="O7" s="145" t="n"/>
      <c r="P7" s="145" t="n"/>
      <c r="Q7" s="167" t="n"/>
      <c r="R7" s="167" t="n"/>
    </row>
    <row r="8" ht="12.75" customHeight="1" s="131">
      <c r="A8" s="137" t="inlineStr">
        <is>
          <t>Assets</t>
        </is>
      </c>
      <c r="B8" s="137" t="n"/>
      <c r="C8" s="137" t="n"/>
      <c r="D8" s="145" t="n"/>
      <c r="E8" s="145" t="n"/>
      <c r="F8" s="156" t="n"/>
      <c r="G8" s="156" t="n"/>
      <c r="H8" s="156" t="n"/>
      <c r="I8" s="156" t="n"/>
      <c r="J8" s="145" t="n"/>
      <c r="K8" s="145" t="n"/>
      <c r="L8" s="145" t="n"/>
      <c r="M8" s="145" t="n"/>
      <c r="N8" s="145" t="n"/>
      <c r="O8" s="145" t="n"/>
      <c r="P8" s="145" t="n"/>
      <c r="Q8" s="167" t="n"/>
      <c r="R8" s="167" t="n"/>
    </row>
    <row r="9" ht="12.75" customHeight="1" s="131">
      <c r="A9" s="137" t="n"/>
      <c r="B9" s="137" t="inlineStr">
        <is>
          <t>Current Assets</t>
        </is>
      </c>
      <c r="C9" s="137" t="n"/>
      <c r="D9" s="145" t="n"/>
      <c r="E9" s="145" t="n"/>
      <c r="F9" s="156" t="n"/>
      <c r="G9" s="156" t="n"/>
      <c r="H9" s="156" t="n"/>
      <c r="I9" s="156" t="n"/>
      <c r="J9" s="145" t="n"/>
      <c r="K9" s="145" t="n"/>
      <c r="L9" s="145" t="n"/>
      <c r="M9" s="145" t="n"/>
      <c r="N9" s="145" t="n"/>
      <c r="O9" s="145" t="n"/>
      <c r="P9" s="145" t="n"/>
      <c r="Q9" s="167" t="n"/>
      <c r="R9" s="167" t="n"/>
    </row>
    <row r="10" ht="12.75" customHeight="1" s="131">
      <c r="A10" s="137" t="n"/>
      <c r="B10" s="137" t="n"/>
      <c r="C10" s="137" t="inlineStr">
        <is>
          <t>Cash</t>
        </is>
      </c>
      <c r="D10" s="145" t="n"/>
      <c r="E10" s="145" t="n"/>
      <c r="F10" s="156">
        <f>'14. Balance Sheet (2)'!I10</f>
        <v/>
      </c>
      <c r="G10" s="156" t="n"/>
      <c r="H10" s="156" t="n"/>
      <c r="I10" s="156">
        <f>'16. Cash Flow Statement (3)'!P37</f>
        <v/>
      </c>
      <c r="J10" s="145" t="n"/>
      <c r="K10" s="145" t="n"/>
      <c r="L10" s="145" t="n"/>
      <c r="M10" s="145" t="n"/>
      <c r="N10" s="145" t="n"/>
      <c r="O10" s="145" t="n"/>
      <c r="P10" s="145" t="n"/>
      <c r="Q10" s="167" t="n"/>
      <c r="R10" s="167" t="n"/>
    </row>
    <row r="11" ht="12.75" customHeight="1" s="131">
      <c r="A11" s="137" t="n"/>
      <c r="B11" s="137" t="n"/>
      <c r="C11" s="137" t="inlineStr">
        <is>
          <t>Accounts Receivable</t>
        </is>
      </c>
      <c r="D11" s="145" t="n"/>
      <c r="E11" s="145" t="n"/>
      <c r="F11" s="156">
        <f>'14. Balance Sheet (2)'!I11</f>
        <v/>
      </c>
      <c r="G11" s="156" t="n"/>
      <c r="H11" s="156" t="n"/>
      <c r="I11" s="156">
        <f>F11+'15. Income Statement (3)'!Q13-'16. Cash Flow Statement (3)'!Q13</f>
        <v/>
      </c>
      <c r="J11" s="145" t="n"/>
      <c r="K11" s="145" t="n"/>
      <c r="L11" s="145" t="n"/>
      <c r="M11" s="145" t="n"/>
      <c r="N11" s="145" t="n"/>
      <c r="O11" s="145" t="n"/>
      <c r="P11" s="145" t="n"/>
      <c r="Q11" s="167" t="n"/>
      <c r="R11" s="167" t="n"/>
    </row>
    <row r="12" ht="12.75" customHeight="1" s="131">
      <c r="A12" s="137" t="n"/>
      <c r="B12" s="137" t="n"/>
      <c r="C12" s="137" t="inlineStr">
        <is>
          <t>Inventory</t>
        </is>
      </c>
      <c r="D12" s="145" t="n"/>
      <c r="E12" s="145" t="n"/>
      <c r="F12" s="156">
        <f>'14. Balance Sheet (2)'!I12</f>
        <v/>
      </c>
      <c r="G12" s="156" t="n"/>
      <c r="H12" s="156" t="n"/>
      <c r="I12" s="156">
        <f>F12</f>
        <v/>
      </c>
      <c r="J12" s="145" t="n"/>
      <c r="K12" s="145" t="n"/>
      <c r="L12" s="145" t="n"/>
      <c r="M12" s="145" t="n"/>
      <c r="N12" s="145" t="n"/>
      <c r="O12" s="145" t="n"/>
      <c r="P12" s="145" t="n"/>
      <c r="Q12" s="167" t="n"/>
      <c r="R12" s="167" t="n"/>
    </row>
    <row r="13" ht="12.75" customHeight="1" s="131">
      <c r="A13" s="137" t="n"/>
      <c r="B13" s="137" t="n"/>
      <c r="C13" s="137" t="inlineStr">
        <is>
          <t>Prepaid Expenses</t>
        </is>
      </c>
      <c r="D13" s="145" t="n"/>
      <c r="E13" s="145" t="n"/>
      <c r="F13" s="156">
        <f>'14. Balance Sheet (2)'!I13</f>
        <v/>
      </c>
      <c r="G13" s="156" t="n"/>
      <c r="H13" s="156" t="n"/>
      <c r="I13" s="156">
        <f>IF(F13='7. Beginning Balance Sheet'!F14,'7. Beginning Balance Sheet'!F14,'17. Balance Sheet (3)'!F13-'6. Cash Receipts-Disbursements'!J26)</f>
        <v/>
      </c>
      <c r="J13" s="145" t="n"/>
      <c r="K13" s="145" t="n"/>
      <c r="L13" s="145" t="n"/>
      <c r="M13" s="145" t="n"/>
      <c r="N13" s="145" t="n"/>
      <c r="O13" s="145" t="n"/>
      <c r="P13" s="145" t="n"/>
      <c r="Q13" s="167" t="n"/>
      <c r="R13" s="167" t="n"/>
    </row>
    <row r="14" ht="12.75" customHeight="1" s="131">
      <c r="A14" s="137" t="n"/>
      <c r="B14" s="137" t="n"/>
      <c r="C14" s="137" t="inlineStr">
        <is>
          <t>Other Current</t>
        </is>
      </c>
      <c r="D14" s="145" t="n"/>
      <c r="E14" s="145" t="n"/>
      <c r="F14" s="162">
        <f>'14. Balance Sheet (2)'!I14</f>
        <v/>
      </c>
      <c r="G14" s="156" t="n"/>
      <c r="H14" s="156" t="n"/>
      <c r="I14" s="162">
        <f>IF(F14='7. Beginning Balance Sheet'!F14,'7. Beginning Balance Sheet'!F14,'17. Balance Sheet (3)'!F14-'6. Cash Receipts-Disbursements'!J27)</f>
        <v/>
      </c>
      <c r="J14" s="145" t="n"/>
      <c r="K14" s="145" t="n"/>
      <c r="L14" s="145" t="n"/>
      <c r="M14" s="145" t="n"/>
      <c r="N14" s="145" t="n"/>
      <c r="O14" s="145" t="n"/>
      <c r="P14" s="145" t="n"/>
      <c r="Q14" s="167" t="n"/>
      <c r="R14" s="167" t="n"/>
    </row>
    <row r="15" ht="12.75" customHeight="1" s="131">
      <c r="A15" s="137" t="n"/>
      <c r="B15" s="137" t="inlineStr">
        <is>
          <t>Total Current Assets</t>
        </is>
      </c>
      <c r="C15" s="137" t="n"/>
      <c r="D15" s="145" t="n"/>
      <c r="E15" s="156" t="n"/>
      <c r="F15" s="156">
        <f>SUM(F10:F14)</f>
        <v/>
      </c>
      <c r="G15" s="156" t="n"/>
      <c r="H15" s="156" t="n"/>
      <c r="I15" s="156">
        <f>SUM(I10:I14)</f>
        <v/>
      </c>
      <c r="J15" s="156" t="n"/>
      <c r="K15" s="156" t="n"/>
      <c r="L15" s="156" t="n"/>
      <c r="M15" s="156" t="n"/>
      <c r="N15" s="156" t="n"/>
      <c r="O15" s="156" t="n"/>
      <c r="P15" s="156" t="n"/>
      <c r="Q15" s="207" t="n"/>
      <c r="R15" s="207" t="n"/>
    </row>
    <row r="16" ht="12.75" customHeight="1" s="131">
      <c r="A16" s="137" t="n"/>
      <c r="B16" s="137" t="n"/>
      <c r="C16" s="137" t="n"/>
      <c r="D16" s="145" t="n"/>
      <c r="E16" s="156" t="n"/>
      <c r="F16" s="156" t="n"/>
      <c r="G16" s="156" t="n"/>
      <c r="H16" s="156" t="n"/>
      <c r="I16" s="156" t="n"/>
      <c r="J16" s="156" t="n"/>
      <c r="K16" s="156" t="n"/>
      <c r="L16" s="156" t="n"/>
      <c r="M16" s="156" t="n"/>
      <c r="N16" s="156" t="n"/>
      <c r="O16" s="156" t="n"/>
      <c r="P16" s="156" t="n"/>
      <c r="Q16" s="207" t="n"/>
      <c r="R16" s="207" t="n"/>
    </row>
    <row r="17" ht="12.75" customHeight="1" s="131">
      <c r="A17" s="137" t="n"/>
      <c r="B17" s="137" t="inlineStr">
        <is>
          <t>Fixed Assets</t>
        </is>
      </c>
      <c r="C17" s="137" t="n"/>
      <c r="D17" s="145" t="n"/>
      <c r="E17" s="182" t="n"/>
      <c r="F17" s="156" t="n"/>
      <c r="G17" s="156" t="n"/>
      <c r="H17" s="156" t="n"/>
      <c r="I17" s="156" t="n"/>
      <c r="J17" s="182" t="n"/>
      <c r="K17" s="182" t="n"/>
      <c r="L17" s="182" t="n"/>
      <c r="M17" s="182" t="n"/>
      <c r="N17" s="182" t="n"/>
      <c r="O17" s="182" t="n"/>
      <c r="P17" s="182" t="n"/>
      <c r="Q17" s="208" t="n"/>
      <c r="R17" s="208" t="n"/>
    </row>
    <row r="18" ht="12.75" customHeight="1" s="131">
      <c r="A18" s="137" t="n"/>
      <c r="B18" s="137" t="n"/>
      <c r="C18" s="137">
        <f>'1. Required Start-Up Funds'!C8</f>
        <v/>
      </c>
      <c r="D18" s="145" t="n"/>
      <c r="E18" s="182" t="n"/>
      <c r="F18" s="156">
        <f>'14. Balance Sheet (2)'!I18</f>
        <v/>
      </c>
      <c r="G18" s="156" t="n"/>
      <c r="H18" s="156" t="n"/>
      <c r="I18" s="156">
        <f>F18</f>
        <v/>
      </c>
      <c r="J18" s="182" t="n"/>
      <c r="K18" s="182" t="n"/>
      <c r="L18" s="182" t="n"/>
      <c r="M18" s="182" t="n"/>
      <c r="N18" s="182" t="n"/>
      <c r="O18" s="182" t="n"/>
      <c r="P18" s="182" t="n"/>
      <c r="Q18" s="208" t="n"/>
      <c r="R18" s="208" t="n"/>
    </row>
    <row r="19" ht="12.75" customHeight="1" s="131">
      <c r="A19" s="137" t="n"/>
      <c r="B19" s="137" t="n"/>
      <c r="C19" s="137">
        <f>'1. Required Start-Up Funds'!C9</f>
        <v/>
      </c>
      <c r="D19" s="145" t="n"/>
      <c r="E19" s="156" t="n"/>
      <c r="F19" s="156">
        <f>'14. Balance Sheet (2)'!I19</f>
        <v/>
      </c>
      <c r="G19" s="156" t="n"/>
      <c r="H19" s="156" t="n"/>
      <c r="I19" s="156">
        <f>F19</f>
        <v/>
      </c>
      <c r="J19" s="156" t="n"/>
      <c r="K19" s="156" t="n"/>
      <c r="L19" s="156" t="n"/>
      <c r="M19" s="156" t="n"/>
      <c r="N19" s="156" t="n"/>
      <c r="O19" s="156" t="n"/>
      <c r="P19" s="156" t="n"/>
      <c r="Q19" s="207" t="n"/>
      <c r="R19" s="207" t="n"/>
    </row>
    <row r="20" ht="12.75" customHeight="1" s="131">
      <c r="A20" s="137" t="n"/>
      <c r="B20" s="137" t="n"/>
      <c r="C20" s="137">
        <f>'1. Required Start-Up Funds'!C10</f>
        <v/>
      </c>
      <c r="D20" s="145" t="n"/>
      <c r="E20" s="156" t="n"/>
      <c r="F20" s="156">
        <f>'14. Balance Sheet (2)'!I20</f>
        <v/>
      </c>
      <c r="G20" s="156" t="n"/>
      <c r="H20" s="156" t="n"/>
      <c r="I20" s="156">
        <f>F20</f>
        <v/>
      </c>
      <c r="J20" s="156" t="n"/>
      <c r="K20" s="156" t="n"/>
      <c r="L20" s="156" t="n"/>
      <c r="M20" s="156" t="n"/>
      <c r="N20" s="156" t="n"/>
      <c r="O20" s="156" t="n"/>
      <c r="P20" s="156" t="n"/>
      <c r="Q20" s="207" t="n"/>
      <c r="R20" s="207" t="n"/>
    </row>
    <row r="21" ht="12.75" customHeight="1" s="131">
      <c r="A21" s="137" t="n"/>
      <c r="B21" s="137" t="n"/>
      <c r="C21" s="137">
        <f>'1. Required Start-Up Funds'!C11</f>
        <v/>
      </c>
      <c r="D21" s="145" t="n"/>
      <c r="E21" s="182" t="n"/>
      <c r="F21" s="156">
        <f>'14. Balance Sheet (2)'!I21</f>
        <v/>
      </c>
      <c r="G21" s="156" t="n"/>
      <c r="H21" s="156" t="n"/>
      <c r="I21" s="156">
        <f>F21</f>
        <v/>
      </c>
      <c r="J21" s="182" t="n"/>
      <c r="K21" s="182" t="n"/>
      <c r="L21" s="182" t="n"/>
      <c r="M21" s="182" t="n"/>
      <c r="N21" s="182" t="n"/>
      <c r="O21" s="182" t="n"/>
      <c r="P21" s="182" t="n"/>
      <c r="Q21" s="208" t="n"/>
      <c r="R21" s="208" t="n"/>
    </row>
    <row r="22" ht="12.75" customHeight="1" s="131">
      <c r="A22" s="137" t="n"/>
      <c r="B22" s="137" t="n"/>
      <c r="C22" s="137">
        <f>'1. Required Start-Up Funds'!C12</f>
        <v/>
      </c>
      <c r="D22" s="145" t="n"/>
      <c r="E22" s="182" t="n"/>
      <c r="F22" s="156">
        <f>'14. Balance Sheet (2)'!I22</f>
        <v/>
      </c>
      <c r="G22" s="156" t="n"/>
      <c r="H22" s="156" t="n"/>
      <c r="I22" s="156">
        <f>F22</f>
        <v/>
      </c>
      <c r="J22" s="182" t="n"/>
      <c r="K22" s="182" t="n"/>
      <c r="L22" s="182" t="n"/>
      <c r="M22" s="182" t="n"/>
      <c r="N22" s="182" t="n"/>
      <c r="O22" s="182" t="n"/>
      <c r="P22" s="182" t="n"/>
      <c r="Q22" s="208" t="n"/>
      <c r="R22" s="208" t="n"/>
    </row>
    <row r="23" ht="12.75" customHeight="1" s="131">
      <c r="A23" s="137" t="n"/>
      <c r="B23" s="137" t="n"/>
      <c r="C23" s="137">
        <f>'1. Required Start-Up Funds'!C13</f>
        <v/>
      </c>
      <c r="D23" s="145" t="n"/>
      <c r="E23" s="182" t="n"/>
      <c r="F23" s="156">
        <f>'14. Balance Sheet (2)'!I23</f>
        <v/>
      </c>
      <c r="G23" s="156" t="n"/>
      <c r="H23" s="156" t="n"/>
      <c r="I23" s="156">
        <f>F23</f>
        <v/>
      </c>
      <c r="J23" s="182" t="n"/>
      <c r="K23" s="182" t="n"/>
      <c r="L23" s="182" t="n"/>
      <c r="M23" s="182" t="n"/>
      <c r="N23" s="182" t="n"/>
      <c r="O23" s="182" t="n"/>
      <c r="P23" s="182" t="n"/>
      <c r="Q23" s="208" t="n"/>
      <c r="R23" s="208" t="n"/>
    </row>
    <row r="24" ht="12.75" customHeight="1" s="131">
      <c r="A24" s="137" t="n"/>
      <c r="B24" s="137" t="n"/>
      <c r="C24" s="137">
        <f>'1. Required Start-Up Funds'!C14</f>
        <v/>
      </c>
      <c r="D24" s="145" t="n"/>
      <c r="E24" s="156" t="n"/>
      <c r="F24" s="162">
        <f>'14. Balance Sheet (2)'!I24</f>
        <v/>
      </c>
      <c r="G24" s="156" t="n"/>
      <c r="H24" s="156" t="n"/>
      <c r="I24" s="162">
        <f>F24+'16. Cash Flow Statement (3)'!Q17</f>
        <v/>
      </c>
      <c r="J24" s="156" t="n"/>
      <c r="K24" s="156" t="n"/>
      <c r="L24" s="156" t="n"/>
      <c r="M24" s="156" t="n"/>
      <c r="N24" s="156" t="n"/>
      <c r="O24" s="156" t="n"/>
      <c r="P24" s="156" t="n"/>
      <c r="Q24" s="207" t="n"/>
      <c r="R24" s="207" t="n"/>
    </row>
    <row r="25" ht="12.75" customHeight="1" s="131">
      <c r="A25" s="137" t="n"/>
      <c r="B25" s="137" t="inlineStr">
        <is>
          <t>Total Fixed Assets</t>
        </is>
      </c>
      <c r="C25" s="137" t="n"/>
      <c r="D25" s="145" t="n"/>
      <c r="E25" s="156" t="n"/>
      <c r="F25" s="156">
        <f>SUM(F18:F24)</f>
        <v/>
      </c>
      <c r="G25" s="156" t="n"/>
      <c r="H25" s="156" t="n"/>
      <c r="I25" s="156">
        <f>SUM(I18:I24)</f>
        <v/>
      </c>
      <c r="J25" s="156" t="n"/>
      <c r="K25" s="156" t="n"/>
      <c r="L25" s="156" t="n"/>
      <c r="M25" s="156" t="n"/>
      <c r="N25" s="156" t="n"/>
      <c r="O25" s="156" t="n"/>
      <c r="P25" s="156" t="n"/>
      <c r="Q25" s="207" t="n"/>
      <c r="R25" s="207" t="n"/>
    </row>
    <row r="26" ht="12.75" customHeight="1" s="131">
      <c r="A26" s="137" t="n"/>
      <c r="B26" s="137" t="n"/>
      <c r="C26" s="137" t="n"/>
      <c r="D26" s="145" t="n"/>
      <c r="E26" s="182" t="n"/>
      <c r="F26" s="156" t="n"/>
      <c r="G26" s="156" t="n"/>
      <c r="H26" s="156" t="n"/>
      <c r="I26" s="156" t="n"/>
      <c r="J26" s="182" t="n"/>
      <c r="K26" s="182" t="n"/>
      <c r="L26" s="182" t="n"/>
      <c r="M26" s="182" t="n"/>
      <c r="N26" s="182" t="n"/>
      <c r="O26" s="182" t="n"/>
      <c r="P26" s="182" t="n"/>
      <c r="Q26" s="208" t="n"/>
      <c r="R26" s="208" t="n"/>
    </row>
    <row r="27" ht="12.75" customHeight="1" s="131">
      <c r="A27" s="137" t="n"/>
      <c r="B27" s="137" t="inlineStr">
        <is>
          <t>Less:  Accumulated Depreciation</t>
        </is>
      </c>
      <c r="C27" s="137" t="n"/>
      <c r="D27" s="145" t="n"/>
      <c r="E27" s="145" t="n"/>
      <c r="F27" s="156">
        <f>'14. Balance Sheet (2)'!I27</f>
        <v/>
      </c>
      <c r="G27" s="156" t="n"/>
      <c r="H27" s="156" t="n"/>
      <c r="I27" s="156">
        <f>F27+'15. Income Statement (3)'!Q58</f>
        <v/>
      </c>
      <c r="J27" s="145" t="n"/>
      <c r="K27" s="145" t="n"/>
      <c r="L27" s="145" t="n"/>
      <c r="M27" s="145" t="n"/>
      <c r="N27" s="145" t="n"/>
      <c r="O27" s="145" t="n"/>
      <c r="P27" s="145" t="n"/>
      <c r="Q27" s="167" t="n"/>
      <c r="R27" s="167" t="n"/>
    </row>
    <row r="28" ht="12.75" customHeight="1" s="131">
      <c r="A28" s="137" t="n"/>
      <c r="B28" s="137" t="n"/>
      <c r="C28" s="137" t="n"/>
      <c r="D28" s="145" t="n"/>
      <c r="E28" s="145" t="n"/>
      <c r="F28" s="162" t="n"/>
      <c r="G28" s="156" t="n"/>
      <c r="H28" s="156" t="n"/>
      <c r="I28" s="162" t="n"/>
      <c r="J28" s="145" t="n"/>
      <c r="K28" s="145" t="n"/>
      <c r="L28" s="145" t="n"/>
      <c r="M28" s="145" t="n"/>
      <c r="N28" s="145" t="n"/>
      <c r="O28" s="145" t="n"/>
      <c r="P28" s="145" t="n"/>
      <c r="Q28" s="167" t="n"/>
      <c r="R28" s="167" t="n"/>
    </row>
    <row r="29" ht="15.95" customHeight="1" s="131">
      <c r="A29" s="137" t="inlineStr">
        <is>
          <t>Total Assets</t>
        </is>
      </c>
      <c r="B29" s="137" t="n"/>
      <c r="C29" s="137" t="n"/>
      <c r="D29" s="145" t="n"/>
      <c r="E29" s="145" t="n"/>
      <c r="F29" s="184">
        <f>INT(F15+F25-F27)</f>
        <v/>
      </c>
      <c r="G29" s="156" t="n"/>
      <c r="H29" s="156" t="n"/>
      <c r="I29" s="184">
        <f>INT(I15+I25-I27)</f>
        <v/>
      </c>
      <c r="J29" s="145" t="n"/>
      <c r="K29" s="145" t="n"/>
      <c r="L29" s="145" t="n"/>
      <c r="M29" s="145" t="n"/>
      <c r="N29" s="145" t="n"/>
      <c r="O29" s="145" t="n"/>
      <c r="P29" s="145" t="n"/>
      <c r="Q29" s="167" t="n"/>
      <c r="R29" s="167" t="n"/>
    </row>
    <row r="30" ht="12.75" customHeight="1" s="131">
      <c r="A30" s="137" t="n"/>
      <c r="B30" s="137" t="n"/>
      <c r="C30" s="137" t="n"/>
      <c r="D30" s="145" t="n"/>
      <c r="E30" s="145" t="n"/>
      <c r="F30" s="156" t="n"/>
      <c r="G30" s="156" t="n"/>
      <c r="H30" s="156" t="n"/>
      <c r="I30" s="156" t="n"/>
      <c r="J30" s="145" t="n"/>
      <c r="K30" s="145" t="n"/>
      <c r="L30" s="145" t="n"/>
      <c r="M30" s="145" t="n"/>
      <c r="N30" s="145" t="n"/>
      <c r="O30" s="145" t="n"/>
      <c r="P30" s="145" t="n"/>
      <c r="Q30" s="167" t="n"/>
      <c r="R30" s="167" t="n"/>
    </row>
    <row r="31" ht="12.75" customHeight="1" s="131">
      <c r="A31" s="137" t="n"/>
      <c r="B31" s="137" t="n"/>
      <c r="C31" s="137" t="n"/>
      <c r="D31" s="145" t="n"/>
      <c r="E31" s="145" t="n"/>
      <c r="F31" s="156" t="n"/>
      <c r="G31" s="156" t="n"/>
      <c r="H31" s="156" t="n"/>
      <c r="I31" s="156" t="n"/>
      <c r="J31" s="145" t="n"/>
      <c r="K31" s="145" t="n"/>
      <c r="L31" s="145" t="n"/>
      <c r="M31" s="145" t="n"/>
      <c r="N31" s="145" t="n"/>
      <c r="O31" s="145" t="n"/>
      <c r="P31" s="145" t="n"/>
      <c r="Q31" s="167" t="n"/>
      <c r="R31" s="167" t="n"/>
    </row>
    <row r="32" ht="12.75" customHeight="1" s="131">
      <c r="A32" s="137" t="n"/>
      <c r="B32" s="137" t="n"/>
      <c r="C32" s="137" t="n"/>
      <c r="D32" s="145" t="n"/>
      <c r="E32" s="145" t="n"/>
      <c r="F32" s="156" t="n"/>
      <c r="G32" s="156" t="n"/>
      <c r="H32" s="156" t="n"/>
      <c r="I32" s="156" t="n"/>
      <c r="J32" s="145" t="n"/>
      <c r="K32" s="145" t="n"/>
      <c r="L32" s="145" t="n"/>
      <c r="M32" s="145" t="n"/>
      <c r="N32" s="145" t="n"/>
      <c r="O32" s="145" t="n"/>
      <c r="P32" s="145" t="n"/>
      <c r="Q32" s="167" t="n"/>
      <c r="R32" s="167" t="n"/>
    </row>
    <row r="33" ht="12.75" customHeight="1" s="131">
      <c r="A33" s="137" t="inlineStr">
        <is>
          <t>Liabilities and Owner's Equity</t>
        </is>
      </c>
      <c r="B33" s="137" t="n"/>
      <c r="C33" s="137" t="n"/>
      <c r="D33" s="145" t="n"/>
      <c r="E33" s="145" t="n"/>
      <c r="F33" s="156" t="n"/>
      <c r="G33" s="156" t="n"/>
      <c r="H33" s="156" t="n"/>
      <c r="I33" s="156" t="n"/>
      <c r="J33" s="145" t="n"/>
      <c r="K33" s="145" t="n"/>
      <c r="L33" s="145" t="n"/>
      <c r="M33" s="145" t="n"/>
      <c r="N33" s="145" t="n"/>
      <c r="O33" s="145" t="n"/>
      <c r="P33" s="145" t="n"/>
      <c r="Q33" s="167" t="n"/>
      <c r="R33" s="167" t="n"/>
    </row>
    <row r="34" ht="12.75" customHeight="1" s="131">
      <c r="A34" s="137" t="n"/>
      <c r="B34" s="137" t="inlineStr">
        <is>
          <t>Liabilities</t>
        </is>
      </c>
      <c r="C34" s="137" t="n"/>
      <c r="D34" s="145" t="n"/>
      <c r="E34" s="145" t="n"/>
      <c r="F34" s="156" t="n"/>
      <c r="G34" s="156" t="n"/>
      <c r="H34" s="156" t="n"/>
      <c r="I34" s="156" t="n"/>
      <c r="J34" s="145" t="n"/>
      <c r="K34" s="145" t="n"/>
      <c r="L34" s="145" t="n"/>
      <c r="M34" s="145" t="n"/>
      <c r="N34" s="145" t="n"/>
      <c r="O34" s="145" t="n"/>
      <c r="P34" s="145" t="n"/>
      <c r="Q34" s="167" t="n"/>
      <c r="R34" s="167" t="n"/>
    </row>
    <row r="35" ht="12.75" customHeight="1" s="131">
      <c r="A35" s="137" t="n"/>
      <c r="B35" s="137" t="n"/>
      <c r="C35" s="137" t="inlineStr">
        <is>
          <t>Accounts Payable</t>
        </is>
      </c>
      <c r="D35" s="145" t="n"/>
      <c r="E35" s="156" t="n"/>
      <c r="F35" s="156">
        <f>'14. Balance Sheet (2)'!I35</f>
        <v/>
      </c>
      <c r="G35" s="156" t="n"/>
      <c r="H35" s="156" t="n"/>
      <c r="I35" s="156">
        <f>F35+'15. Income Statement (3)'!Q20-'16. Cash Flow Statement (3)'!Q19</f>
        <v/>
      </c>
      <c r="J35" s="156" t="n"/>
      <c r="K35" s="156" t="n"/>
      <c r="L35" s="156" t="n"/>
      <c r="M35" s="156" t="n"/>
      <c r="N35" s="156" t="n"/>
      <c r="O35" s="156" t="n"/>
      <c r="P35" s="156" t="n"/>
      <c r="Q35" s="207" t="n"/>
      <c r="R35" s="207" t="n"/>
    </row>
    <row r="36" ht="12.75" customHeight="1" s="131">
      <c r="A36" s="137" t="n"/>
      <c r="B36" s="137" t="n"/>
      <c r="C36" s="137" t="inlineStr">
        <is>
          <t>Notes Payable</t>
        </is>
      </c>
      <c r="D36" s="145" t="n"/>
      <c r="E36" s="182" t="n"/>
      <c r="F36" s="156">
        <f>'14. Balance Sheet (2)'!I36</f>
        <v/>
      </c>
      <c r="G36" s="156" t="n"/>
      <c r="H36" s="156" t="n"/>
      <c r="I36" s="156">
        <f>'20. Amoritization Schedule'!R25+'7. Beginning Balance Sheet'!F36</f>
        <v/>
      </c>
      <c r="J36" s="182" t="n"/>
      <c r="K36" s="182" t="n"/>
      <c r="L36" s="182" t="n"/>
      <c r="M36" s="182" t="n"/>
      <c r="N36" s="182" t="n"/>
      <c r="O36" s="182" t="n"/>
      <c r="P36" s="182" t="n"/>
      <c r="Q36" s="208" t="n"/>
      <c r="R36" s="167" t="n"/>
    </row>
    <row r="37" ht="12.75" customHeight="1" s="131">
      <c r="A37" s="137" t="n"/>
      <c r="B37" s="137" t="n"/>
      <c r="C37" s="137" t="inlineStr">
        <is>
          <t>Mortgage Payable</t>
        </is>
      </c>
      <c r="D37" s="145" t="n"/>
      <c r="E37" s="145" t="n"/>
      <c r="F37" s="156">
        <f>'14. Balance Sheet (2)'!I37</f>
        <v/>
      </c>
      <c r="G37" s="156" t="n"/>
      <c r="H37" s="156" t="n"/>
      <c r="I37" s="156">
        <f>'20. Amoritization Schedule'!R45+'7. Beginning Balance Sheet'!F37</f>
        <v/>
      </c>
      <c r="J37" s="145" t="n"/>
      <c r="K37" s="145" t="n"/>
      <c r="L37" s="145" t="n"/>
      <c r="M37" s="145" t="n"/>
      <c r="N37" s="145" t="n"/>
      <c r="O37" s="145" t="n"/>
      <c r="P37" s="145" t="n"/>
      <c r="Q37" s="167" t="n"/>
      <c r="R37" s="167" t="n"/>
    </row>
    <row r="38" ht="12.75" customHeight="1" s="131">
      <c r="A38" s="137" t="n"/>
      <c r="B38" s="137" t="n"/>
      <c r="C38" s="137" t="inlineStr">
        <is>
          <t>Line of Credit Balance</t>
        </is>
      </c>
      <c r="D38" s="145" t="n"/>
      <c r="E38" s="145" t="n"/>
      <c r="F38" s="162">
        <f>'14. Balance Sheet (2)'!I38</f>
        <v/>
      </c>
      <c r="G38" s="156" t="n"/>
      <c r="H38" s="156" t="n"/>
      <c r="I38" s="162">
        <f>'16. Cash Flow Statement (3)'!P40+'7. Beginning Balance Sheet'!F38</f>
        <v/>
      </c>
      <c r="J38" s="145" t="n"/>
      <c r="K38" s="145" t="n"/>
      <c r="L38" s="145" t="n"/>
      <c r="M38" s="145" t="n"/>
      <c r="N38" s="145" t="n"/>
      <c r="O38" s="145" t="n"/>
      <c r="P38" s="145" t="n"/>
      <c r="Q38" s="167" t="n"/>
      <c r="R38" s="167" t="n"/>
    </row>
    <row r="39" ht="12.75" customHeight="1" s="131">
      <c r="A39" s="137" t="n"/>
      <c r="B39" s="137" t="inlineStr">
        <is>
          <t>Total Liabilities</t>
        </is>
      </c>
      <c r="C39" s="137" t="n"/>
      <c r="D39" s="145" t="n"/>
      <c r="E39" s="145" t="n"/>
      <c r="F39" s="156">
        <f>SUM(F35:F38)</f>
        <v/>
      </c>
      <c r="G39" s="156" t="n"/>
      <c r="H39" s="156" t="n"/>
      <c r="I39" s="156">
        <f>SUM(I35:I38)</f>
        <v/>
      </c>
      <c r="J39" s="145" t="n"/>
      <c r="K39" s="145" t="n"/>
      <c r="L39" s="145" t="n"/>
      <c r="M39" s="145" t="n"/>
      <c r="N39" s="145" t="n"/>
      <c r="O39" s="145" t="n"/>
      <c r="P39" s="145" t="n"/>
      <c r="Q39" s="167" t="n"/>
      <c r="R39" s="167" t="n"/>
    </row>
    <row r="40" ht="12.75" customHeight="1" s="131">
      <c r="A40" s="137" t="n"/>
      <c r="B40" s="137" t="n"/>
      <c r="C40" s="137" t="n"/>
      <c r="D40" s="145" t="n"/>
      <c r="E40" s="145" t="n"/>
      <c r="F40" s="156" t="n"/>
      <c r="G40" s="156" t="n"/>
      <c r="H40" s="156" t="n"/>
      <c r="I40" s="156" t="n"/>
      <c r="J40" s="145" t="n"/>
      <c r="K40" s="145" t="n"/>
      <c r="L40" s="145" t="n"/>
      <c r="M40" s="145" t="n"/>
      <c r="N40" s="145" t="n"/>
      <c r="O40" s="145" t="n"/>
      <c r="P40" s="145" t="n"/>
      <c r="Q40" s="167" t="n"/>
      <c r="R40" s="167" t="n"/>
    </row>
    <row r="41" ht="12.75" customHeight="1" s="131">
      <c r="A41" s="137" t="n"/>
      <c r="B41" s="137" t="inlineStr">
        <is>
          <t>Owner's Equity</t>
        </is>
      </c>
      <c r="C41" s="137" t="n"/>
      <c r="D41" s="145" t="n"/>
      <c r="E41" s="145" t="n"/>
      <c r="F41" s="156" t="n"/>
      <c r="G41" s="156" t="n"/>
      <c r="H41" s="156" t="n"/>
      <c r="I41" s="156" t="n"/>
      <c r="J41" s="145" t="n"/>
      <c r="K41" s="145" t="n"/>
      <c r="L41" s="145" t="n"/>
      <c r="M41" s="145" t="n"/>
      <c r="N41" s="145" t="n"/>
      <c r="O41" s="145" t="n"/>
      <c r="P41" s="145" t="n"/>
      <c r="Q41" s="167" t="n"/>
      <c r="R41" s="167" t="n"/>
    </row>
    <row r="42" ht="12.75" customHeight="1" s="131">
      <c r="A42" s="137" t="n"/>
      <c r="B42" s="137" t="n"/>
      <c r="C42" s="137" t="inlineStr">
        <is>
          <t>Common Stock</t>
        </is>
      </c>
      <c r="D42" s="145" t="n"/>
      <c r="E42" s="145" t="n"/>
      <c r="F42" s="156">
        <f>'14. Balance Sheet (2)'!I42</f>
        <v/>
      </c>
      <c r="G42" s="156" t="n"/>
      <c r="H42" s="156" t="n"/>
      <c r="I42" s="156">
        <f>F42</f>
        <v/>
      </c>
      <c r="J42" s="145" t="n"/>
      <c r="K42" s="145" t="n"/>
      <c r="L42" s="145" t="n"/>
      <c r="M42" s="145" t="n"/>
      <c r="N42" s="145" t="n"/>
      <c r="O42" s="145" t="n"/>
      <c r="P42" s="145" t="n"/>
      <c r="Q42" s="167" t="n"/>
      <c r="R42" s="167" t="n"/>
    </row>
    <row r="43" ht="12.75" customHeight="1" s="131">
      <c r="A43" s="137" t="n"/>
      <c r="B43" s="137" t="n"/>
      <c r="C43" s="137" t="inlineStr">
        <is>
          <t>Retained Earnings</t>
        </is>
      </c>
      <c r="D43" s="145" t="n"/>
      <c r="E43" s="145" t="n"/>
      <c r="F43" s="156">
        <f>'14. Balance Sheet (2)'!I43</f>
        <v/>
      </c>
      <c r="G43" s="156" t="n"/>
      <c r="H43" s="156" t="n"/>
      <c r="I43" s="156">
        <f>F43+'15. Income Statement (3)'!Q66</f>
        <v/>
      </c>
      <c r="J43" s="145" t="n"/>
      <c r="K43" s="145" t="n"/>
      <c r="L43" s="145" t="n"/>
      <c r="M43" s="145" t="n"/>
      <c r="N43" s="145" t="n"/>
      <c r="O43" s="145" t="n"/>
      <c r="P43" s="145" t="n"/>
      <c r="Q43" s="167" t="n"/>
      <c r="R43" s="167" t="n"/>
    </row>
    <row r="44" ht="12.75" customHeight="1" s="131">
      <c r="A44" s="137" t="n"/>
      <c r="B44" s="137" t="n"/>
      <c r="C44" s="137" t="inlineStr">
        <is>
          <t>Dividends Dispersed</t>
        </is>
      </c>
      <c r="D44" s="145" t="n"/>
      <c r="E44" s="145" t="n"/>
      <c r="F44" s="162">
        <f>'14. Balance Sheet (2)'!I44</f>
        <v/>
      </c>
      <c r="G44" s="156" t="n"/>
      <c r="H44" s="156" t="n"/>
      <c r="I44" s="162">
        <f>F44+'16. Cash Flow Statement (3)'!Q28</f>
        <v/>
      </c>
      <c r="J44" s="145" t="n"/>
      <c r="K44" s="145" t="n"/>
      <c r="L44" s="145" t="n"/>
      <c r="M44" s="145" t="n"/>
      <c r="N44" s="145" t="n"/>
      <c r="O44" s="145" t="n"/>
      <c r="P44" s="145" t="n"/>
      <c r="Q44" s="167" t="n"/>
      <c r="R44" s="167" t="n"/>
    </row>
    <row r="45" ht="12.75" customHeight="1" s="131">
      <c r="A45" s="137" t="n"/>
      <c r="B45" s="137" t="inlineStr">
        <is>
          <t>Total Owner's Equity</t>
        </is>
      </c>
      <c r="C45" s="137" t="n"/>
      <c r="D45" s="145" t="n"/>
      <c r="E45" s="145" t="n"/>
      <c r="F45" s="156">
        <f>F42+F43-F44</f>
        <v/>
      </c>
      <c r="G45" s="156" t="n"/>
      <c r="H45" s="156" t="n"/>
      <c r="I45" s="156">
        <f>I42+I43-I44</f>
        <v/>
      </c>
      <c r="J45" s="145" t="n"/>
      <c r="K45" s="145" t="n"/>
      <c r="L45" s="145" t="n"/>
      <c r="M45" s="145" t="n"/>
      <c r="N45" s="145" t="n"/>
      <c r="O45" s="145" t="n"/>
      <c r="P45" s="145" t="n"/>
    </row>
    <row r="46" ht="12.75" customHeight="1" s="131">
      <c r="A46" s="137" t="n"/>
      <c r="B46" s="137" t="n"/>
      <c r="C46" s="137" t="n"/>
      <c r="D46" s="145" t="n"/>
      <c r="E46" s="145" t="n"/>
      <c r="F46" s="162" t="n"/>
      <c r="G46" s="156" t="n"/>
      <c r="H46" s="156" t="n"/>
      <c r="I46" s="162" t="n"/>
      <c r="J46" s="145" t="n"/>
      <c r="K46" s="145" t="n"/>
      <c r="L46" s="145" t="n"/>
      <c r="M46" s="145" t="n"/>
      <c r="N46" s="145" t="n"/>
      <c r="O46" s="145" t="n"/>
      <c r="P46" s="145" t="n"/>
    </row>
    <row r="47" ht="15.95" customHeight="1" s="131">
      <c r="A47" s="137" t="inlineStr">
        <is>
          <t>Total Liabilities and Owner's Equity</t>
        </is>
      </c>
      <c r="B47" s="137" t="n"/>
      <c r="C47" s="137" t="n"/>
      <c r="D47" s="145" t="n"/>
      <c r="E47" s="145" t="n"/>
      <c r="F47" s="184">
        <f>INT(F39+F45)</f>
        <v/>
      </c>
      <c r="G47" s="156" t="n"/>
      <c r="H47" s="156" t="n"/>
      <c r="I47" s="184">
        <f>INT(I39+I45)</f>
        <v/>
      </c>
      <c r="J47" s="145" t="n"/>
      <c r="K47" s="145" t="n"/>
      <c r="L47" s="145" t="n"/>
      <c r="M47" s="145" t="n"/>
      <c r="N47" s="145" t="n"/>
      <c r="O47" s="145" t="n"/>
      <c r="P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row>
    <row r="50" ht="12.75" customHeight="1" s="131">
      <c r="A50" s="137" t="n"/>
      <c r="B50" s="137" t="n"/>
      <c r="C50" s="137" t="n"/>
      <c r="D50" s="145" t="n"/>
      <c r="E50" s="145" t="n"/>
      <c r="F50" s="189">
        <f>IF(F29=F47,"Statement Balances","Does Not Balance")</f>
        <v/>
      </c>
      <c r="G50" s="145" t="n"/>
      <c r="H50" s="145" t="n"/>
      <c r="I50" s="189">
        <f>IF(I29-I47=0,"Statement Balances","Does Not Balance")</f>
        <v/>
      </c>
      <c r="J50" s="145" t="n"/>
      <c r="K50" s="223" t="n"/>
      <c r="L50" s="145" t="n"/>
      <c r="M50" s="145" t="n"/>
      <c r="N50" s="145" t="n"/>
      <c r="O50" s="145" t="n"/>
      <c r="P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row>
    <row r="53" ht="12.75" customHeight="1" s="131"/>
    <row r="54" ht="12.75" customHeight="1" s="131"/>
    <row r="55" ht="12.75" customHeight="1" s="131">
      <c r="E55" s="130" t="n"/>
      <c r="F55" s="130" t="n"/>
      <c r="G55" s="130" t="n"/>
      <c r="H55" s="130" t="n"/>
      <c r="I55" s="130" t="n"/>
      <c r="J55" s="130" t="n"/>
      <c r="K55" s="130" t="n"/>
      <c r="L55" s="130" t="n"/>
      <c r="M55" s="130" t="n"/>
      <c r="N55" s="130" t="n"/>
      <c r="O55" s="130" t="n"/>
      <c r="P55" s="130" t="n"/>
      <c r="Q55" s="130" t="n"/>
      <c r="R55" s="130" t="n"/>
    </row>
    <row r="56" ht="12.75" customHeight="1" s="131">
      <c r="E56" s="130" t="n"/>
      <c r="F56" s="130" t="n"/>
      <c r="G56" s="130" t="n"/>
      <c r="H56" s="130" t="n"/>
      <c r="I56" s="130" t="n"/>
      <c r="J56" s="130" t="n"/>
      <c r="K56" s="130" t="n"/>
      <c r="L56" s="130" t="n"/>
      <c r="M56" s="130" t="n"/>
      <c r="N56" s="130" t="n"/>
      <c r="O56" s="130" t="n"/>
      <c r="P56" s="130" t="n"/>
      <c r="Q56" s="130" t="n"/>
      <c r="R56" s="130" t="n"/>
    </row>
    <row r="57" ht="12.75" customHeight="1" s="131">
      <c r="E57" s="130" t="n"/>
      <c r="F57" s="130" t="n"/>
      <c r="G57" s="130" t="n"/>
      <c r="H57" s="130" t="n"/>
      <c r="I57" s="130" t="n"/>
      <c r="J57" s="130" t="n"/>
      <c r="K57" s="130" t="n"/>
      <c r="L57" s="130" t="n"/>
      <c r="M57" s="130" t="n"/>
      <c r="N57" s="130" t="n"/>
      <c r="O57" s="130" t="n"/>
      <c r="P57" s="130" t="n"/>
      <c r="Q57" s="130" t="n"/>
      <c r="R57" s="130" t="n"/>
    </row>
    <row r="58" ht="12.75" customHeight="1" s="131">
      <c r="D58" s="167" t="n"/>
      <c r="E58" s="130" t="n"/>
      <c r="F58" s="130" t="n"/>
      <c r="G58" s="130" t="n"/>
      <c r="H58" s="130" t="n"/>
      <c r="I58" s="130" t="n"/>
      <c r="J58" s="130" t="n"/>
      <c r="K58" s="130" t="n"/>
      <c r="L58" s="130" t="n"/>
      <c r="M58" s="130" t="n"/>
      <c r="N58" s="130" t="n"/>
      <c r="O58" s="130" t="n"/>
      <c r="P58" s="130" t="n"/>
      <c r="Q58" s="130" t="n"/>
      <c r="R58" s="130" t="n"/>
    </row>
    <row r="59" ht="12.75" customHeight="1" s="131">
      <c r="D59" s="167" t="n"/>
      <c r="E59" s="130" t="n"/>
      <c r="F59" s="130" t="n"/>
      <c r="G59" s="130" t="n"/>
      <c r="H59" s="130" t="n"/>
      <c r="I59" s="130" t="n"/>
      <c r="J59" s="130" t="n"/>
      <c r="K59" s="130" t="n"/>
      <c r="L59" s="130" t="n"/>
      <c r="M59" s="130" t="n"/>
      <c r="N59" s="130" t="n"/>
      <c r="O59" s="130" t="n"/>
      <c r="P59" s="130" t="n"/>
      <c r="Q59" s="130" t="n"/>
      <c r="R59" s="130" t="n"/>
    </row>
    <row r="60" ht="12.75" customHeight="1" s="131">
      <c r="D60" s="167" t="n"/>
      <c r="E60" s="130" t="n"/>
      <c r="F60" s="130" t="n"/>
      <c r="G60" s="130" t="n"/>
      <c r="H60" s="130" t="n"/>
      <c r="I60" s="130" t="n"/>
      <c r="J60" s="130" t="n"/>
      <c r="K60" s="130" t="n"/>
      <c r="L60" s="130" t="n"/>
      <c r="M60" s="130" t="n"/>
      <c r="N60" s="130" t="n"/>
      <c r="O60" s="130" t="n"/>
      <c r="P60" s="130" t="n"/>
      <c r="Q60" s="130" t="n"/>
      <c r="R60" s="130" t="n"/>
    </row>
    <row r="61" ht="12.75" customHeight="1" s="131">
      <c r="D61" s="167" t="n"/>
      <c r="E61" s="130" t="n"/>
      <c r="F61" s="130" t="n"/>
      <c r="G61" s="130" t="n"/>
      <c r="H61" s="130" t="n"/>
      <c r="I61" s="130" t="n"/>
      <c r="J61" s="130" t="n"/>
      <c r="K61" s="130" t="n"/>
      <c r="L61" s="130" t="n"/>
      <c r="M61" s="130" t="n"/>
      <c r="N61" s="130" t="n"/>
      <c r="O61" s="130" t="n"/>
      <c r="P61" s="130" t="n"/>
      <c r="Q61" s="130" t="n"/>
      <c r="R61" s="130" t="n"/>
    </row>
    <row r="62" ht="12.75" customHeight="1" s="131">
      <c r="D62" s="167" t="n"/>
      <c r="E62" s="130" t="n"/>
      <c r="F62" s="130" t="n"/>
      <c r="G62" s="130" t="n"/>
      <c r="H62" s="130" t="n"/>
      <c r="I62" s="130" t="n"/>
      <c r="J62" s="130" t="n"/>
      <c r="K62" s="130" t="n"/>
      <c r="L62" s="130" t="n"/>
      <c r="M62" s="130" t="n"/>
      <c r="N62" s="130" t="n"/>
      <c r="O62" s="130" t="n"/>
      <c r="P62" s="130" t="n"/>
      <c r="Q62" s="130" t="n"/>
      <c r="R62" s="130" t="n"/>
    </row>
    <row r="63" ht="12.75" customHeight="1" s="131">
      <c r="E63" s="130" t="n"/>
      <c r="F63" s="130" t="n"/>
      <c r="G63" s="130" t="n"/>
      <c r="H63" s="130" t="n"/>
      <c r="I63" s="130" t="n"/>
      <c r="J63" s="130" t="n"/>
      <c r="K63" s="130" t="n"/>
      <c r="L63" s="130" t="n"/>
      <c r="M63" s="130" t="n"/>
      <c r="N63" s="130" t="n"/>
      <c r="O63" s="130" t="n"/>
      <c r="P63" s="130" t="n"/>
      <c r="Q63" s="130" t="n"/>
      <c r="R63" s="130" t="n"/>
    </row>
    <row r="64" ht="12.75" customHeight="1" s="131">
      <c r="E64" s="130" t="n"/>
      <c r="F64" s="130" t="n"/>
      <c r="G64" s="130" t="n"/>
      <c r="H64" s="130" t="n"/>
      <c r="I64" s="130" t="n"/>
      <c r="J64" s="130" t="n"/>
      <c r="K64" s="130" t="n"/>
      <c r="L64" s="130" t="n"/>
      <c r="M64" s="130" t="n"/>
      <c r="N64" s="130" t="n"/>
      <c r="O64" s="130" t="n"/>
      <c r="P64" s="130" t="n"/>
      <c r="Q64" s="130" t="n"/>
      <c r="R64" s="130" t="n"/>
    </row>
    <row r="65" ht="12.75" customHeight="1" s="131">
      <c r="E65" s="130" t="n"/>
      <c r="F65" s="130" t="n"/>
      <c r="G65" s="130" t="n"/>
      <c r="H65" s="130" t="n"/>
      <c r="I65" s="130" t="n"/>
      <c r="J65" s="130" t="n"/>
      <c r="K65" s="130" t="n"/>
      <c r="L65" s="130" t="n"/>
      <c r="M65" s="130" t="n"/>
      <c r="N65" s="130" t="n"/>
      <c r="O65" s="130" t="n"/>
      <c r="P65" s="130" t="n"/>
      <c r="Q65" s="130" t="n"/>
      <c r="R65" s="130" t="n"/>
    </row>
    <row r="66" ht="12.75" customHeight="1" s="131">
      <c r="E66" s="130" t="n"/>
      <c r="F66" s="130" t="n"/>
      <c r="G66" s="130" t="n"/>
      <c r="H66" s="130" t="n"/>
      <c r="I66" s="130" t="n"/>
      <c r="J66" s="130" t="n"/>
      <c r="K66" s="130" t="n"/>
      <c r="L66" s="130" t="n"/>
      <c r="M66" s="130" t="n"/>
      <c r="N66" s="130" t="n"/>
      <c r="O66" s="130" t="n"/>
      <c r="P66" s="130" t="n"/>
      <c r="Q66" s="130" t="n"/>
      <c r="R66" s="130" t="n"/>
    </row>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R5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37" min="1" max="4"/>
    <col width="20.74" customWidth="1" style="130" min="5" max="5"/>
    <col width="5.71" customWidth="1" style="130" min="6" max="6"/>
    <col width="18.74" customWidth="1" style="130" min="7" max="7"/>
    <col width="8.720000000000001" customWidth="1" style="130" min="8" max="8"/>
    <col width="18.74" customWidth="1" style="130" min="9" max="9"/>
    <col width="8.720000000000001" customWidth="1" style="130" min="10" max="10"/>
    <col width="18.74" customWidth="1" style="130" min="11" max="11"/>
    <col width="5.71" customWidth="1" style="130" min="12" max="12"/>
  </cols>
  <sheetData>
    <row r="1" ht="15.75" customHeight="1" s="131">
      <c r="A1" s="142">
        <f>'1. Required Start-Up Funds'!A1</f>
        <v/>
      </c>
      <c r="Q1" s="143" t="n"/>
    </row>
    <row r="2" ht="15.75" customHeight="1" s="131">
      <c r="A2" s="142" t="inlineStr">
        <is>
          <t>Financial Ratios</t>
        </is>
      </c>
    </row>
    <row r="3" ht="12.75" customHeight="1" s="131">
      <c r="E3" s="137" t="n"/>
      <c r="F3" s="145" t="n"/>
      <c r="G3" s="145" t="n"/>
      <c r="H3" s="145" t="n"/>
      <c r="I3" s="145" t="n"/>
      <c r="J3" s="145" t="n"/>
      <c r="K3" s="145" t="n"/>
      <c r="L3" s="145" t="n"/>
      <c r="M3" s="145" t="n"/>
      <c r="N3" s="145" t="n"/>
      <c r="O3" s="145" t="n"/>
      <c r="P3" s="145" t="n"/>
      <c r="Q3" s="145" t="n"/>
    </row>
    <row r="4" ht="12.75" customHeight="1" s="131">
      <c r="E4" s="145" t="n"/>
      <c r="F4" s="145" t="n"/>
      <c r="G4" s="145" t="n"/>
      <c r="H4" s="145" t="n"/>
      <c r="I4" s="145" t="n"/>
      <c r="J4" s="145" t="n"/>
      <c r="K4" s="145" t="n"/>
      <c r="L4" s="145" t="n"/>
      <c r="M4" s="145" t="n"/>
      <c r="N4" s="145" t="n"/>
      <c r="O4" s="145" t="n"/>
      <c r="P4" s="145" t="n"/>
      <c r="Q4" s="145" t="n"/>
    </row>
    <row r="5" ht="12.75" customHeight="1" s="131">
      <c r="E5" s="145" t="n"/>
      <c r="F5" s="145" t="n"/>
      <c r="G5" s="145" t="n"/>
      <c r="H5" s="145" t="n"/>
      <c r="I5" s="145" t="n"/>
      <c r="J5" s="145" t="n"/>
      <c r="K5" s="145" t="n"/>
      <c r="L5" s="145" t="n"/>
      <c r="M5" s="145" t="n"/>
      <c r="N5" s="145" t="n"/>
      <c r="O5" s="145" t="n"/>
      <c r="P5" s="145" t="n"/>
      <c r="Q5" s="145" t="n"/>
    </row>
    <row r="6" ht="12.75" customHeight="1" s="131">
      <c r="A6" s="137" t="inlineStr">
        <is>
          <t>Ratio</t>
        </is>
      </c>
      <c r="B6" s="137" t="n"/>
      <c r="C6" s="137" t="n"/>
      <c r="D6" s="137" t="n"/>
      <c r="E6" s="145" t="n"/>
      <c r="F6" s="140" t="n"/>
      <c r="G6" s="172" t="inlineStr">
        <is>
          <t>Year One</t>
        </is>
      </c>
      <c r="H6" s="140" t="n"/>
      <c r="I6" s="172" t="inlineStr">
        <is>
          <t>Year Two</t>
        </is>
      </c>
      <c r="J6" s="140" t="n"/>
      <c r="K6" s="172" t="inlineStr">
        <is>
          <t>Year Three</t>
        </is>
      </c>
      <c r="L6" s="145" t="n"/>
      <c r="M6" s="140" t="n"/>
      <c r="N6" s="145" t="n"/>
      <c r="O6" s="145" t="n"/>
      <c r="P6" s="145" t="n"/>
      <c r="Q6" s="145" t="n"/>
      <c r="R6" s="130" t="n"/>
    </row>
    <row r="7" ht="12.75" customHeight="1" s="131">
      <c r="A7" s="137" t="n"/>
      <c r="B7" s="137" t="inlineStr">
        <is>
          <t>Liquidity</t>
        </is>
      </c>
      <c r="C7" s="137" t="n"/>
      <c r="D7" s="137" t="n"/>
      <c r="E7" s="145" t="n"/>
      <c r="F7" s="145" t="n"/>
      <c r="G7" s="149" t="n"/>
      <c r="H7" s="145" t="n"/>
      <c r="I7" s="159" t="n"/>
      <c r="J7" s="145" t="n"/>
      <c r="K7" s="145" t="n"/>
      <c r="L7" s="145" t="n"/>
      <c r="M7" s="145" t="n"/>
      <c r="N7" s="145" t="n"/>
      <c r="O7" s="145" t="n"/>
      <c r="P7" s="145" t="n"/>
      <c r="Q7" s="145" t="n"/>
      <c r="R7" s="130" t="n"/>
    </row>
    <row r="8" ht="12.75" customHeight="1" s="131">
      <c r="A8" s="137" t="n"/>
      <c r="B8" s="137" t="n"/>
      <c r="C8" s="137" t="inlineStr">
        <is>
          <t>Current Ratio</t>
        </is>
      </c>
      <c r="D8" s="137" t="n"/>
      <c r="E8" s="145" t="n"/>
      <c r="F8" s="145" t="n"/>
      <c r="G8" s="176">
        <f>IF('10. Balance Sheet'!I39=0,0,'10. Balance Sheet'!I15/'10. Balance Sheet'!I39)</f>
        <v/>
      </c>
      <c r="H8" s="176" t="n"/>
      <c r="I8" s="176">
        <f>IF('14. Balance Sheet (2)'!I39=0,0,'14. Balance Sheet (2)'!I15/'14. Balance Sheet (2)'!I39)</f>
        <v/>
      </c>
      <c r="J8" s="176" t="n"/>
      <c r="K8" s="176">
        <f>IF('17. Balance Sheet (3)'!I39=0,0,'17. Balance Sheet (3)'!I15/'17. Balance Sheet (3)'!I39)</f>
        <v/>
      </c>
      <c r="L8" s="145" t="n"/>
      <c r="M8" s="167" t="n"/>
      <c r="N8" s="145" t="n"/>
      <c r="O8" s="145" t="n"/>
      <c r="P8" s="145" t="n"/>
      <c r="Q8" s="145" t="n"/>
      <c r="R8" s="130" t="n"/>
    </row>
    <row r="9" ht="12.75" customHeight="1" s="131">
      <c r="A9" s="137" t="n"/>
      <c r="B9" s="137" t="n"/>
      <c r="C9" s="137" t="inlineStr">
        <is>
          <t>Quick Ratio</t>
        </is>
      </c>
      <c r="D9" s="137" t="n"/>
      <c r="E9" s="145" t="n"/>
      <c r="F9" s="145" t="n"/>
      <c r="G9" s="176">
        <f>IF('10. Balance Sheet'!I39=0,0,('10. Balance Sheet'!I10+'10. Balance Sheet'!I11)/'10. Balance Sheet'!I39)</f>
        <v/>
      </c>
      <c r="H9" s="176" t="n"/>
      <c r="I9" s="176">
        <f>IF('14. Balance Sheet (2)'!I39=0,0,('14. Balance Sheet (2)'!I10+'14. Balance Sheet (2)'!I11)/'14. Balance Sheet (2)'!I39)</f>
        <v/>
      </c>
      <c r="J9" s="176" t="n"/>
      <c r="K9" s="176">
        <f>IF('17. Balance Sheet (3)'!I39=0,0,('17. Balance Sheet (3)'!I10+'17. Balance Sheet (3)'!I11)/'17. Balance Sheet (3)'!I39)</f>
        <v/>
      </c>
      <c r="L9" s="145" t="n"/>
      <c r="M9" s="145" t="n"/>
      <c r="N9" s="145" t="n"/>
      <c r="O9" s="145" t="n"/>
      <c r="P9" s="145" t="n"/>
      <c r="Q9" s="145" t="n"/>
      <c r="R9" s="130" t="n"/>
    </row>
    <row r="10" ht="12.75" customHeight="1" s="131">
      <c r="A10" s="137" t="n"/>
      <c r="B10" s="137" t="inlineStr">
        <is>
          <t>Safety</t>
        </is>
      </c>
      <c r="C10" s="137" t="n"/>
      <c r="D10" s="137" t="n"/>
      <c r="E10" s="145" t="n"/>
      <c r="F10" s="145" t="n"/>
      <c r="G10" s="176" t="n"/>
      <c r="H10" s="176" t="n"/>
      <c r="I10" s="176" t="n"/>
      <c r="J10" s="176" t="n"/>
      <c r="K10" s="176" t="n"/>
      <c r="L10" s="145" t="n"/>
      <c r="M10" s="145" t="n"/>
      <c r="N10" s="145" t="n"/>
      <c r="O10" s="145" t="n"/>
      <c r="P10" s="145" t="n"/>
      <c r="Q10" s="145" t="n"/>
      <c r="R10" s="130" t="n"/>
    </row>
    <row r="11" ht="12.75" customHeight="1" s="131">
      <c r="A11" s="137" t="n"/>
      <c r="B11" s="137" t="n"/>
      <c r="C11" s="137" t="inlineStr">
        <is>
          <t>Debt to Equity Ratio</t>
        </is>
      </c>
      <c r="D11" s="137" t="n"/>
      <c r="E11" s="145" t="n"/>
      <c r="F11" s="145" t="n"/>
      <c r="G11" s="176">
        <f>IF('10. Balance Sheet'!I45=0,0,'10. Balance Sheet'!I39/'10. Balance Sheet'!I45)</f>
        <v/>
      </c>
      <c r="H11" s="176" t="n"/>
      <c r="I11" s="176">
        <f>IF('14. Balance Sheet (2)'!I45=0,0,'14. Balance Sheet (2)'!I39/'14. Balance Sheet (2)'!I45)</f>
        <v/>
      </c>
      <c r="J11" s="176" t="n"/>
      <c r="K11" s="176">
        <f>IF('17. Balance Sheet (3)'!I45=0,0,'17. Balance Sheet (3)'!I39/'17. Balance Sheet (3)'!I45)</f>
        <v/>
      </c>
      <c r="L11" s="145" t="n"/>
      <c r="M11" s="145" t="n"/>
      <c r="N11" s="145" t="n"/>
      <c r="O11" s="145" t="n"/>
      <c r="P11" s="145" t="n"/>
      <c r="Q11" s="145" t="n"/>
      <c r="R11" s="130" t="n"/>
    </row>
    <row r="12" ht="12.75" customHeight="1" s="131">
      <c r="A12" s="137" t="n"/>
      <c r="B12" s="137" t="n"/>
      <c r="C12" s="137" t="inlineStr">
        <is>
          <t>Debt to Coverage Ratio</t>
        </is>
      </c>
      <c r="D12" s="137" t="n"/>
      <c r="E12" s="145" t="n"/>
      <c r="F12" s="145" t="n"/>
      <c r="G12" s="176">
        <f>IF('10. Balance Sheet'!I39=0,0,('8. Income Statement'!Q66+'8. Income Statement'!Q58)/'10. Balance Sheet'!I39)</f>
        <v/>
      </c>
      <c r="H12" s="176" t="n"/>
      <c r="I12" s="176">
        <f>IF('14. Balance Sheet (2)'!I39=0,0,('12. Income Statement (2)'!Q66+'12. Income Statement (2)'!Q58)/'14. Balance Sheet (2)'!I39)</f>
        <v/>
      </c>
      <c r="J12" s="176" t="n"/>
      <c r="K12" s="176">
        <f>IF('17. Balance Sheet (3)'!I39=0,0,('15. Income Statement (3)'!Q66+'15. Income Statement (3)'!Q58)/'17. Balance Sheet (3)'!I39)</f>
        <v/>
      </c>
      <c r="L12" s="145" t="n"/>
      <c r="M12" s="145" t="n"/>
      <c r="N12" s="145" t="n"/>
      <c r="O12" s="145" t="n"/>
      <c r="P12" s="145" t="n"/>
      <c r="Q12" s="145" t="n"/>
      <c r="R12" s="130" t="n"/>
    </row>
    <row r="13" ht="12.75" customHeight="1" s="131">
      <c r="A13" s="137" t="n"/>
      <c r="B13" s="137" t="inlineStr">
        <is>
          <t>Profitability</t>
        </is>
      </c>
      <c r="C13" s="137" t="n"/>
      <c r="D13" s="137" t="n"/>
      <c r="E13" s="130" t="n"/>
      <c r="F13" s="130" t="n"/>
      <c r="G13" s="226" t="n"/>
      <c r="H13" s="176" t="n"/>
      <c r="I13" s="176" t="n"/>
      <c r="J13" s="176" t="n"/>
      <c r="K13" s="176" t="n"/>
      <c r="L13" s="145" t="n"/>
      <c r="M13" s="145" t="n"/>
      <c r="N13" s="145" t="n"/>
      <c r="O13" s="145" t="n"/>
      <c r="P13" s="145" t="n"/>
      <c r="Q13" s="145" t="n"/>
      <c r="R13" s="130" t="n"/>
    </row>
    <row r="14" ht="12.75" customHeight="1" s="131">
      <c r="A14" s="137" t="n"/>
      <c r="B14" s="137" t="n"/>
      <c r="C14" s="137" t="inlineStr">
        <is>
          <t xml:space="preserve">Sales Growth </t>
        </is>
      </c>
      <c r="D14" s="137" t="n"/>
      <c r="E14" s="130" t="n"/>
      <c r="F14" s="130" t="n"/>
      <c r="G14" s="226" t="n">
        <v>0</v>
      </c>
      <c r="H14" s="176" t="n"/>
      <c r="I14" s="176">
        <f>IF('8. Income Statement'!Q13=0,0,('12. Income Statement (2)'!Q13-'8. Income Statement'!Q13)/'8. Income Statement'!Q13)</f>
        <v/>
      </c>
      <c r="J14" s="176" t="n"/>
      <c r="K14" s="176">
        <f>IF('12. Income Statement (2)'!Q13=0,0,('15. Income Statement (3)'!Q13-'12. Income Statement (2)'!Q13)/'12. Income Statement (2)'!Q13)</f>
        <v/>
      </c>
      <c r="L14" s="145" t="n"/>
      <c r="M14" s="145" t="n"/>
      <c r="N14" s="145" t="n"/>
      <c r="O14" s="145" t="n"/>
      <c r="P14" s="145" t="n"/>
      <c r="Q14" s="145" t="n"/>
      <c r="R14" s="130" t="n"/>
    </row>
    <row r="15" ht="12.75" customHeight="1" s="131">
      <c r="A15" s="137" t="n"/>
      <c r="B15" s="137" t="n"/>
      <c r="C15" s="137" t="inlineStr">
        <is>
          <t>COGS to Sales</t>
        </is>
      </c>
      <c r="D15" s="137" t="n"/>
      <c r="E15" s="145" t="n"/>
      <c r="F15" s="145" t="n"/>
      <c r="G15" s="176">
        <f>IF('8. Income Statement'!Q13=0,0,'8. Income Statement'!Q20/'8. Income Statement'!Q13)</f>
        <v/>
      </c>
      <c r="H15" s="176" t="n"/>
      <c r="I15" s="176">
        <f>IF('12. Income Statement (2)'!Q13=0,0,'12. Income Statement (2)'!Q20/'12. Income Statement (2)'!Q13)</f>
        <v/>
      </c>
      <c r="J15" s="176" t="n"/>
      <c r="K15" s="176">
        <f>IF('15. Income Statement (3)'!Q13=0,0,'15. Income Statement (3)'!Q20/'15. Income Statement (3)'!Q13)</f>
        <v/>
      </c>
      <c r="L15" s="145" t="n"/>
      <c r="M15" s="145" t="n"/>
      <c r="N15" s="145" t="n"/>
      <c r="O15" s="145" t="n"/>
      <c r="P15" s="145" t="n"/>
      <c r="Q15" s="145" t="n"/>
      <c r="R15" s="130" t="n"/>
    </row>
    <row r="16" ht="12.75" customHeight="1" s="131">
      <c r="A16" s="137" t="n"/>
      <c r="B16" s="137" t="n"/>
      <c r="C16" s="137" t="inlineStr">
        <is>
          <t>Gross Profit Margin</t>
        </is>
      </c>
      <c r="D16" s="137" t="n"/>
      <c r="E16" s="145" t="n"/>
      <c r="F16" s="145" t="n"/>
      <c r="G16" s="176">
        <f>IF('8. Income Statement'!Q13=0,0,'8. Income Statement'!Q22/'8. Income Statement'!Q13)</f>
        <v/>
      </c>
      <c r="H16" s="176" t="n"/>
      <c r="I16" s="176">
        <f>IF('12. Income Statement (2)'!Q13=0,0,'12. Income Statement (2)'!Q22/'12. Income Statement (2)'!Q13)</f>
        <v/>
      </c>
      <c r="J16" s="176" t="n"/>
      <c r="K16" s="176">
        <f>IF('15. Income Statement (3)'!Q13=0,0,'15. Income Statement (3)'!Q22/'15. Income Statement (3)'!Q13)</f>
        <v/>
      </c>
      <c r="L16" s="145" t="n"/>
      <c r="M16" s="145" t="n"/>
      <c r="N16" s="145" t="n"/>
      <c r="O16" s="145" t="n"/>
      <c r="P16" s="145" t="n"/>
      <c r="Q16" s="145" t="n"/>
      <c r="R16" s="130" t="n"/>
    </row>
    <row r="17" ht="12.75" customHeight="1" s="131">
      <c r="A17" s="137" t="n"/>
      <c r="B17" s="137" t="n"/>
      <c r="C17" s="137" t="inlineStr">
        <is>
          <t>SG&amp;A to Sales</t>
        </is>
      </c>
      <c r="D17" s="137" t="n"/>
      <c r="E17" s="145" t="n"/>
      <c r="F17" s="145" t="n"/>
      <c r="G17" s="176">
        <f>IF('8. Income Statement'!Q13=0,0,('8. Income Statement'!Q31+'8. Income Statement'!Q54)/'8. Income Statement'!Q13)</f>
        <v/>
      </c>
      <c r="H17" s="176" t="n"/>
      <c r="I17" s="176">
        <f>IF('12. Income Statement (2)'!Q13=0,0,('12. Income Statement (2)'!Q31+'12. Income Statement (2)'!Q54)/'12. Income Statement (2)'!Q13)</f>
        <v/>
      </c>
      <c r="J17" s="176" t="n"/>
      <c r="K17" s="176">
        <f>IF('15. Income Statement (3)'!Q13=0,0,('15. Income Statement (3)'!Q31+'15. Income Statement (3)'!Q54)/'15. Income Statement (3)'!Q13)</f>
        <v/>
      </c>
      <c r="L17" s="145" t="n"/>
      <c r="M17" s="145" t="n"/>
      <c r="N17" s="145" t="n"/>
      <c r="O17" s="145" t="n"/>
      <c r="P17" s="145" t="n"/>
      <c r="Q17" s="145" t="n"/>
      <c r="R17" s="130" t="n"/>
    </row>
    <row r="18" ht="12.75" customHeight="1" s="131">
      <c r="A18" s="137" t="n"/>
      <c r="B18" s="137" t="n"/>
      <c r="C18" s="137" t="inlineStr">
        <is>
          <t>Net Profit Margin</t>
        </is>
      </c>
      <c r="D18" s="137" t="n"/>
      <c r="E18" s="145" t="n"/>
      <c r="F18" s="145" t="n"/>
      <c r="G18" s="176">
        <f>IF('8. Income Statement'!Q13=0,0,'8. Income Statement'!Q66/'8. Income Statement'!Q13)</f>
        <v/>
      </c>
      <c r="H18" s="176" t="n"/>
      <c r="I18" s="176">
        <f>IF('12. Income Statement (2)'!Q13=0,0,'12. Income Statement (2)'!Q66/'12. Income Statement (2)'!Q13)</f>
        <v/>
      </c>
      <c r="J18" s="176" t="n"/>
      <c r="K18" s="176">
        <f>IF('15. Income Statement (3)'!Q13=0,0,'15. Income Statement (3)'!Q66/'15. Income Statement (3)'!Q13)</f>
        <v/>
      </c>
      <c r="L18" s="145" t="n"/>
      <c r="M18" s="145" t="n"/>
      <c r="N18" s="145" t="n"/>
      <c r="O18" s="145" t="n"/>
      <c r="P18" s="145" t="n"/>
      <c r="Q18" s="145" t="n"/>
      <c r="R18" s="130" t="n"/>
    </row>
    <row r="19" ht="12.75" customHeight="1" s="131">
      <c r="A19" s="137" t="n"/>
      <c r="B19" s="137" t="n"/>
      <c r="C19" s="137" t="inlineStr">
        <is>
          <t>Return on Equity</t>
        </is>
      </c>
      <c r="D19" s="137" t="n"/>
      <c r="E19" s="145" t="n"/>
      <c r="F19" s="145" t="n"/>
      <c r="G19" s="176">
        <f>IF('10. Balance Sheet'!I45=0,0,'8. Income Statement'!Q66/'10. Balance Sheet'!I45)</f>
        <v/>
      </c>
      <c r="H19" s="176" t="n"/>
      <c r="I19" s="176">
        <f>IF('14. Balance Sheet (2)'!I45=0,0,'12. Income Statement (2)'!Q66/'14. Balance Sheet (2)'!I45)</f>
        <v/>
      </c>
      <c r="J19" s="176" t="n"/>
      <c r="K19" s="176">
        <f>IF('17. Balance Sheet (3)'!I45=0,0,'15. Income Statement (3)'!Q66/'17. Balance Sheet (3)'!I45)</f>
        <v/>
      </c>
      <c r="L19" s="145" t="n"/>
      <c r="M19" s="145" t="n"/>
      <c r="N19" s="145" t="n"/>
      <c r="O19" s="145" t="n"/>
      <c r="P19" s="145" t="n"/>
      <c r="Q19" s="145" t="n"/>
      <c r="R19" s="130" t="n"/>
    </row>
    <row r="20" ht="12.75" customHeight="1" s="131">
      <c r="A20" s="137" t="n"/>
      <c r="B20" s="137" t="n"/>
      <c r="C20" s="137" t="inlineStr">
        <is>
          <t>Return on Assets</t>
        </is>
      </c>
      <c r="D20" s="137" t="n"/>
      <c r="E20" s="145" t="n"/>
      <c r="F20" s="145" t="n"/>
      <c r="G20" s="176">
        <f>IF('10. Balance Sheet'!I29=0,0,'8. Income Statement'!Q66/'10. Balance Sheet'!I29)</f>
        <v/>
      </c>
      <c r="H20" s="176" t="n"/>
      <c r="I20" s="176">
        <f>IF('14. Balance Sheet (2)'!I29=0,0,'12. Income Statement (2)'!Q66/'14. Balance Sheet (2)'!I29)</f>
        <v/>
      </c>
      <c r="J20" s="176" t="n"/>
      <c r="K20" s="176">
        <f>IF('17. Balance Sheet (3)'!I29=0,0,'15. Income Statement (3)'!Q66/'17. Balance Sheet (3)'!I29)</f>
        <v/>
      </c>
      <c r="L20" s="145" t="n"/>
      <c r="M20" s="145" t="n"/>
      <c r="N20" s="145" t="n"/>
      <c r="O20" s="145" t="n"/>
      <c r="P20" s="145" t="n"/>
      <c r="Q20" s="145" t="n"/>
      <c r="R20" s="130" t="n"/>
    </row>
    <row r="21" ht="12.75" customHeight="1" s="131">
      <c r="A21" s="137" t="n"/>
      <c r="B21" s="137" t="n"/>
      <c r="C21" s="137" t="inlineStr">
        <is>
          <t>Owner's Compensation to Sales</t>
        </is>
      </c>
      <c r="D21" s="137" t="n"/>
      <c r="E21" s="145" t="n"/>
      <c r="F21" s="145" t="n"/>
      <c r="G21" s="176">
        <f>IF('8. Income Statement'!Q13=0,0,'8. Income Statement'!Q25/'8. Income Statement'!Q13)</f>
        <v/>
      </c>
      <c r="H21" s="176" t="n"/>
      <c r="I21" s="176">
        <f>IF('12. Income Statement (2)'!Q13=0,0,'12. Income Statement (2)'!Q25/'12. Income Statement (2)'!Q13)</f>
        <v/>
      </c>
      <c r="J21" s="176" t="n"/>
      <c r="K21" s="176">
        <f>IF('15. Income Statement (3)'!Q13=0,0,'15. Income Statement (3)'!Q25/'15. Income Statement (3)'!Q13)</f>
        <v/>
      </c>
      <c r="L21" s="145" t="n"/>
      <c r="M21" s="145" t="n"/>
      <c r="N21" s="145" t="n"/>
      <c r="O21" s="145" t="n"/>
      <c r="P21" s="145" t="n"/>
      <c r="Q21" s="145" t="n"/>
      <c r="R21" s="130" t="n"/>
    </row>
    <row r="22" ht="12.75" customHeight="1" s="131">
      <c r="A22" s="137" t="n"/>
      <c r="B22" s="137" t="inlineStr">
        <is>
          <t>Efficiency</t>
        </is>
      </c>
      <c r="C22" s="137" t="n"/>
      <c r="D22" s="137" t="n"/>
      <c r="E22" s="145" t="n"/>
      <c r="F22" s="145" t="n"/>
      <c r="G22" s="176" t="n"/>
      <c r="H22" s="176" t="n"/>
      <c r="I22" s="176" t="n"/>
      <c r="J22" s="176" t="n"/>
      <c r="K22" s="176" t="n"/>
      <c r="L22" s="145" t="n"/>
      <c r="M22" s="145" t="n"/>
      <c r="N22" s="145" t="n"/>
      <c r="O22" s="145" t="n"/>
      <c r="P22" s="145" t="n"/>
      <c r="Q22" s="145" t="n"/>
      <c r="R22" s="130" t="n"/>
    </row>
    <row r="23" ht="12.75" customHeight="1" s="131">
      <c r="A23" s="137" t="n"/>
      <c r="B23" s="137" t="n"/>
      <c r="C23" s="137" t="inlineStr">
        <is>
          <t>Days in Receivables</t>
        </is>
      </c>
      <c r="D23" s="137" t="n"/>
      <c r="E23" s="145" t="n"/>
      <c r="F23" s="145" t="n"/>
      <c r="G23" s="176">
        <f>IF('8. Income Statement'!Q13=0,0,('10. Balance Sheet'!I11/'8. Income Statement'!Q13)*360)</f>
        <v/>
      </c>
      <c r="H23" s="176" t="n"/>
      <c r="I23" s="176">
        <f>IF('12. Income Statement (2)'!Q13=0,0,('14. Balance Sheet (2)'!I11/'12. Income Statement (2)'!Q13)*360)</f>
        <v/>
      </c>
      <c r="J23" s="176" t="n"/>
      <c r="K23" s="176">
        <f>IF('15. Income Statement (3)'!Q13=0,0,('17. Balance Sheet (3)'!I11/'15. Income Statement (3)'!Q13)*360)</f>
        <v/>
      </c>
      <c r="L23" s="145" t="n"/>
      <c r="M23" s="145" t="n"/>
      <c r="N23" s="145" t="n"/>
      <c r="O23" s="145" t="n"/>
      <c r="P23" s="145" t="n"/>
      <c r="Q23" s="145" t="n"/>
      <c r="R23" s="130" t="n"/>
    </row>
    <row r="24" ht="12.75" customHeight="1" s="131">
      <c r="A24" s="137" t="n"/>
      <c r="B24" s="137" t="n"/>
      <c r="C24" s="137" t="inlineStr">
        <is>
          <t>Accounts Receivable Turnover</t>
        </is>
      </c>
      <c r="D24" s="137" t="n"/>
      <c r="E24" s="145" t="n"/>
      <c r="F24" s="145" t="n"/>
      <c r="G24" s="176">
        <f>IF('10. Balance Sheet'!I11=0,0,'8. Income Statement'!Q13/'10. Balance Sheet'!I11)</f>
        <v/>
      </c>
      <c r="H24" s="176" t="n"/>
      <c r="I24" s="176">
        <f>IF('14. Balance Sheet (2)'!I11=0,0,'12. Income Statement (2)'!Q13/'14. Balance Sheet (2)'!I11)</f>
        <v/>
      </c>
      <c r="J24" s="176" t="n"/>
      <c r="K24" s="176">
        <f>IF('17. Balance Sheet (3)'!I11=0,0,'15. Income Statement (3)'!Q13/'17. Balance Sheet (3)'!I11)</f>
        <v/>
      </c>
      <c r="L24" s="145" t="n"/>
      <c r="M24" s="145" t="n"/>
      <c r="N24" s="145" t="n"/>
      <c r="O24" s="145" t="n"/>
      <c r="P24" s="145" t="n"/>
      <c r="Q24" s="145" t="n"/>
      <c r="R24" s="130" t="n"/>
    </row>
    <row r="25" ht="12.75" customHeight="1" s="131">
      <c r="A25" s="137" t="n"/>
      <c r="B25" s="137" t="n"/>
      <c r="C25" s="137" t="inlineStr">
        <is>
          <t>Days in Inventory</t>
        </is>
      </c>
      <c r="D25" s="137" t="n"/>
      <c r="E25" s="145" t="n"/>
      <c r="F25" s="145" t="n"/>
      <c r="G25" s="176">
        <f>IF('8. Income Statement'!Q20=0,0,('10. Balance Sheet'!I12/'8. Income Statement'!Q20)*360)</f>
        <v/>
      </c>
      <c r="H25" s="176" t="n"/>
      <c r="I25" s="176">
        <f>IF('12. Income Statement (2)'!Q20=0,0,('14. Balance Sheet (2)'!I12/'12. Income Statement (2)'!Q20)*360)</f>
        <v/>
      </c>
      <c r="J25" s="176" t="n"/>
      <c r="K25" s="176">
        <f>IF('15. Income Statement (3)'!Q20=0,0,('17. Balance Sheet (3)'!I12/'15. Income Statement (3)'!Q20)*360)</f>
        <v/>
      </c>
      <c r="L25" s="145" t="n"/>
      <c r="M25" s="145" t="n"/>
      <c r="N25" s="145" t="n"/>
      <c r="O25" s="145" t="n"/>
      <c r="P25" s="145" t="n"/>
      <c r="Q25" s="145" t="n"/>
      <c r="R25" s="130" t="n"/>
    </row>
    <row r="26" ht="12.75" customHeight="1" s="131">
      <c r="A26" s="137" t="n"/>
      <c r="B26" s="137" t="n"/>
      <c r="C26" s="137" t="inlineStr">
        <is>
          <t>Inventory Turnover</t>
        </is>
      </c>
      <c r="D26" s="137" t="n"/>
      <c r="E26" s="145" t="n"/>
      <c r="F26" s="176" t="n"/>
      <c r="G26" s="176">
        <f>IF('10. Balance Sheet'!I12=0,0,'8. Income Statement'!Q20/'10. Balance Sheet'!I12)</f>
        <v/>
      </c>
      <c r="H26" s="176" t="n"/>
      <c r="I26" s="176">
        <f>IF('14. Balance Sheet (2)'!I12=0,0,'12. Income Statement (2)'!Q20/'14. Balance Sheet (2)'!I12)</f>
        <v/>
      </c>
      <c r="J26" s="176" t="n"/>
      <c r="K26" s="176">
        <f>IF('17. Balance Sheet (3)'!I12=0,0,'15. Income Statement (3)'!Q20/'17. Balance Sheet (3)'!I12)</f>
        <v/>
      </c>
      <c r="L26" s="145" t="n"/>
      <c r="M26" s="145" t="n"/>
      <c r="N26" s="145" t="n"/>
      <c r="O26" s="145" t="n"/>
      <c r="P26" s="145" t="n"/>
      <c r="Q26" s="145" t="n"/>
      <c r="R26" s="130" t="n"/>
    </row>
    <row r="27" ht="12.75" customHeight="1" s="131">
      <c r="A27" s="137" t="n"/>
      <c r="B27" s="137" t="n"/>
      <c r="C27" s="137" t="inlineStr">
        <is>
          <t>Sales to Total Assets</t>
        </is>
      </c>
      <c r="D27" s="137" t="n"/>
      <c r="E27" s="145" t="n"/>
      <c r="F27" s="176" t="n"/>
      <c r="G27" s="176">
        <f>IF('10. Balance Sheet'!I29=0,0,'8. Income Statement'!Q13/'10. Balance Sheet'!I29)</f>
        <v/>
      </c>
      <c r="H27" s="176" t="n"/>
      <c r="I27" s="176">
        <f>IF('14. Balance Sheet (2)'!I29=0,0,'12. Income Statement (2)'!Q13/'14. Balance Sheet (2)'!I29)</f>
        <v/>
      </c>
      <c r="J27" s="176" t="n"/>
      <c r="K27" s="176">
        <f>IF('17. Balance Sheet (3)'!I29=0,0,'15. Income Statement (3)'!Q13/'17. Balance Sheet (3)'!I29)</f>
        <v/>
      </c>
      <c r="L27" s="145" t="n"/>
      <c r="M27" s="145" t="n"/>
      <c r="N27" s="145" t="n"/>
      <c r="O27" s="145" t="n"/>
      <c r="P27" s="145" t="n"/>
      <c r="Q27" s="145" t="n"/>
      <c r="R27" s="130" t="n"/>
    </row>
    <row r="28" ht="12.75" customHeight="1" s="131">
      <c r="A28" s="137" t="n"/>
      <c r="B28" s="137" t="n"/>
      <c r="C28" s="137" t="n"/>
      <c r="D28" s="137" t="n"/>
      <c r="E28" s="145" t="n"/>
      <c r="F28" s="178" t="n"/>
      <c r="G28" s="159" t="n"/>
      <c r="H28" s="156" t="n"/>
      <c r="I28" s="156" t="n"/>
      <c r="J28" s="156" t="n"/>
      <c r="K28" s="156" t="n"/>
      <c r="L28" s="145" t="n"/>
      <c r="M28" s="145" t="n"/>
      <c r="N28" s="145" t="n"/>
      <c r="O28" s="145" t="n"/>
      <c r="P28" s="145" t="n"/>
      <c r="Q28" s="145" t="n"/>
      <c r="R28" s="130" t="n"/>
    </row>
    <row r="29" ht="12.75" customHeight="1" s="131">
      <c r="A29" s="137" t="n"/>
      <c r="B29" s="137" t="n"/>
      <c r="C29" s="137" t="n"/>
      <c r="D29" s="137" t="n"/>
      <c r="E29" s="145" t="n"/>
      <c r="F29" s="145" t="n"/>
      <c r="G29" s="156" t="n"/>
      <c r="H29" s="156" t="n"/>
      <c r="I29" s="156" t="n"/>
      <c r="J29" s="156" t="n"/>
      <c r="K29" s="156" t="n"/>
      <c r="L29" s="145" t="n"/>
      <c r="M29" s="145" t="n"/>
      <c r="N29" s="145" t="n"/>
      <c r="O29" s="145" t="n"/>
      <c r="P29" s="145" t="n"/>
      <c r="Q29" s="145" t="n"/>
      <c r="R29" s="130" t="n"/>
    </row>
    <row r="30" ht="12.75" customHeight="1" s="131">
      <c r="A30" s="137" t="n"/>
      <c r="B30" s="137" t="n"/>
      <c r="C30" s="137" t="n"/>
      <c r="D30" s="137" t="n"/>
      <c r="E30" s="145" t="n"/>
      <c r="F30" s="145" t="n"/>
      <c r="G30" s="156" t="n"/>
      <c r="H30" s="156" t="n"/>
      <c r="I30" s="156" t="n"/>
      <c r="J30" s="156" t="n"/>
      <c r="K30" s="156" t="n"/>
      <c r="L30" s="145" t="n"/>
      <c r="M30" s="145" t="n"/>
      <c r="N30" s="145" t="n"/>
      <c r="O30" s="145" t="n"/>
      <c r="P30" s="145" t="n"/>
      <c r="Q30" s="145" t="n"/>
      <c r="R30" s="130" t="n"/>
    </row>
    <row r="31" ht="12.75" customHeight="1" s="131">
      <c r="A31" s="137" t="n"/>
      <c r="B31" s="137" t="n"/>
      <c r="C31" s="137" t="n"/>
      <c r="D31" s="137" t="n"/>
      <c r="E31" s="145" t="n"/>
      <c r="F31" s="176" t="n"/>
      <c r="G31" s="176" t="n"/>
      <c r="H31" s="156" t="n"/>
      <c r="I31" s="156" t="n"/>
      <c r="J31" s="156" t="n"/>
      <c r="K31" s="156" t="n"/>
      <c r="L31" s="145" t="n"/>
      <c r="M31" s="145" t="n"/>
      <c r="N31" s="145" t="n"/>
      <c r="O31" s="145" t="n"/>
      <c r="P31" s="145" t="n"/>
      <c r="Q31" s="145" t="n"/>
      <c r="R31" s="130" t="n"/>
    </row>
    <row r="32" ht="12.75" customHeight="1" s="131">
      <c r="A32" s="137" t="n"/>
      <c r="B32" s="137" t="n"/>
      <c r="C32" s="137" t="n"/>
      <c r="D32" s="137" t="n"/>
      <c r="E32" s="145" t="n"/>
      <c r="F32" s="178" t="n"/>
      <c r="G32" s="156" t="n"/>
      <c r="H32" s="156" t="n"/>
      <c r="I32" s="156" t="n"/>
      <c r="J32" s="156" t="n"/>
      <c r="K32" s="156" t="n"/>
      <c r="L32" s="145" t="n"/>
      <c r="M32" s="145" t="n"/>
      <c r="N32" s="145" t="n"/>
      <c r="O32" s="145" t="n"/>
      <c r="P32" s="145" t="n"/>
      <c r="Q32" s="145" t="n"/>
      <c r="R32" s="130" t="n"/>
    </row>
    <row r="33" ht="12.75" customHeight="1" s="131">
      <c r="A33" s="137" t="n"/>
      <c r="B33" s="137" t="n"/>
      <c r="C33" s="137" t="n"/>
      <c r="D33" s="137" t="n"/>
      <c r="E33" s="145" t="n"/>
      <c r="F33" s="145" t="n"/>
      <c r="G33" s="156" t="n"/>
      <c r="H33" s="156" t="n"/>
      <c r="I33" s="156" t="n"/>
      <c r="J33" s="156" t="n"/>
      <c r="K33" s="156" t="n"/>
      <c r="L33" s="145" t="n"/>
      <c r="M33" s="145" t="n"/>
      <c r="N33" s="145" t="n"/>
      <c r="O33" s="145" t="n"/>
      <c r="P33" s="145" t="n"/>
      <c r="Q33" s="145" t="n"/>
      <c r="R33" s="130" t="n"/>
    </row>
    <row r="34" ht="12.75" customHeight="1" s="131">
      <c r="A34" s="137" t="n"/>
      <c r="B34" s="137" t="n"/>
      <c r="C34" s="137" t="n"/>
      <c r="D34" s="137" t="n"/>
      <c r="E34" s="145" t="n"/>
      <c r="F34" s="145" t="n"/>
      <c r="G34" s="156" t="n"/>
      <c r="H34" s="156" t="n"/>
      <c r="I34" s="156" t="n"/>
      <c r="J34" s="156" t="n"/>
      <c r="K34" s="156" t="n"/>
      <c r="L34" s="145" t="n"/>
      <c r="M34" s="145" t="n"/>
      <c r="N34" s="145" t="n"/>
      <c r="O34" s="145" t="n"/>
      <c r="P34" s="145" t="n"/>
      <c r="Q34" s="145" t="n"/>
      <c r="R34" s="130" t="n"/>
    </row>
    <row r="35" ht="12.75" customHeight="1" s="131">
      <c r="A35" s="137" t="n"/>
      <c r="B35" s="137" t="n"/>
      <c r="C35" s="137" t="n"/>
      <c r="D35" s="137" t="n"/>
      <c r="E35" s="145" t="n"/>
      <c r="F35" s="145" t="n"/>
      <c r="G35" s="156" t="n"/>
      <c r="H35" s="156" t="n"/>
      <c r="I35" s="156" t="n"/>
      <c r="J35" s="156" t="n"/>
      <c r="K35" s="156" t="n"/>
      <c r="L35" s="145" t="n"/>
      <c r="M35" s="145" t="n"/>
      <c r="N35" s="145" t="n"/>
      <c r="O35" s="145" t="n"/>
      <c r="P35" s="145" t="n"/>
      <c r="Q35" s="145" t="n"/>
      <c r="R35" s="130" t="n"/>
    </row>
    <row r="36" ht="12.75" customHeight="1" s="131">
      <c r="A36" s="137" t="n"/>
      <c r="B36" s="137" t="n"/>
      <c r="C36" s="137" t="n"/>
      <c r="D36" s="137" t="n"/>
      <c r="E36" s="145" t="n"/>
      <c r="F36" s="145" t="n"/>
      <c r="G36" s="156" t="n"/>
      <c r="H36" s="156" t="n"/>
      <c r="I36" s="156" t="n"/>
      <c r="J36" s="156" t="n"/>
      <c r="K36" s="156" t="n"/>
      <c r="L36" s="145" t="n"/>
      <c r="M36" s="145" t="n"/>
      <c r="N36" s="145" t="n"/>
      <c r="O36" s="145" t="n"/>
      <c r="P36" s="145" t="n"/>
      <c r="Q36" s="145" t="n"/>
      <c r="R36" s="130" t="n"/>
    </row>
    <row r="37" ht="12.75" customHeight="1" s="131">
      <c r="A37" s="137" t="n"/>
      <c r="B37" s="137" t="n"/>
      <c r="C37" s="137" t="n"/>
      <c r="D37" s="137" t="n"/>
      <c r="E37" s="145" t="n"/>
      <c r="F37" s="145" t="n"/>
      <c r="G37" s="156" t="n"/>
      <c r="H37" s="156" t="n"/>
      <c r="I37" s="156" t="n"/>
      <c r="J37" s="156" t="n"/>
      <c r="K37" s="156" t="n"/>
      <c r="L37" s="145" t="n"/>
      <c r="M37" s="145" t="n"/>
      <c r="N37" s="145" t="n"/>
      <c r="O37" s="145" t="n"/>
      <c r="P37" s="145" t="n"/>
      <c r="Q37" s="145" t="n"/>
      <c r="R37" s="130" t="n"/>
    </row>
    <row r="38" ht="12.75" customHeight="1" s="131">
      <c r="A38" s="137" t="n"/>
      <c r="B38" s="137" t="n"/>
      <c r="C38" s="137" t="n"/>
      <c r="D38" s="137" t="n"/>
      <c r="E38" s="145" t="n"/>
      <c r="F38" s="145" t="n"/>
      <c r="G38" s="156" t="n"/>
      <c r="H38" s="156" t="n"/>
      <c r="I38" s="156" t="n"/>
      <c r="J38" s="156" t="n"/>
      <c r="K38" s="156" t="n"/>
      <c r="L38" s="145" t="n"/>
      <c r="M38" s="145" t="n"/>
      <c r="N38" s="145" t="n"/>
      <c r="O38" s="145" t="n"/>
      <c r="P38" s="145" t="n"/>
      <c r="Q38" s="145" t="n"/>
      <c r="R38" s="130" t="n"/>
    </row>
    <row r="39" ht="12.75" customHeight="1" s="131">
      <c r="A39" s="137" t="n"/>
      <c r="B39" s="137" t="n"/>
      <c r="C39" s="137" t="n"/>
      <c r="D39" s="137" t="n"/>
      <c r="E39" s="145" t="n"/>
      <c r="F39" s="145" t="n"/>
      <c r="G39" s="156" t="n"/>
      <c r="H39" s="156" t="n"/>
      <c r="I39" s="156" t="n"/>
      <c r="J39" s="156" t="n"/>
      <c r="K39" s="156" t="n"/>
      <c r="L39" s="145" t="n"/>
      <c r="M39" s="145" t="n"/>
      <c r="N39" s="145" t="n"/>
      <c r="O39" s="145" t="n"/>
      <c r="P39" s="145" t="n"/>
      <c r="Q39" s="145" t="n"/>
      <c r="R39" s="130" t="n"/>
    </row>
    <row r="40" ht="12.75" customHeight="1" s="131">
      <c r="A40" s="137" t="n"/>
      <c r="B40" s="137" t="n"/>
      <c r="C40" s="137" t="n"/>
      <c r="D40" s="137" t="n"/>
      <c r="E40" s="145" t="n"/>
      <c r="F40" s="145" t="n"/>
      <c r="G40" s="156" t="n"/>
      <c r="H40" s="156" t="n"/>
      <c r="I40" s="156" t="n"/>
      <c r="J40" s="156" t="n"/>
      <c r="K40" s="156" t="n"/>
      <c r="L40" s="145" t="n"/>
      <c r="M40" s="145" t="n"/>
      <c r="N40" s="145" t="n"/>
      <c r="O40" s="145" t="n"/>
      <c r="P40" s="145" t="n"/>
      <c r="Q40" s="145" t="n"/>
      <c r="R40" s="130" t="n"/>
    </row>
    <row r="41" ht="12.75" customHeight="1" s="131">
      <c r="A41" s="137" t="n"/>
      <c r="B41" s="137" t="n"/>
      <c r="C41" s="137" t="n"/>
      <c r="D41" s="137" t="n"/>
      <c r="E41" s="145" t="n"/>
      <c r="F41" s="145" t="n"/>
      <c r="G41" s="156" t="n"/>
      <c r="H41" s="156" t="n"/>
      <c r="I41" s="156" t="n"/>
      <c r="J41" s="156" t="n"/>
      <c r="K41" s="156" t="n"/>
      <c r="L41" s="145" t="n"/>
      <c r="M41" s="145" t="n"/>
      <c r="N41" s="145" t="n"/>
      <c r="O41" s="145" t="n"/>
      <c r="P41" s="145" t="n"/>
      <c r="Q41" s="145" t="n"/>
      <c r="R41" s="130" t="n"/>
    </row>
    <row r="42" ht="12.75" customHeight="1" s="131">
      <c r="A42" s="137" t="n"/>
      <c r="B42" s="137" t="n"/>
      <c r="C42" s="137" t="n"/>
      <c r="D42" s="137" t="n"/>
      <c r="E42" s="145" t="n"/>
      <c r="F42" s="145" t="n"/>
      <c r="G42" s="156" t="n"/>
      <c r="H42" s="156" t="n"/>
      <c r="I42" s="156" t="n"/>
      <c r="J42" s="156" t="n"/>
      <c r="K42" s="156" t="n"/>
      <c r="L42" s="145" t="n"/>
      <c r="M42" s="145" t="n"/>
      <c r="N42" s="145" t="n"/>
      <c r="O42" s="145" t="n"/>
      <c r="P42" s="145" t="n"/>
      <c r="Q42" s="145" t="n"/>
      <c r="R42" s="130" t="n"/>
    </row>
    <row r="43" ht="12.75" customHeight="1" s="131">
      <c r="A43" s="137" t="n"/>
      <c r="B43" s="137" t="n"/>
      <c r="C43" s="137" t="n"/>
      <c r="D43" s="137" t="n"/>
      <c r="E43" s="145" t="n"/>
      <c r="F43" s="145" t="n"/>
      <c r="G43" s="156" t="n"/>
      <c r="H43" s="156" t="n"/>
      <c r="I43" s="156" t="n"/>
      <c r="J43" s="156" t="n"/>
      <c r="K43" s="156" t="n"/>
      <c r="L43" s="145" t="n"/>
      <c r="M43" s="145" t="n"/>
      <c r="N43" s="145" t="n"/>
      <c r="O43" s="145" t="n"/>
      <c r="P43" s="145" t="n"/>
      <c r="Q43" s="145" t="n"/>
      <c r="R43" s="130" t="n"/>
    </row>
    <row r="44" ht="12.75" customHeight="1" s="131">
      <c r="A44" s="137" t="n"/>
      <c r="B44" s="137" t="n"/>
      <c r="C44" s="137" t="n"/>
      <c r="D44" s="137" t="n"/>
      <c r="E44" s="145" t="n"/>
      <c r="F44" s="145" t="n"/>
      <c r="G44" s="156" t="n"/>
      <c r="H44" s="156" t="n"/>
      <c r="I44" s="156" t="n"/>
      <c r="J44" s="156" t="n"/>
      <c r="K44" s="156" t="n"/>
      <c r="L44" s="145" t="n"/>
      <c r="M44" s="145" t="n"/>
      <c r="N44" s="145" t="n"/>
      <c r="O44" s="145" t="n"/>
      <c r="P44" s="145" t="n"/>
      <c r="Q44" s="145" t="n"/>
      <c r="R44" s="130" t="n"/>
    </row>
    <row r="45" ht="12.75" customHeight="1" s="131">
      <c r="A45" s="137" t="n"/>
      <c r="B45" s="137" t="n"/>
      <c r="C45" s="137" t="n"/>
      <c r="D45" s="137" t="n"/>
      <c r="E45" s="145" t="n"/>
      <c r="F45" s="145" t="n"/>
      <c r="G45" s="156" t="n"/>
      <c r="H45" s="156" t="n"/>
      <c r="I45" s="156" t="n"/>
      <c r="J45" s="156" t="n"/>
      <c r="K45" s="156" t="n"/>
      <c r="L45" s="145" t="n"/>
      <c r="M45" s="145" t="n"/>
      <c r="N45" s="145" t="n"/>
      <c r="O45" s="145" t="n"/>
      <c r="P45" s="145" t="n"/>
      <c r="Q45" s="145" t="n"/>
      <c r="R45" s="130" t="n"/>
    </row>
    <row r="46" ht="12.75" customHeight="1" s="131">
      <c r="A46" s="137" t="n"/>
      <c r="B46" s="137" t="n"/>
      <c r="C46" s="137" t="n"/>
      <c r="D46" s="137" t="n"/>
      <c r="E46" s="145" t="n"/>
      <c r="F46" s="145" t="n"/>
      <c r="G46" s="156" t="n"/>
      <c r="H46" s="156" t="n"/>
      <c r="I46" s="156" t="n"/>
      <c r="J46" s="156" t="n"/>
      <c r="K46" s="156" t="n"/>
      <c r="L46" s="145" t="n"/>
      <c r="M46" s="145" t="n"/>
      <c r="N46" s="145" t="n"/>
      <c r="O46" s="145" t="n"/>
      <c r="P46" s="145" t="n"/>
      <c r="Q46" s="145" t="n"/>
      <c r="R46" s="130" t="n"/>
    </row>
    <row r="47" ht="12.75" customHeight="1" s="131">
      <c r="A47" s="137" t="n"/>
      <c r="B47" s="137" t="n"/>
      <c r="C47" s="137" t="n"/>
      <c r="D47" s="137" t="n"/>
      <c r="E47" s="145" t="n"/>
      <c r="F47" s="145" t="n"/>
      <c r="G47" s="156" t="n"/>
      <c r="H47" s="156" t="n"/>
      <c r="I47" s="156" t="n"/>
      <c r="J47" s="156" t="n"/>
      <c r="K47" s="156" t="n"/>
      <c r="L47" s="145" t="n"/>
      <c r="M47" s="145" t="n"/>
      <c r="N47" s="145" t="n"/>
      <c r="O47" s="145" t="n"/>
      <c r="P47" s="145" t="n"/>
      <c r="Q47" s="145" t="n"/>
      <c r="R47" s="130" t="n"/>
    </row>
    <row r="48" ht="12.75" customHeight="1" s="131">
      <c r="A48" s="137" t="n"/>
      <c r="B48" s="137" t="n"/>
      <c r="C48" s="137" t="n"/>
      <c r="D48" s="137" t="n"/>
      <c r="E48" s="145" t="n"/>
      <c r="F48" s="145" t="n"/>
      <c r="G48" s="156" t="n"/>
      <c r="H48" s="156" t="n"/>
      <c r="I48" s="156" t="n"/>
      <c r="J48" s="156" t="n"/>
      <c r="K48" s="156" t="n"/>
      <c r="L48" s="145" t="n"/>
      <c r="M48" s="145" t="n"/>
      <c r="N48" s="145" t="n"/>
      <c r="O48" s="145" t="n"/>
      <c r="P48" s="145" t="n"/>
      <c r="Q48" s="145" t="n"/>
      <c r="R48" s="130" t="n"/>
    </row>
    <row r="49" ht="12.75" customHeight="1" s="131">
      <c r="A49" s="137" t="n"/>
      <c r="B49" s="137" t="n"/>
      <c r="C49" s="137" t="n"/>
      <c r="D49" s="137" t="n"/>
      <c r="E49" s="145" t="n"/>
      <c r="F49" s="145" t="n"/>
      <c r="G49" s="182" t="n"/>
      <c r="H49" s="182" t="n"/>
      <c r="I49" s="182" t="n"/>
      <c r="J49" s="182" t="n"/>
      <c r="K49" s="182" t="n"/>
      <c r="L49" s="145" t="n"/>
      <c r="M49" s="145" t="n"/>
      <c r="N49" s="145" t="n"/>
      <c r="O49" s="145" t="n"/>
      <c r="P49" s="145" t="n"/>
      <c r="Q49" s="145" t="n"/>
      <c r="R49" s="130" t="n"/>
    </row>
    <row r="50" ht="12.75" customHeight="1" s="131">
      <c r="A50" s="137" t="n"/>
      <c r="B50" s="137" t="n"/>
      <c r="C50" s="137" t="n"/>
      <c r="D50" s="137" t="n"/>
      <c r="E50" s="145" t="n"/>
      <c r="F50" s="145" t="n"/>
      <c r="G50" s="150" t="n"/>
      <c r="H50" s="150" t="n"/>
      <c r="I50" s="150" t="n"/>
      <c r="J50" s="150" t="n"/>
      <c r="K50" s="150" t="n"/>
      <c r="L50" s="145" t="n"/>
      <c r="M50" s="145" t="n"/>
      <c r="N50" s="145" t="n"/>
      <c r="O50" s="145" t="n"/>
      <c r="P50" s="145" t="n"/>
      <c r="Q50" s="145" t="n"/>
      <c r="R50" s="130" t="n"/>
    </row>
    <row r="51" ht="12.75" customHeight="1" s="131">
      <c r="A51" s="137" t="n"/>
      <c r="B51" s="137" t="n"/>
      <c r="C51" s="137" t="n"/>
      <c r="D51" s="137" t="n"/>
      <c r="E51" s="145" t="n"/>
      <c r="F51" s="145" t="n"/>
      <c r="G51" s="149" t="n"/>
      <c r="H51" s="149" t="n"/>
      <c r="I51" s="149" t="n"/>
      <c r="J51" s="149" t="n"/>
      <c r="K51" s="149" t="n"/>
      <c r="L51" s="145" t="n"/>
      <c r="M51" s="145" t="n"/>
      <c r="N51" s="145" t="n"/>
      <c r="O51" s="145" t="n"/>
      <c r="P51" s="145" t="n"/>
      <c r="Q51" s="145" t="n"/>
      <c r="R51" s="130" t="n"/>
    </row>
    <row r="52" ht="12.75" customHeight="1" s="131">
      <c r="A52" s="137" t="n"/>
      <c r="B52" s="137" t="n"/>
      <c r="C52" s="137" t="n"/>
      <c r="D52" s="137" t="n"/>
      <c r="E52" s="145" t="n"/>
      <c r="F52" s="145" t="n"/>
      <c r="G52" s="145" t="n"/>
      <c r="H52" s="145" t="n"/>
      <c r="I52" s="145" t="n"/>
      <c r="J52" s="145" t="n"/>
      <c r="K52" s="145" t="n"/>
      <c r="L52" s="145" t="n"/>
      <c r="M52" s="145" t="n"/>
      <c r="N52" s="145" t="n"/>
      <c r="O52" s="145" t="n"/>
      <c r="P52" s="145" t="n"/>
      <c r="Q52" s="145" t="n"/>
      <c r="R52" s="130" t="n"/>
    </row>
    <row r="53" ht="12.75" customHeight="1" s="131">
      <c r="A53" s="137" t="n"/>
      <c r="B53" s="137" t="n"/>
      <c r="C53" s="137" t="n"/>
      <c r="D53" s="137" t="n"/>
      <c r="E53" s="145" t="n"/>
      <c r="F53" s="145" t="n"/>
      <c r="G53" s="145" t="n"/>
      <c r="H53" s="145" t="n"/>
      <c r="I53" s="145" t="n"/>
      <c r="J53" s="145" t="n"/>
      <c r="K53" s="145" t="n"/>
      <c r="L53" s="145" t="n"/>
      <c r="M53" s="145" t="n"/>
      <c r="N53" s="145" t="n"/>
      <c r="O53" s="145" t="n"/>
      <c r="P53" s="145" t="n"/>
      <c r="Q53" s="145" t="n"/>
      <c r="R53" s="130" t="n"/>
    </row>
    <row r="54" ht="12.75" customHeight="1" s="131">
      <c r="A54" s="137" t="n"/>
      <c r="B54" s="137" t="n"/>
      <c r="C54" s="137" t="n"/>
      <c r="D54" s="137" t="n"/>
      <c r="E54" s="130" t="n"/>
      <c r="F54" s="130" t="n"/>
      <c r="G54" s="130" t="n"/>
      <c r="I54" s="130" t="n"/>
      <c r="J54" s="130" t="n"/>
      <c r="K54" s="130" t="n"/>
      <c r="L54" s="130" t="n"/>
      <c r="M54" s="130" t="n"/>
      <c r="N54" s="130" t="n"/>
      <c r="O54" s="130" t="n"/>
      <c r="P54" s="130" t="n"/>
      <c r="Q54" s="130" t="n"/>
      <c r="R54" s="130" t="n"/>
    </row>
    <row r="55" ht="12.75" customHeight="1" s="131">
      <c r="A55" s="137" t="n"/>
      <c r="B55" s="137" t="n"/>
      <c r="C55" s="137" t="n"/>
      <c r="D55" s="137" t="n"/>
      <c r="E55" s="130" t="n"/>
      <c r="F55" s="130" t="n"/>
      <c r="G55" s="130" t="n"/>
      <c r="I55" s="130" t="n"/>
      <c r="J55" s="130" t="n"/>
      <c r="K55" s="130" t="n"/>
      <c r="L55" s="130" t="n"/>
      <c r="M55" s="130" t="n"/>
      <c r="N55" s="130" t="n"/>
      <c r="O55" s="130" t="n"/>
      <c r="P55" s="130" t="n"/>
      <c r="Q55" s="130" t="n"/>
      <c r="R55" s="130" t="n"/>
    </row>
    <row r="56" ht="12.75" customHeight="1" s="131"/>
    <row r="57" ht="12.75" customHeight="1" s="131"/>
    <row r="58" ht="12.75" customHeight="1" s="131"/>
    <row r="59" ht="12.75" customHeight="1" s="131"/>
    <row r="60" ht="12.75" customHeight="1" s="131"/>
    <row r="61" ht="12.75" customHeight="1" s="131"/>
    <row r="62" ht="12.75" customHeight="1" s="131"/>
    <row r="63" ht="12.75" customHeight="1" s="131"/>
    <row r="64" ht="12.75" customHeight="1" s="131"/>
    <row r="65" ht="12.75" customHeight="1" s="131"/>
    <row r="66" ht="12.75" customHeight="1" s="131"/>
    <row r="67" ht="12.75" customHeight="1" s="131"/>
    <row r="68" ht="12.75" customHeight="1" s="131"/>
    <row r="69" ht="12.75" customHeight="1" s="131"/>
    <row r="70" ht="12.75" customHeight="1" s="131"/>
    <row r="71" ht="12.75" customHeight="1" s="131"/>
    <row r="72" ht="12.75" customHeight="1" s="131"/>
    <row r="73"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legacyDrawing xmlns:r="http://schemas.openxmlformats.org/officeDocument/2006/relationships" r:id="anysvml"/>
</worksheet>
</file>

<file path=xl/worksheets/sheet20.xml><?xml version="1.0" encoding="utf-8"?>
<worksheet xmlns="http://schemas.openxmlformats.org/spreadsheetml/2006/main">
  <sheetPr filterMode="0">
    <outlinePr summaryBelow="1" summaryRight="1"/>
    <pageSetUpPr fitToPage="0"/>
  </sheetPr>
  <dimension ref="A1:R5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37" min="1" max="4"/>
    <col width="20.74" customWidth="1" style="130" min="5" max="5"/>
    <col width="5.71" customWidth="1" style="130" min="6" max="6"/>
    <col width="18.74" customWidth="1" style="130" min="7" max="7"/>
    <col width="8.720000000000001" customWidth="1" style="130" min="8" max="8"/>
    <col width="18.74" customWidth="1" style="130" min="9" max="11"/>
    <col width="5.71" customWidth="1" style="130" min="12" max="12"/>
  </cols>
  <sheetData>
    <row r="1" ht="15.75" customHeight="1" s="131">
      <c r="A1" s="142">
        <f>'1. Required Start-Up Funds'!A1</f>
        <v/>
      </c>
      <c r="Q1" s="143" t="n"/>
    </row>
    <row r="2" ht="15.75" customHeight="1" s="131">
      <c r="A2" s="142" t="inlineStr">
        <is>
          <t>Breakeven Analysis</t>
        </is>
      </c>
    </row>
    <row r="3" ht="12.75" customHeight="1" s="131">
      <c r="E3" s="137" t="n"/>
      <c r="F3" s="145" t="n"/>
      <c r="G3" s="145" t="n"/>
      <c r="H3" s="145" t="n"/>
      <c r="I3" s="145" t="n"/>
      <c r="J3" s="145" t="n"/>
      <c r="K3" s="145" t="n"/>
      <c r="L3" s="145" t="n"/>
      <c r="M3" s="145" t="n"/>
      <c r="N3" s="145" t="n"/>
      <c r="O3" s="145" t="n"/>
      <c r="P3" s="145" t="n"/>
      <c r="Q3" s="145" t="n"/>
    </row>
    <row r="4" ht="12.75" customHeight="1" s="131">
      <c r="E4" s="145" t="n"/>
      <c r="F4" s="145" t="n"/>
      <c r="G4" s="145" t="n"/>
      <c r="H4" s="145" t="n"/>
      <c r="I4" s="145" t="n"/>
      <c r="J4" s="145" t="n"/>
      <c r="K4" s="145" t="n"/>
      <c r="L4" s="145" t="n"/>
      <c r="M4" s="145" t="n"/>
      <c r="N4" s="145" t="n"/>
      <c r="O4" s="145" t="n"/>
      <c r="P4" s="145" t="n"/>
      <c r="Q4" s="145" t="n"/>
    </row>
    <row r="5" ht="12.75" customHeight="1" s="131">
      <c r="E5" s="145" t="n"/>
      <c r="F5" s="145" t="n"/>
      <c r="G5" s="145" t="n"/>
      <c r="H5" s="145" t="n"/>
      <c r="I5" s="145" t="n"/>
      <c r="J5" s="145" t="n"/>
      <c r="K5" s="145" t="n"/>
      <c r="L5" s="145" t="n"/>
      <c r="M5" s="145" t="n"/>
      <c r="N5" s="145" t="n"/>
      <c r="O5" s="145" t="n"/>
      <c r="P5" s="145" t="n"/>
      <c r="Q5" s="145" t="n"/>
    </row>
    <row r="6" ht="12.75" customHeight="1" s="131">
      <c r="A6" s="137" t="inlineStr">
        <is>
          <t>Breakeven Analysis</t>
        </is>
      </c>
      <c r="B6" s="137" t="n"/>
      <c r="C6" s="137" t="n"/>
      <c r="D6" s="137" t="n"/>
      <c r="E6" s="145" t="n"/>
      <c r="F6" s="140" t="n"/>
      <c r="G6" s="140" t="inlineStr">
        <is>
          <t>Dollars</t>
        </is>
      </c>
      <c r="H6" s="140" t="n"/>
      <c r="I6" s="140" t="inlineStr">
        <is>
          <t>Percent</t>
        </is>
      </c>
      <c r="J6" s="140" t="n"/>
      <c r="K6" s="140" t="n"/>
      <c r="L6" s="145" t="n"/>
      <c r="M6" s="140" t="n"/>
      <c r="N6" s="145" t="n"/>
      <c r="O6" s="145" t="n"/>
      <c r="P6" s="145" t="n"/>
      <c r="Q6" s="145" t="n"/>
      <c r="R6" s="130" t="n"/>
    </row>
    <row r="7" ht="12.75" customHeight="1" s="131">
      <c r="A7" s="137" t="n"/>
      <c r="B7" s="137" t="inlineStr">
        <is>
          <t>Annual Sales Revenue</t>
        </is>
      </c>
      <c r="C7" s="137" t="n"/>
      <c r="D7" s="137" t="n"/>
      <c r="E7" s="145" t="n"/>
      <c r="F7" s="145" t="n"/>
      <c r="G7" s="149">
        <f>'8. Income Statement'!Q13</f>
        <v/>
      </c>
      <c r="H7" s="145" t="n"/>
      <c r="I7" s="159" t="n">
        <v>1</v>
      </c>
      <c r="J7" s="145" t="n"/>
      <c r="K7" s="145" t="n"/>
      <c r="L7" s="145" t="n"/>
      <c r="M7" s="145" t="n"/>
      <c r="N7" s="145" t="n"/>
      <c r="O7" s="145" t="n"/>
      <c r="P7" s="145" t="n"/>
      <c r="Q7" s="145" t="n"/>
      <c r="R7" s="130" t="n"/>
    </row>
    <row r="8" ht="12.75" customHeight="1" s="131">
      <c r="A8" s="137" t="n"/>
      <c r="B8" s="137" t="inlineStr">
        <is>
          <t>Cost of Sales</t>
        </is>
      </c>
      <c r="C8" s="137" t="n"/>
      <c r="D8" s="137" t="n"/>
      <c r="E8" s="145" t="n"/>
      <c r="F8" s="145" t="n"/>
      <c r="G8" s="162">
        <f>'8. Income Statement'!Q20</f>
        <v/>
      </c>
      <c r="H8" s="145" t="n"/>
      <c r="I8" s="196">
        <f>IF(G8=0,0,G8/G7)</f>
        <v/>
      </c>
      <c r="J8" s="159" t="n"/>
      <c r="K8" s="159" t="n"/>
      <c r="L8" s="145" t="n"/>
      <c r="M8" s="145" t="n"/>
      <c r="N8" s="145" t="n"/>
      <c r="O8" s="145" t="n"/>
      <c r="P8" s="145" t="n"/>
      <c r="Q8" s="145" t="n"/>
      <c r="R8" s="130" t="n"/>
    </row>
    <row r="9" ht="12.75" customHeight="1" s="131">
      <c r="A9" s="137" t="n"/>
      <c r="B9" s="137" t="inlineStr">
        <is>
          <t>Gross Margin</t>
        </is>
      </c>
      <c r="C9" s="137" t="n"/>
      <c r="D9" s="137" t="n"/>
      <c r="E9" s="145" t="n"/>
      <c r="F9" s="145" t="n"/>
      <c r="G9" s="156">
        <f>'8. Income Statement'!Q22</f>
        <v/>
      </c>
      <c r="H9" s="145" t="n"/>
      <c r="I9" s="159">
        <f>IF(G9=0,0,G9/G7)</f>
        <v/>
      </c>
      <c r="J9" s="159" t="n"/>
      <c r="K9" s="159" t="n"/>
      <c r="L9" s="145" t="n"/>
      <c r="M9" s="145" t="n"/>
      <c r="N9" s="145" t="n"/>
      <c r="O9" s="145" t="n"/>
      <c r="P9" s="145" t="n"/>
      <c r="Q9" s="145" t="n"/>
      <c r="R9" s="130" t="n"/>
    </row>
    <row r="10" ht="12.75" customHeight="1" s="131">
      <c r="A10" s="137" t="n"/>
      <c r="B10" s="137" t="n"/>
      <c r="C10" s="137" t="n"/>
      <c r="D10" s="137" t="n"/>
      <c r="E10" s="145" t="n"/>
      <c r="F10" s="145" t="n"/>
      <c r="G10" s="156" t="n"/>
      <c r="H10" s="145" t="n"/>
      <c r="I10" s="159" t="n"/>
      <c r="J10" s="159" t="n"/>
      <c r="K10" s="159" t="n"/>
      <c r="L10" s="145" t="n"/>
      <c r="M10" s="145" t="n"/>
      <c r="N10" s="145" t="n"/>
      <c r="O10" s="145" t="n"/>
      <c r="P10" s="145" t="n"/>
      <c r="Q10" s="145" t="n"/>
      <c r="R10" s="130" t="n"/>
    </row>
    <row r="11" ht="12.75" customHeight="1" s="131">
      <c r="A11" s="137" t="n"/>
      <c r="B11" s="137" t="inlineStr">
        <is>
          <t>Salaries and Wages</t>
        </is>
      </c>
      <c r="C11" s="137" t="n"/>
      <c r="D11" s="137" t="n"/>
      <c r="E11" s="145" t="n"/>
      <c r="F11" s="145" t="n"/>
      <c r="G11" s="156">
        <f>'2. Salaries and Wages'!M35</f>
        <v/>
      </c>
      <c r="H11" s="145" t="n"/>
      <c r="I11" s="159" t="n"/>
      <c r="J11" s="159" t="n"/>
      <c r="K11" s="159" t="n"/>
      <c r="L11" s="145" t="n"/>
      <c r="M11" s="145" t="n"/>
      <c r="N11" s="145" t="n"/>
      <c r="O11" s="145" t="n"/>
      <c r="P11" s="145" t="n"/>
      <c r="Q11" s="145" t="n"/>
      <c r="R11" s="130" t="n"/>
    </row>
    <row r="12" ht="12.75" customHeight="1" s="131">
      <c r="A12" s="137" t="n"/>
      <c r="B12" s="137" t="inlineStr">
        <is>
          <t>Fixed Operating Expenses</t>
        </is>
      </c>
      <c r="C12" s="137" t="n"/>
      <c r="D12" s="137" t="n"/>
      <c r="E12" s="145" t="n"/>
      <c r="F12" s="145" t="n"/>
      <c r="G12" s="162">
        <f>'3. Fixed Operating Expenses'!I41</f>
        <v/>
      </c>
      <c r="H12" s="145" t="n"/>
      <c r="I12" s="145" t="n"/>
      <c r="J12" s="145" t="n"/>
      <c r="K12" s="145" t="n"/>
      <c r="L12" s="145" t="n"/>
      <c r="M12" s="145" t="n"/>
      <c r="N12" s="145" t="n"/>
      <c r="O12" s="145" t="n"/>
      <c r="P12" s="145" t="n"/>
      <c r="Q12" s="145" t="n"/>
      <c r="R12" s="130" t="n"/>
    </row>
    <row r="13" ht="12.75" customHeight="1" s="131">
      <c r="A13" s="137" t="n"/>
      <c r="B13" s="137" t="inlineStr">
        <is>
          <t>Total Fixed Business Expenses</t>
        </is>
      </c>
      <c r="G13" s="221">
        <f>SUM(G11:G12)</f>
        <v/>
      </c>
      <c r="H13" s="145" t="n"/>
      <c r="I13" s="145" t="n"/>
      <c r="J13" s="145" t="n"/>
      <c r="K13" s="145" t="n"/>
      <c r="L13" s="145" t="n"/>
      <c r="M13" s="145" t="n"/>
      <c r="N13" s="145" t="n"/>
      <c r="O13" s="145" t="n"/>
      <c r="P13" s="145" t="n"/>
      <c r="Q13" s="145" t="n"/>
      <c r="R13" s="130" t="n"/>
    </row>
    <row r="14" ht="12.75" customHeight="1" s="131">
      <c r="A14" s="137" t="n"/>
      <c r="H14" s="149" t="n"/>
      <c r="I14" s="156" t="n"/>
      <c r="J14" s="156" t="n"/>
      <c r="K14" s="156" t="n"/>
      <c r="L14" s="145" t="n"/>
      <c r="M14" s="145" t="n"/>
      <c r="N14" s="145" t="n"/>
      <c r="O14" s="145" t="n"/>
      <c r="P14" s="145" t="n"/>
      <c r="Q14" s="145" t="n"/>
      <c r="R14" s="130" t="n"/>
    </row>
    <row r="15" ht="12.75" customHeight="1" s="131">
      <c r="A15" s="137" t="n"/>
      <c r="B15" s="137" t="inlineStr">
        <is>
          <t>Breakeven Sales Calculation</t>
        </is>
      </c>
      <c r="C15" s="137" t="n"/>
      <c r="D15" s="137" t="n"/>
      <c r="E15" s="145" t="n"/>
      <c r="F15" s="145" t="n"/>
      <c r="G15" s="162">
        <f>G13</f>
        <v/>
      </c>
      <c r="H15" s="156" t="n"/>
      <c r="I15" s="156" t="n"/>
      <c r="J15" s="156" t="n"/>
      <c r="K15" s="156" t="n"/>
      <c r="L15" s="145" t="n"/>
      <c r="M15" s="145" t="n"/>
      <c r="N15" s="145" t="n"/>
      <c r="O15" s="145" t="n"/>
      <c r="P15" s="145" t="n"/>
      <c r="Q15" s="145" t="n"/>
      <c r="R15" s="130" t="n"/>
    </row>
    <row r="16" ht="12.75" customHeight="1" s="131">
      <c r="A16" s="137" t="n"/>
      <c r="B16" s="137" t="n"/>
      <c r="C16" s="137" t="n"/>
      <c r="D16" s="137" t="n"/>
      <c r="E16" s="145" t="n"/>
      <c r="F16" s="145" t="n"/>
      <c r="G16" s="159">
        <f>I9</f>
        <v/>
      </c>
      <c r="H16" s="156" t="n"/>
      <c r="I16" s="156" t="n"/>
      <c r="J16" s="156" t="n"/>
      <c r="K16" s="156" t="n"/>
      <c r="L16" s="145" t="n"/>
      <c r="M16" s="145" t="n"/>
      <c r="N16" s="145" t="n"/>
      <c r="O16" s="145" t="n"/>
      <c r="P16" s="145" t="n"/>
      <c r="Q16" s="145" t="n"/>
      <c r="R16" s="130" t="n"/>
    </row>
    <row r="17" ht="12.75" customHeight="1" s="131">
      <c r="A17" s="137" t="n"/>
      <c r="B17" s="137" t="n"/>
      <c r="C17" s="137" t="n"/>
      <c r="D17" s="137" t="n"/>
      <c r="E17" s="145" t="n"/>
      <c r="F17" s="145" t="n"/>
      <c r="G17" s="162" t="n"/>
      <c r="H17" s="156" t="n"/>
      <c r="I17" s="156" t="n"/>
      <c r="J17" s="156" t="n"/>
      <c r="K17" s="156" t="n"/>
      <c r="L17" s="145" t="n"/>
      <c r="M17" s="145" t="n"/>
      <c r="N17" s="145" t="n"/>
      <c r="O17" s="145" t="n"/>
      <c r="P17" s="145" t="n"/>
      <c r="Q17" s="145" t="n"/>
      <c r="R17" s="130" t="n"/>
    </row>
    <row r="18" ht="12.75" customHeight="1" s="131">
      <c r="A18" s="137" t="n"/>
      <c r="B18" s="137" t="inlineStr">
        <is>
          <t>Breakeven Sales in Dollars</t>
        </is>
      </c>
      <c r="C18" s="137" t="n"/>
      <c r="D18" s="137" t="n"/>
      <c r="E18" s="145" t="n"/>
      <c r="F18" s="145" t="n"/>
      <c r="G18" s="165">
        <f>IF(G16=0,0,G15/G16)</f>
        <v/>
      </c>
      <c r="H18" s="156" t="n"/>
      <c r="I18" s="156" t="n"/>
      <c r="J18" s="156" t="n"/>
      <c r="K18" s="156" t="n"/>
      <c r="L18" s="145" t="n"/>
      <c r="M18" s="145" t="n"/>
      <c r="N18" s="145" t="n"/>
      <c r="O18" s="145" t="n"/>
      <c r="P18" s="145" t="n"/>
      <c r="Q18" s="145" t="n"/>
      <c r="R18" s="130" t="n"/>
    </row>
    <row r="19" ht="12.75" customHeight="1" s="131">
      <c r="A19" s="137" t="n"/>
      <c r="B19" s="137" t="n"/>
      <c r="C19" s="137" t="n"/>
      <c r="D19" s="137" t="n"/>
      <c r="E19" s="145" t="n"/>
      <c r="F19" s="145" t="n"/>
      <c r="G19" s="159" t="n"/>
      <c r="H19" s="156" t="n"/>
      <c r="I19" s="156" t="n"/>
      <c r="J19" s="156" t="n"/>
      <c r="K19" s="156" t="n"/>
      <c r="L19" s="145" t="n"/>
      <c r="M19" s="145" t="n"/>
      <c r="N19" s="145" t="n"/>
      <c r="O19" s="145" t="n"/>
      <c r="P19" s="145" t="n"/>
      <c r="Q19" s="145" t="n"/>
      <c r="R19" s="130" t="n"/>
    </row>
    <row r="20" ht="12.75" customHeight="1" s="131">
      <c r="A20" s="137" t="n"/>
      <c r="B20" s="137" t="n"/>
      <c r="C20" s="137" t="n"/>
      <c r="D20" s="137" t="n"/>
      <c r="E20" s="145" t="n"/>
      <c r="F20" s="145" t="n"/>
      <c r="G20" s="159" t="n"/>
      <c r="H20" s="156" t="n"/>
      <c r="I20" s="156" t="n"/>
      <c r="J20" s="156" t="n"/>
      <c r="K20" s="156" t="n"/>
      <c r="L20" s="145" t="n"/>
      <c r="M20" s="145" t="n"/>
      <c r="N20" s="145" t="n"/>
      <c r="O20" s="145" t="n"/>
      <c r="P20" s="145" t="n"/>
      <c r="Q20" s="145" t="n"/>
      <c r="R20" s="130" t="n"/>
    </row>
    <row r="21" ht="12.75" customHeight="1" s="131">
      <c r="A21" s="137" t="n"/>
      <c r="B21" s="137" t="n"/>
      <c r="C21" s="137" t="n"/>
      <c r="D21" s="137" t="n"/>
      <c r="E21" s="145" t="n"/>
      <c r="F21" s="145" t="n"/>
      <c r="G21" s="227" t="n"/>
      <c r="H21" s="156" t="n"/>
      <c r="I21" s="156" t="n"/>
      <c r="J21" s="156" t="n"/>
      <c r="K21" s="156" t="n"/>
      <c r="L21" s="145" t="n"/>
      <c r="M21" s="145" t="n"/>
      <c r="N21" s="145" t="n"/>
      <c r="O21" s="145" t="n"/>
      <c r="P21" s="145" t="n"/>
      <c r="Q21" s="145" t="n"/>
      <c r="R21" s="130" t="n"/>
    </row>
    <row r="22" ht="12.75" customHeight="1" s="131">
      <c r="A22" s="137" t="n"/>
      <c r="B22" s="137" t="n"/>
      <c r="C22" s="137" t="n"/>
      <c r="D22" s="137" t="n"/>
      <c r="E22" s="145" t="n"/>
      <c r="F22" s="145" t="n"/>
      <c r="G22" s="156" t="n"/>
      <c r="H22" s="156" t="n"/>
      <c r="I22" s="156" t="n"/>
      <c r="J22" s="156" t="n"/>
      <c r="K22" s="156" t="n"/>
      <c r="L22" s="145" t="n"/>
      <c r="M22" s="145" t="n"/>
      <c r="N22" s="145" t="n"/>
      <c r="O22" s="145" t="n"/>
      <c r="P22" s="145" t="n"/>
      <c r="Q22" s="145" t="n"/>
      <c r="R22" s="130" t="n"/>
    </row>
    <row r="23" ht="12.75" customHeight="1" s="131">
      <c r="A23" s="137" t="n"/>
      <c r="B23" s="137" t="n"/>
      <c r="C23" s="137" t="n"/>
      <c r="D23" s="137" t="n"/>
      <c r="E23" s="145" t="n"/>
      <c r="F23" s="145" t="n"/>
      <c r="G23" s="156" t="n"/>
      <c r="H23" s="156" t="n"/>
      <c r="I23" s="156" t="n"/>
      <c r="J23" s="156" t="n"/>
      <c r="K23" s="156" t="n"/>
      <c r="L23" s="145" t="n"/>
      <c r="M23" s="145" t="n"/>
      <c r="N23" s="145" t="n"/>
      <c r="O23" s="145" t="n"/>
      <c r="P23" s="145" t="n"/>
      <c r="Q23" s="145" t="n"/>
      <c r="R23" s="130" t="n"/>
    </row>
    <row r="24" ht="12.75" customHeight="1" s="131">
      <c r="A24" s="137" t="n"/>
      <c r="B24" s="137" t="n"/>
      <c r="C24" s="137" t="n"/>
      <c r="D24" s="137" t="n"/>
      <c r="E24" s="145" t="n"/>
      <c r="F24" s="145" t="n"/>
      <c r="G24" s="178" t="n"/>
      <c r="H24" s="156" t="n"/>
      <c r="I24" s="156" t="n"/>
      <c r="J24" s="156" t="n"/>
      <c r="K24" s="156" t="n"/>
      <c r="L24" s="145" t="n"/>
      <c r="M24" s="145" t="n"/>
      <c r="N24" s="145" t="n"/>
      <c r="O24" s="145" t="n"/>
      <c r="P24" s="145" t="n"/>
      <c r="Q24" s="145" t="n"/>
      <c r="R24" s="130" t="n"/>
    </row>
    <row r="25" ht="12.75" customHeight="1" s="131">
      <c r="A25" s="137" t="n"/>
      <c r="B25" s="137" t="n"/>
      <c r="C25" s="137" t="n"/>
      <c r="D25" s="137" t="n"/>
      <c r="E25" s="145" t="n"/>
      <c r="F25" s="145" t="n"/>
      <c r="G25" s="159" t="n"/>
      <c r="H25" s="156" t="n"/>
      <c r="I25" s="156" t="n"/>
      <c r="J25" s="156" t="n"/>
      <c r="K25" s="156" t="n"/>
      <c r="L25" s="145" t="n"/>
      <c r="M25" s="145" t="n"/>
      <c r="N25" s="145" t="n"/>
      <c r="O25" s="145" t="n"/>
      <c r="P25" s="145" t="n"/>
      <c r="Q25" s="145" t="n"/>
      <c r="R25" s="130" t="n"/>
    </row>
    <row r="26" ht="12.75" customHeight="1" s="131">
      <c r="A26" s="137" t="n"/>
      <c r="B26" s="137" t="n"/>
      <c r="C26" s="137" t="n"/>
      <c r="D26" s="137" t="n"/>
      <c r="E26" s="145" t="n"/>
      <c r="F26" s="176" t="n"/>
      <c r="G26" s="156" t="n"/>
      <c r="H26" s="156" t="n"/>
      <c r="I26" s="156" t="n"/>
      <c r="J26" s="156" t="n"/>
      <c r="K26" s="156" t="n"/>
      <c r="L26" s="145" t="n"/>
      <c r="M26" s="145" t="n"/>
      <c r="N26" s="145" t="n"/>
      <c r="O26" s="145" t="n"/>
      <c r="P26" s="145" t="n"/>
      <c r="Q26" s="145" t="n"/>
      <c r="R26" s="130" t="n"/>
    </row>
    <row r="27" ht="12.75" customHeight="1" s="131">
      <c r="A27" s="137" t="n"/>
      <c r="B27" s="137" t="n"/>
      <c r="C27" s="137" t="n"/>
      <c r="D27" s="137" t="n"/>
      <c r="E27" s="145" t="n"/>
      <c r="F27" s="176" t="n"/>
      <c r="G27" s="156" t="n"/>
      <c r="H27" s="156" t="n"/>
      <c r="I27" s="156" t="n"/>
      <c r="J27" s="156" t="n"/>
      <c r="K27" s="156" t="n"/>
      <c r="L27" s="145" t="n"/>
      <c r="M27" s="145" t="n"/>
      <c r="N27" s="145" t="n"/>
      <c r="O27" s="145" t="n"/>
      <c r="P27" s="145" t="n"/>
      <c r="Q27" s="145" t="n"/>
      <c r="R27" s="130" t="n"/>
    </row>
    <row r="28" ht="12.75" customHeight="1" s="131">
      <c r="A28" s="137" t="n"/>
      <c r="B28" s="137" t="n"/>
      <c r="C28" s="137" t="n"/>
      <c r="D28" s="137" t="n"/>
      <c r="E28" s="145" t="n"/>
      <c r="F28" s="178" t="n"/>
      <c r="G28" s="159" t="n"/>
      <c r="H28" s="156" t="n"/>
      <c r="I28" s="156" t="n"/>
      <c r="J28" s="156" t="n"/>
      <c r="K28" s="156" t="n"/>
      <c r="L28" s="145" t="n"/>
      <c r="M28" s="145" t="n"/>
      <c r="N28" s="145" t="n"/>
      <c r="O28" s="145" t="n"/>
      <c r="P28" s="145" t="n"/>
      <c r="Q28" s="145" t="n"/>
      <c r="R28" s="130" t="n"/>
    </row>
    <row r="29" ht="12.75" customHeight="1" s="131">
      <c r="A29" s="137" t="n"/>
      <c r="B29" s="137" t="n"/>
      <c r="C29" s="137" t="n"/>
      <c r="D29" s="137" t="n"/>
      <c r="E29" s="145" t="n"/>
      <c r="F29" s="145" t="n"/>
      <c r="G29" s="156" t="n"/>
      <c r="H29" s="156" t="n"/>
      <c r="I29" s="156" t="n"/>
      <c r="J29" s="156" t="n"/>
      <c r="K29" s="156" t="n"/>
      <c r="L29" s="145" t="n"/>
      <c r="M29" s="145" t="n"/>
      <c r="N29" s="145" t="n"/>
      <c r="O29" s="145" t="n"/>
      <c r="P29" s="145" t="n"/>
      <c r="Q29" s="145" t="n"/>
      <c r="R29" s="130" t="n"/>
    </row>
    <row r="30" ht="12.75" customHeight="1" s="131">
      <c r="A30" s="137" t="n"/>
      <c r="B30" s="137" t="n"/>
      <c r="C30" s="137" t="n"/>
      <c r="D30" s="137" t="n"/>
      <c r="E30" s="145" t="n"/>
      <c r="F30" s="145" t="n"/>
      <c r="G30" s="156" t="n"/>
      <c r="H30" s="156" t="n"/>
      <c r="I30" s="156" t="n"/>
      <c r="J30" s="156" t="n"/>
      <c r="K30" s="156" t="n"/>
      <c r="L30" s="145" t="n"/>
      <c r="M30" s="145" t="n"/>
      <c r="N30" s="145" t="n"/>
      <c r="O30" s="145" t="n"/>
      <c r="P30" s="145" t="n"/>
      <c r="Q30" s="145" t="n"/>
      <c r="R30" s="130" t="n"/>
    </row>
    <row r="31" ht="12.75" customHeight="1" s="131">
      <c r="A31" s="137" t="n"/>
      <c r="B31" s="137" t="n"/>
      <c r="C31" s="137" t="n"/>
      <c r="D31" s="137" t="n"/>
      <c r="E31" s="145" t="n"/>
      <c r="F31" s="176" t="n"/>
      <c r="G31" s="176" t="n"/>
      <c r="H31" s="156" t="n"/>
      <c r="I31" s="156" t="n"/>
      <c r="J31" s="156" t="n"/>
      <c r="K31" s="156" t="n"/>
      <c r="L31" s="145" t="n"/>
      <c r="M31" s="145" t="n"/>
      <c r="N31" s="145" t="n"/>
      <c r="O31" s="145" t="n"/>
      <c r="P31" s="145" t="n"/>
      <c r="Q31" s="145" t="n"/>
      <c r="R31" s="130" t="n"/>
    </row>
    <row r="32" ht="12.75" customHeight="1" s="131">
      <c r="A32" s="137" t="n"/>
      <c r="B32" s="137" t="n"/>
      <c r="C32" s="137" t="n"/>
      <c r="D32" s="137" t="n"/>
      <c r="E32" s="145" t="n"/>
      <c r="F32" s="178" t="n"/>
      <c r="G32" s="156" t="n"/>
      <c r="H32" s="156" t="n"/>
      <c r="I32" s="156" t="n"/>
      <c r="J32" s="156" t="n"/>
      <c r="K32" s="156" t="n"/>
      <c r="L32" s="145" t="n"/>
      <c r="M32" s="145" t="n"/>
      <c r="N32" s="145" t="n"/>
      <c r="O32" s="145" t="n"/>
      <c r="P32" s="145" t="n"/>
      <c r="Q32" s="145" t="n"/>
      <c r="R32" s="130" t="n"/>
    </row>
    <row r="33" ht="12.75" customHeight="1" s="131">
      <c r="A33" s="137" t="n"/>
      <c r="B33" s="137" t="n"/>
      <c r="C33" s="137" t="n"/>
      <c r="D33" s="137" t="n"/>
      <c r="E33" s="145" t="n"/>
      <c r="F33" s="145" t="n"/>
      <c r="G33" s="156" t="n"/>
      <c r="H33" s="156" t="n"/>
      <c r="I33" s="156" t="n"/>
      <c r="J33" s="156" t="n"/>
      <c r="K33" s="156" t="n"/>
      <c r="L33" s="145" t="n"/>
      <c r="M33" s="145" t="n"/>
      <c r="N33" s="145" t="n"/>
      <c r="O33" s="145" t="n"/>
      <c r="P33" s="145" t="n"/>
      <c r="Q33" s="145" t="n"/>
      <c r="R33" s="130" t="n"/>
    </row>
    <row r="34" ht="12.75" customHeight="1" s="131">
      <c r="A34" s="137" t="n"/>
      <c r="B34" s="137" t="n"/>
      <c r="C34" s="137" t="n"/>
      <c r="D34" s="137" t="n"/>
      <c r="E34" s="145" t="n"/>
      <c r="F34" s="145" t="n"/>
      <c r="G34" s="156" t="n"/>
      <c r="H34" s="156" t="n"/>
      <c r="I34" s="156" t="n"/>
      <c r="J34" s="156" t="n"/>
      <c r="K34" s="156" t="n"/>
      <c r="L34" s="145" t="n"/>
      <c r="M34" s="145" t="n"/>
      <c r="N34" s="145" t="n"/>
      <c r="O34" s="145" t="n"/>
      <c r="P34" s="145" t="n"/>
      <c r="Q34" s="145" t="n"/>
      <c r="R34" s="130" t="n"/>
    </row>
    <row r="35" ht="12.75" customHeight="1" s="131">
      <c r="A35" s="137" t="n"/>
      <c r="B35" s="137" t="n"/>
      <c r="C35" s="137" t="n"/>
      <c r="D35" s="137" t="n"/>
      <c r="E35" s="145" t="n"/>
      <c r="F35" s="145" t="n"/>
      <c r="G35" s="156" t="n"/>
      <c r="H35" s="156" t="n"/>
      <c r="I35" s="156" t="n"/>
      <c r="J35" s="156" t="n"/>
      <c r="K35" s="156" t="n"/>
      <c r="L35" s="145" t="n"/>
      <c r="M35" s="145" t="n"/>
      <c r="N35" s="145" t="n"/>
      <c r="O35" s="145" t="n"/>
      <c r="P35" s="145" t="n"/>
      <c r="Q35" s="145" t="n"/>
      <c r="R35" s="130" t="n"/>
    </row>
    <row r="36" ht="12.75" customHeight="1" s="131">
      <c r="A36" s="137" t="n"/>
      <c r="B36" s="137" t="n"/>
      <c r="C36" s="137" t="n"/>
      <c r="D36" s="137" t="n"/>
      <c r="E36" s="145" t="n"/>
      <c r="F36" s="145" t="n"/>
      <c r="G36" s="156" t="n"/>
      <c r="H36" s="156" t="n"/>
      <c r="I36" s="156" t="n"/>
      <c r="J36" s="156" t="n"/>
      <c r="K36" s="156" t="n"/>
      <c r="L36" s="145" t="n"/>
      <c r="M36" s="145" t="n"/>
      <c r="N36" s="145" t="n"/>
      <c r="O36" s="145" t="n"/>
      <c r="P36" s="145" t="n"/>
      <c r="Q36" s="145" t="n"/>
      <c r="R36" s="130" t="n"/>
    </row>
    <row r="37" ht="12.75" customHeight="1" s="131">
      <c r="A37" s="137" t="n"/>
      <c r="B37" s="137" t="n"/>
      <c r="C37" s="137" t="n"/>
      <c r="D37" s="137" t="n"/>
      <c r="E37" s="145" t="n"/>
      <c r="F37" s="145" t="n"/>
      <c r="G37" s="156" t="n"/>
      <c r="H37" s="156" t="n"/>
      <c r="I37" s="156" t="n"/>
      <c r="J37" s="156" t="n"/>
      <c r="K37" s="156" t="n"/>
      <c r="L37" s="145" t="n"/>
      <c r="M37" s="145" t="n"/>
      <c r="N37" s="145" t="n"/>
      <c r="O37" s="145" t="n"/>
      <c r="P37" s="145" t="n"/>
      <c r="Q37" s="145" t="n"/>
      <c r="R37" s="130" t="n"/>
    </row>
    <row r="38" ht="12.75" customHeight="1" s="131">
      <c r="A38" s="137" t="n"/>
      <c r="B38" s="137" t="n"/>
      <c r="C38" s="137" t="n"/>
      <c r="D38" s="137" t="n"/>
      <c r="E38" s="145" t="n"/>
      <c r="F38" s="145" t="n"/>
      <c r="G38" s="156" t="n"/>
      <c r="H38" s="156" t="n"/>
      <c r="I38" s="156" t="n"/>
      <c r="J38" s="156" t="n"/>
      <c r="K38" s="156" t="n"/>
      <c r="L38" s="145" t="n"/>
      <c r="M38" s="145" t="n"/>
      <c r="N38" s="145" t="n"/>
      <c r="O38" s="145" t="n"/>
      <c r="P38" s="145" t="n"/>
      <c r="Q38" s="145" t="n"/>
      <c r="R38" s="130" t="n"/>
    </row>
    <row r="39" ht="12.75" customHeight="1" s="131">
      <c r="A39" s="137" t="n"/>
      <c r="B39" s="137" t="n"/>
      <c r="C39" s="137" t="n"/>
      <c r="D39" s="137" t="n"/>
      <c r="E39" s="145" t="n"/>
      <c r="F39" s="145" t="n"/>
      <c r="G39" s="156" t="n"/>
      <c r="H39" s="156" t="n"/>
      <c r="I39" s="156" t="n"/>
      <c r="J39" s="156" t="n"/>
      <c r="K39" s="156" t="n"/>
      <c r="L39" s="145" t="n"/>
      <c r="M39" s="145" t="n"/>
      <c r="N39" s="145" t="n"/>
      <c r="O39" s="145" t="n"/>
      <c r="P39" s="145" t="n"/>
      <c r="Q39" s="145" t="n"/>
      <c r="R39" s="130" t="n"/>
    </row>
    <row r="40" ht="12.75" customHeight="1" s="131">
      <c r="A40" s="137" t="n"/>
      <c r="B40" s="137" t="n"/>
      <c r="C40" s="137" t="n"/>
      <c r="D40" s="137" t="n"/>
      <c r="E40" s="145" t="n"/>
      <c r="F40" s="145" t="n"/>
      <c r="G40" s="156" t="n"/>
      <c r="H40" s="156" t="n"/>
      <c r="I40" s="156" t="n"/>
      <c r="J40" s="156" t="n"/>
      <c r="K40" s="156" t="n"/>
      <c r="L40" s="145" t="n"/>
      <c r="M40" s="145" t="n"/>
      <c r="N40" s="145" t="n"/>
      <c r="O40" s="145" t="n"/>
      <c r="P40" s="145" t="n"/>
      <c r="Q40" s="145" t="n"/>
      <c r="R40" s="130" t="n"/>
    </row>
    <row r="41" ht="12.75" customHeight="1" s="131">
      <c r="A41" s="137" t="n"/>
      <c r="B41" s="137" t="n"/>
      <c r="C41" s="137" t="n"/>
      <c r="D41" s="137" t="n"/>
      <c r="E41" s="145" t="n"/>
      <c r="F41" s="145" t="n"/>
      <c r="G41" s="156" t="n"/>
      <c r="H41" s="156" t="n"/>
      <c r="I41" s="156" t="n"/>
      <c r="J41" s="156" t="n"/>
      <c r="K41" s="156" t="n"/>
      <c r="L41" s="145" t="n"/>
      <c r="M41" s="145" t="n"/>
      <c r="N41" s="145" t="n"/>
      <c r="O41" s="145" t="n"/>
      <c r="P41" s="145" t="n"/>
      <c r="Q41" s="145" t="n"/>
      <c r="R41" s="130" t="n"/>
    </row>
    <row r="42" ht="12.75" customHeight="1" s="131">
      <c r="A42" s="137" t="n"/>
      <c r="B42" s="137" t="n"/>
      <c r="C42" s="137" t="n"/>
      <c r="D42" s="137" t="n"/>
      <c r="E42" s="145" t="n"/>
      <c r="F42" s="145" t="n"/>
      <c r="G42" s="156" t="n"/>
      <c r="H42" s="156" t="n"/>
      <c r="I42" s="156" t="n"/>
      <c r="J42" s="156" t="n"/>
      <c r="K42" s="156" t="n"/>
      <c r="L42" s="145" t="n"/>
      <c r="M42" s="145" t="n"/>
      <c r="N42" s="145" t="n"/>
      <c r="O42" s="145" t="n"/>
      <c r="P42" s="145" t="n"/>
      <c r="Q42" s="145" t="n"/>
      <c r="R42" s="130" t="n"/>
    </row>
    <row r="43" ht="12.75" customHeight="1" s="131">
      <c r="A43" s="137" t="n"/>
      <c r="B43" s="137" t="n"/>
      <c r="C43" s="137" t="n"/>
      <c r="D43" s="137" t="n"/>
      <c r="E43" s="145" t="n"/>
      <c r="F43" s="145" t="n"/>
      <c r="G43" s="156" t="n"/>
      <c r="H43" s="156" t="n"/>
      <c r="I43" s="156" t="n"/>
      <c r="J43" s="156" t="n"/>
      <c r="K43" s="156" t="n"/>
      <c r="L43" s="145" t="n"/>
      <c r="M43" s="145" t="n"/>
      <c r="N43" s="145" t="n"/>
      <c r="O43" s="145" t="n"/>
      <c r="P43" s="145" t="n"/>
      <c r="Q43" s="145" t="n"/>
      <c r="R43" s="130" t="n"/>
    </row>
    <row r="44" ht="12.75" customHeight="1" s="131">
      <c r="A44" s="137" t="n"/>
      <c r="B44" s="137" t="n"/>
      <c r="C44" s="137" t="n"/>
      <c r="D44" s="137" t="n"/>
      <c r="E44" s="145" t="n"/>
      <c r="F44" s="145" t="n"/>
      <c r="G44" s="156" t="n"/>
      <c r="H44" s="156" t="n"/>
      <c r="I44" s="156" t="n"/>
      <c r="J44" s="156" t="n"/>
      <c r="K44" s="156" t="n"/>
      <c r="L44" s="145" t="n"/>
      <c r="M44" s="145" t="n"/>
      <c r="N44" s="145" t="n"/>
      <c r="O44" s="145" t="n"/>
      <c r="P44" s="145" t="n"/>
      <c r="Q44" s="145" t="n"/>
      <c r="R44" s="130" t="n"/>
    </row>
    <row r="45" ht="12.75" customHeight="1" s="131">
      <c r="A45" s="137" t="n"/>
      <c r="B45" s="137" t="n"/>
      <c r="C45" s="137" t="n"/>
      <c r="D45" s="137" t="n"/>
      <c r="E45" s="145" t="n"/>
      <c r="F45" s="145" t="n"/>
      <c r="G45" s="156" t="n"/>
      <c r="H45" s="156" t="n"/>
      <c r="I45" s="156" t="n"/>
      <c r="J45" s="156" t="n"/>
      <c r="K45" s="156" t="n"/>
      <c r="L45" s="145" t="n"/>
      <c r="M45" s="145" t="n"/>
      <c r="N45" s="145" t="n"/>
      <c r="O45" s="145" t="n"/>
      <c r="P45" s="145" t="n"/>
      <c r="Q45" s="145" t="n"/>
      <c r="R45" s="130" t="n"/>
    </row>
    <row r="46" ht="12.75" customHeight="1" s="131">
      <c r="A46" s="137" t="n"/>
      <c r="B46" s="137" t="n"/>
      <c r="C46" s="137" t="n"/>
      <c r="D46" s="137" t="n"/>
      <c r="E46" s="145" t="n"/>
      <c r="F46" s="145" t="n"/>
      <c r="G46" s="156" t="n"/>
      <c r="H46" s="156" t="n"/>
      <c r="I46" s="156" t="n"/>
      <c r="J46" s="156" t="n"/>
      <c r="K46" s="156" t="n"/>
      <c r="L46" s="145" t="n"/>
      <c r="M46" s="145" t="n"/>
      <c r="N46" s="145" t="n"/>
      <c r="O46" s="145" t="n"/>
      <c r="P46" s="145" t="n"/>
      <c r="Q46" s="145" t="n"/>
      <c r="R46" s="130" t="n"/>
    </row>
    <row r="47" ht="12.75" customHeight="1" s="131">
      <c r="A47" s="137" t="n"/>
      <c r="B47" s="137" t="n"/>
      <c r="C47" s="137" t="n"/>
      <c r="D47" s="137" t="n"/>
      <c r="E47" s="145" t="n"/>
      <c r="F47" s="145" t="n"/>
      <c r="G47" s="156" t="n"/>
      <c r="H47" s="156" t="n"/>
      <c r="I47" s="156" t="n"/>
      <c r="J47" s="156" t="n"/>
      <c r="K47" s="156" t="n"/>
      <c r="L47" s="145" t="n"/>
      <c r="M47" s="145" t="n"/>
      <c r="N47" s="145" t="n"/>
      <c r="O47" s="145" t="n"/>
      <c r="P47" s="145" t="n"/>
      <c r="Q47" s="145" t="n"/>
      <c r="R47" s="130" t="n"/>
    </row>
    <row r="48" ht="12.75" customHeight="1" s="131">
      <c r="A48" s="137" t="n"/>
      <c r="B48" s="137" t="n"/>
      <c r="C48" s="137" t="n"/>
      <c r="D48" s="137" t="n"/>
      <c r="E48" s="145" t="n"/>
      <c r="F48" s="145" t="n"/>
      <c r="G48" s="156" t="n"/>
      <c r="H48" s="156" t="n"/>
      <c r="I48" s="156" t="n"/>
      <c r="J48" s="156" t="n"/>
      <c r="K48" s="156" t="n"/>
      <c r="L48" s="145" t="n"/>
      <c r="M48" s="145" t="n"/>
      <c r="N48" s="145" t="n"/>
      <c r="O48" s="145" t="n"/>
      <c r="P48" s="145" t="n"/>
      <c r="Q48" s="145" t="n"/>
      <c r="R48" s="130" t="n"/>
    </row>
    <row r="49" ht="12.75" customHeight="1" s="131">
      <c r="A49" s="137" t="n"/>
      <c r="B49" s="137" t="n"/>
      <c r="C49" s="137" t="n"/>
      <c r="D49" s="137" t="n"/>
      <c r="E49" s="145" t="n"/>
      <c r="F49" s="145" t="n"/>
      <c r="G49" s="182" t="n"/>
      <c r="H49" s="182" t="n"/>
      <c r="I49" s="182" t="n"/>
      <c r="J49" s="182" t="n"/>
      <c r="K49" s="182" t="n"/>
      <c r="L49" s="145" t="n"/>
      <c r="M49" s="145" t="n"/>
      <c r="N49" s="145" t="n"/>
      <c r="O49" s="145" t="n"/>
      <c r="P49" s="145" t="n"/>
      <c r="Q49" s="145" t="n"/>
      <c r="R49" s="130" t="n"/>
    </row>
    <row r="50" ht="12.75" customHeight="1" s="131">
      <c r="A50" s="137" t="n"/>
      <c r="B50" s="137" t="n"/>
      <c r="C50" s="137" t="n"/>
      <c r="D50" s="137" t="n"/>
      <c r="E50" s="145" t="n"/>
      <c r="F50" s="145" t="n"/>
      <c r="G50" s="150" t="n"/>
      <c r="H50" s="150" t="n"/>
      <c r="I50" s="150" t="n"/>
      <c r="J50" s="150" t="n"/>
      <c r="K50" s="150" t="n"/>
      <c r="L50" s="145" t="n"/>
      <c r="M50" s="145" t="n"/>
      <c r="N50" s="145" t="n"/>
      <c r="O50" s="145" t="n"/>
      <c r="P50" s="145" t="n"/>
      <c r="Q50" s="145" t="n"/>
      <c r="R50" s="130" t="n"/>
    </row>
    <row r="51" ht="12.75" customHeight="1" s="131">
      <c r="A51" s="137" t="n"/>
      <c r="B51" s="137" t="n"/>
      <c r="C51" s="137" t="n"/>
      <c r="D51" s="137" t="n"/>
      <c r="E51" s="145" t="n"/>
      <c r="F51" s="145" t="n"/>
      <c r="G51" s="149" t="n"/>
      <c r="H51" s="149" t="n"/>
      <c r="I51" s="149" t="n"/>
      <c r="J51" s="149" t="n"/>
      <c r="K51" s="149" t="n"/>
      <c r="L51" s="145" t="n"/>
      <c r="M51" s="145" t="n"/>
      <c r="N51" s="145" t="n"/>
      <c r="O51" s="145" t="n"/>
      <c r="P51" s="145" t="n"/>
      <c r="Q51" s="145" t="n"/>
      <c r="R51" s="130" t="n"/>
    </row>
    <row r="52" ht="12.75" customHeight="1" s="131">
      <c r="A52" s="137" t="n"/>
      <c r="B52" s="137" t="n"/>
      <c r="C52" s="137" t="n"/>
      <c r="D52" s="137" t="n"/>
      <c r="E52" s="145" t="n"/>
      <c r="F52" s="145" t="n"/>
      <c r="G52" s="145" t="n"/>
      <c r="H52" s="145" t="n"/>
      <c r="I52" s="145" t="n"/>
      <c r="J52" s="145" t="n"/>
      <c r="K52" s="145" t="n"/>
      <c r="L52" s="145" t="n"/>
      <c r="M52" s="145" t="n"/>
      <c r="N52" s="145" t="n"/>
      <c r="O52" s="145" t="n"/>
      <c r="P52" s="145" t="n"/>
      <c r="Q52" s="145" t="n"/>
      <c r="R52" s="130" t="n"/>
    </row>
    <row r="53" ht="12.75" customHeight="1" s="131">
      <c r="A53" s="137" t="n"/>
      <c r="B53" s="137" t="n"/>
      <c r="C53" s="137" t="n"/>
      <c r="D53" s="137" t="n"/>
      <c r="E53" s="145" t="n"/>
      <c r="F53" s="145" t="n"/>
      <c r="G53" s="145" t="n"/>
      <c r="H53" s="145" t="n"/>
      <c r="I53" s="145" t="n"/>
      <c r="J53" s="145" t="n"/>
      <c r="K53" s="145" t="n"/>
      <c r="L53" s="145" t="n"/>
      <c r="M53" s="145" t="n"/>
      <c r="N53" s="145" t="n"/>
      <c r="O53" s="145" t="n"/>
      <c r="P53" s="145" t="n"/>
      <c r="Q53" s="145" t="n"/>
      <c r="R53" s="130" t="n"/>
    </row>
    <row r="54" ht="12.75" customHeight="1" s="131">
      <c r="A54" s="137" t="n"/>
      <c r="B54" s="137" t="n"/>
      <c r="C54" s="137" t="n"/>
      <c r="D54" s="137" t="n"/>
      <c r="E54" s="130" t="n"/>
      <c r="F54" s="130" t="n"/>
      <c r="G54" s="130" t="n"/>
      <c r="I54" s="130" t="n"/>
      <c r="J54" s="130" t="n"/>
      <c r="K54" s="130" t="n"/>
      <c r="L54" s="130" t="n"/>
      <c r="M54" s="130" t="n"/>
      <c r="N54" s="130" t="n"/>
      <c r="O54" s="130" t="n"/>
      <c r="P54" s="130" t="n"/>
      <c r="Q54" s="130" t="n"/>
      <c r="R54" s="130" t="n"/>
    </row>
    <row r="55" ht="12.75" customHeight="1" s="131">
      <c r="A55" s="137" t="n"/>
      <c r="B55" s="137" t="n"/>
      <c r="C55" s="137" t="n"/>
      <c r="D55" s="137" t="n"/>
      <c r="E55" s="130" t="n"/>
      <c r="F55" s="130" t="n"/>
      <c r="G55" s="130" t="n"/>
      <c r="I55" s="130" t="n"/>
      <c r="J55" s="130" t="n"/>
      <c r="K55" s="130" t="n"/>
      <c r="L55" s="130" t="n"/>
      <c r="M55" s="130" t="n"/>
      <c r="N55" s="130" t="n"/>
      <c r="O55" s="130" t="n"/>
      <c r="P55" s="130" t="n"/>
      <c r="Q55" s="130" t="n"/>
      <c r="R55" s="130" t="n"/>
    </row>
    <row r="56" ht="12.75" customHeight="1" s="131"/>
    <row r="57" ht="12.75" customHeight="1" s="131"/>
    <row r="58" ht="12.75" customHeight="1" s="131"/>
    <row r="59" ht="12.75" customHeight="1" s="131"/>
    <row r="60" ht="12.75" customHeight="1" s="131"/>
    <row r="61" ht="12.75" customHeight="1" s="131"/>
    <row r="62" ht="12.75" customHeight="1" s="131"/>
    <row r="63" ht="12.75" customHeight="1" s="131"/>
    <row r="64" ht="12.75" customHeight="1" s="131"/>
    <row r="65" ht="12.75" customHeight="1" s="131"/>
    <row r="66" ht="12.75" customHeight="1" s="131"/>
    <row r="67" ht="12.75" customHeight="1" s="131"/>
    <row r="68" ht="12.75" customHeight="1" s="131"/>
    <row r="69" ht="12.75" customHeight="1" s="131"/>
    <row r="70" ht="12.75" customHeight="1" s="131"/>
    <row r="71" ht="12.75" customHeight="1" s="131"/>
    <row r="72" ht="12.75" customHeight="1" s="131"/>
    <row r="73"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S53"/>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30" min="1" max="1"/>
    <col width="2.99" customWidth="1" style="137" min="2" max="3"/>
    <col width="14.73" customWidth="1" style="130" min="4" max="4"/>
    <col width="13.73" customWidth="1" style="130" min="5" max="5"/>
    <col width="2.99" customWidth="1" style="130" min="6" max="6"/>
    <col width="10.72" customWidth="1" style="130" min="7" max="19"/>
  </cols>
  <sheetData>
    <row r="1" ht="15.75" customHeight="1" s="131">
      <c r="A1" s="142">
        <f>'1. Required Start-Up Funds'!A1</f>
        <v/>
      </c>
      <c r="S1" s="143" t="n"/>
    </row>
    <row r="2" ht="15.75" customHeight="1" s="131">
      <c r="A2" s="142" t="inlineStr">
        <is>
          <t>Amortization Schedule</t>
        </is>
      </c>
    </row>
    <row r="3" ht="12.75" customHeight="1" s="131">
      <c r="A3" s="130" t="n"/>
      <c r="D3" s="145" t="n"/>
      <c r="E3" s="145" t="n"/>
      <c r="F3" s="145" t="n"/>
      <c r="G3" s="145" t="n"/>
      <c r="H3" s="145" t="n"/>
      <c r="I3" s="145" t="n"/>
      <c r="J3" s="145" t="n"/>
      <c r="K3" s="145" t="n"/>
      <c r="L3" s="145" t="n"/>
      <c r="M3" s="145" t="n"/>
      <c r="N3" s="145" t="n"/>
      <c r="O3" s="145" t="n"/>
      <c r="P3" s="145" t="n"/>
      <c r="Q3" s="145" t="n"/>
      <c r="R3" s="145" t="n"/>
      <c r="S3" s="145" t="n"/>
    </row>
    <row r="4" ht="12.75" customHeight="1" s="131">
      <c r="A4" s="145" t="n"/>
      <c r="D4" s="145" t="n"/>
      <c r="E4" s="145" t="n"/>
      <c r="F4" s="145" t="n"/>
      <c r="G4" s="145" t="n"/>
      <c r="H4" s="145" t="n"/>
      <c r="I4" s="145" t="n"/>
      <c r="J4" s="145" t="n"/>
      <c r="K4" s="145" t="n"/>
      <c r="L4" s="145" t="n"/>
      <c r="M4" s="145" t="n"/>
      <c r="N4" s="145" t="n"/>
      <c r="O4" s="145" t="n"/>
      <c r="P4" s="145" t="n"/>
      <c r="Q4" s="145" t="n"/>
      <c r="R4" s="145" t="n"/>
      <c r="S4" s="145" t="n"/>
    </row>
    <row r="5" ht="12.75" customHeight="1" s="131">
      <c r="A5" s="145" t="n"/>
      <c r="D5" s="145" t="n"/>
      <c r="E5" s="145" t="n"/>
      <c r="F5" s="145" t="n"/>
      <c r="G5" s="145" t="n"/>
      <c r="H5" s="145" t="n"/>
      <c r="I5" s="145" t="n"/>
      <c r="J5" s="145" t="n"/>
      <c r="K5" s="145" t="n"/>
      <c r="L5" s="145" t="n"/>
      <c r="M5" s="145" t="n"/>
      <c r="N5" s="145" t="n"/>
      <c r="O5" s="145" t="n"/>
      <c r="P5" s="145" t="n"/>
      <c r="Q5" s="145" t="n"/>
      <c r="R5" s="145" t="n"/>
      <c r="S5" s="145" t="n"/>
    </row>
    <row r="6" ht="12.75" customHeight="1" s="131">
      <c r="A6" s="137" t="inlineStr">
        <is>
          <t>Loan Type</t>
        </is>
      </c>
      <c r="D6" s="145" t="n"/>
      <c r="E6" s="140" t="inlineStr">
        <is>
          <t>Assumptions</t>
        </is>
      </c>
      <c r="F6" s="145" t="n"/>
      <c r="G6" s="172">
        <f>'4. Projected Sales Forecast'!H6</f>
        <v/>
      </c>
      <c r="H6" s="172">
        <f>'4. Projected Sales Forecast'!I6</f>
        <v/>
      </c>
      <c r="I6" s="172">
        <f>'4. Projected Sales Forecast'!J6</f>
        <v/>
      </c>
      <c r="J6" s="172">
        <f>'4. Projected Sales Forecast'!K6</f>
        <v/>
      </c>
      <c r="K6" s="172">
        <f>'4. Projected Sales Forecast'!L6</f>
        <v/>
      </c>
      <c r="L6" s="172">
        <f>'4. Projected Sales Forecast'!M6</f>
        <v/>
      </c>
      <c r="M6" s="172">
        <f>'4. Projected Sales Forecast'!N6</f>
        <v/>
      </c>
      <c r="N6" s="172">
        <f>'4. Projected Sales Forecast'!O6</f>
        <v/>
      </c>
      <c r="O6" s="172">
        <f>'4. Projected Sales Forecast'!P6</f>
        <v/>
      </c>
      <c r="P6" s="172">
        <f>'4. Projected Sales Forecast'!Q6</f>
        <v/>
      </c>
      <c r="Q6" s="172">
        <f>'4. Projected Sales Forecast'!R6</f>
        <v/>
      </c>
      <c r="R6" s="172">
        <f>'4. Projected Sales Forecast'!S6</f>
        <v/>
      </c>
      <c r="S6" s="172" t="inlineStr">
        <is>
          <t>Totals</t>
        </is>
      </c>
    </row>
    <row r="7" ht="12.75" customHeight="1" s="131">
      <c r="A7" s="145" t="n"/>
      <c r="D7" s="145" t="n"/>
      <c r="E7" s="145" t="n"/>
      <c r="F7" s="145" t="n"/>
      <c r="G7" s="145" t="n"/>
      <c r="H7" s="145" t="n"/>
      <c r="I7" s="145" t="n"/>
      <c r="J7" s="145" t="n"/>
      <c r="K7" s="145" t="n"/>
      <c r="L7" s="145" t="n"/>
      <c r="M7" s="145" t="n"/>
      <c r="N7" s="145" t="n"/>
      <c r="O7" s="145" t="n"/>
      <c r="P7" s="145" t="n"/>
      <c r="Q7" s="145" t="n"/>
      <c r="R7" s="145" t="n"/>
      <c r="S7" s="145" t="n"/>
    </row>
    <row r="8" ht="12.75" customHeight="1" s="131">
      <c r="A8" s="137" t="inlineStr">
        <is>
          <t>Commercial Loan</t>
        </is>
      </c>
      <c r="D8" s="145" t="n"/>
      <c r="E8" s="145" t="n"/>
      <c r="F8" s="145" t="n"/>
      <c r="G8" s="145" t="n"/>
      <c r="H8" s="145" t="n"/>
      <c r="I8" s="145" t="n"/>
      <c r="J8" s="145" t="n"/>
      <c r="K8" s="145" t="n"/>
      <c r="L8" s="145" t="n"/>
      <c r="M8" s="145" t="n"/>
      <c r="N8" s="145" t="n"/>
      <c r="O8" s="145" t="n"/>
      <c r="P8" s="145" t="n"/>
      <c r="Q8" s="145" t="n"/>
      <c r="R8" s="145" t="n"/>
      <c r="S8" s="145" t="n"/>
    </row>
    <row r="9" ht="12.75" customHeight="1" s="131">
      <c r="A9" s="145" t="n"/>
      <c r="B9" s="137" t="inlineStr">
        <is>
          <t>Principal Amount</t>
        </is>
      </c>
      <c r="D9" s="145" t="n"/>
      <c r="E9" s="149">
        <f>'1. Required Start-Up Funds'!G40</f>
        <v/>
      </c>
      <c r="F9" s="145" t="n"/>
      <c r="G9" s="145" t="n"/>
      <c r="H9" s="145" t="n"/>
      <c r="I9" s="145" t="n"/>
      <c r="J9" s="145" t="n"/>
      <c r="K9" s="145" t="n"/>
      <c r="L9" s="145" t="n"/>
      <c r="M9" s="145" t="n"/>
      <c r="N9" s="145" t="n"/>
      <c r="O9" s="145" t="n"/>
      <c r="P9" s="145" t="n"/>
      <c r="Q9" s="145" t="n"/>
      <c r="R9" s="145" t="n"/>
      <c r="S9" s="145" t="n"/>
    </row>
    <row r="10" ht="12.75" customHeight="1" s="131">
      <c r="A10" s="145" t="n"/>
      <c r="B10" s="137" t="inlineStr">
        <is>
          <t>Interest Rate</t>
        </is>
      </c>
      <c r="D10" s="145" t="n"/>
      <c r="E10" s="164">
        <f>'1. Required Start-Up Funds'!H40</f>
        <v/>
      </c>
      <c r="F10" s="145" t="n"/>
      <c r="G10" s="145" t="n"/>
      <c r="H10" s="145" t="n"/>
      <c r="I10" s="145" t="n"/>
      <c r="J10" s="145" t="n"/>
      <c r="K10" s="145" t="n"/>
      <c r="L10" s="145" t="n"/>
      <c r="M10" s="145" t="n"/>
      <c r="N10" s="145" t="n"/>
      <c r="O10" s="145" t="n"/>
      <c r="P10" s="145" t="n"/>
      <c r="Q10" s="145" t="n"/>
      <c r="R10" s="145" t="n"/>
      <c r="S10" s="145" t="n"/>
    </row>
    <row r="11" ht="12.75" customHeight="1" s="131">
      <c r="A11" s="145" t="n"/>
      <c r="B11" s="137" t="inlineStr">
        <is>
          <t>Loan Term in Months</t>
        </is>
      </c>
      <c r="D11" s="145" t="n"/>
      <c r="E11" s="228">
        <f>'1. Required Start-Up Funds'!I40</f>
        <v/>
      </c>
      <c r="F11" s="145" t="n"/>
      <c r="G11" s="145" t="n"/>
      <c r="H11" s="145" t="n"/>
      <c r="I11" s="145" t="n"/>
      <c r="J11" s="145" t="n"/>
      <c r="K11" s="145" t="n"/>
      <c r="L11" s="145" t="n"/>
      <c r="M11" s="145" t="n"/>
      <c r="N11" s="145" t="n"/>
      <c r="O11" s="145" t="n"/>
      <c r="P11" s="145" t="n"/>
      <c r="Q11" s="145" t="n"/>
      <c r="R11" s="145" t="n"/>
      <c r="S11" s="145" t="n"/>
    </row>
    <row r="12" ht="12.75" customHeight="1" s="131">
      <c r="A12" s="145" t="n"/>
      <c r="B12" s="137" t="inlineStr">
        <is>
          <t>Monthly Payment Amount</t>
        </is>
      </c>
      <c r="D12" s="145" t="n"/>
      <c r="E12" s="161">
        <f>ABS(PMT(E10/12,E11,E9))</f>
        <v/>
      </c>
      <c r="F12" s="145" t="n"/>
      <c r="G12" s="145" t="n"/>
      <c r="H12" s="145" t="n"/>
      <c r="I12" s="145" t="n"/>
      <c r="J12" s="145" t="n"/>
      <c r="K12" s="145" t="n"/>
      <c r="L12" s="145" t="n"/>
      <c r="M12" s="145" t="n"/>
      <c r="N12" s="145" t="n"/>
      <c r="O12" s="145" t="n"/>
      <c r="P12" s="145" t="n"/>
      <c r="Q12" s="145" t="n"/>
      <c r="R12" s="145" t="n"/>
      <c r="S12" s="145" t="n"/>
    </row>
    <row r="13" ht="12.75" customHeight="1" s="131">
      <c r="A13" s="145" t="n"/>
      <c r="D13" s="145" t="n"/>
      <c r="E13" s="145" t="n"/>
      <c r="F13" s="145" t="n"/>
      <c r="G13" s="145" t="n"/>
      <c r="H13" s="145" t="n"/>
      <c r="I13" s="145" t="n"/>
      <c r="J13" s="145" t="n"/>
      <c r="K13" s="145" t="n"/>
      <c r="L13" s="145" t="n"/>
      <c r="M13" s="145" t="n"/>
      <c r="N13" s="145" t="n"/>
      <c r="O13" s="145" t="n"/>
      <c r="P13" s="145" t="n"/>
      <c r="Q13" s="145" t="n"/>
      <c r="R13" s="145" t="n"/>
      <c r="S13" s="145" t="n"/>
    </row>
    <row r="14" ht="12.75" customHeight="1" s="131">
      <c r="A14" s="145" t="n"/>
      <c r="B14" s="137" t="inlineStr">
        <is>
          <t>Year One</t>
        </is>
      </c>
      <c r="D14" s="145" t="n"/>
      <c r="E14" s="145" t="n"/>
      <c r="F14" s="145" t="n"/>
      <c r="G14" s="145" t="n"/>
      <c r="H14" s="145" t="n"/>
      <c r="I14" s="145" t="n"/>
      <c r="J14" s="145" t="n"/>
      <c r="K14" s="145" t="n"/>
      <c r="L14" s="145" t="n"/>
      <c r="M14" s="145" t="n"/>
      <c r="N14" s="145" t="n"/>
      <c r="O14" s="145" t="n"/>
      <c r="P14" s="145" t="n"/>
      <c r="Q14" s="145" t="n"/>
      <c r="R14" s="145" t="n"/>
      <c r="S14" s="145" t="n"/>
    </row>
    <row r="15" ht="12.75" customHeight="1" s="131">
      <c r="A15" s="145" t="n"/>
      <c r="C15" s="137" t="inlineStr">
        <is>
          <t>Interest</t>
        </is>
      </c>
      <c r="D15" s="145" t="n"/>
      <c r="E15" s="145" t="n"/>
      <c r="F15" s="145" t="n"/>
      <c r="G15" s="156">
        <f>ABS(IPMT($E$10/12,1,$E$11,$E$9))</f>
        <v/>
      </c>
      <c r="H15" s="156">
        <f>ABS(IPMT($E$10/12,2,$E$11,$E$9))</f>
        <v/>
      </c>
      <c r="I15" s="156">
        <f>ABS(IPMT($E$10/12,3,$E$11,$E$9))</f>
        <v/>
      </c>
      <c r="J15" s="156">
        <f>ABS(IPMT($E$10/12,4,$E$11,$E$9))</f>
        <v/>
      </c>
      <c r="K15" s="156">
        <f>ABS(IPMT($E$10/12,5,$E$11,$E$9))</f>
        <v/>
      </c>
      <c r="L15" s="156">
        <f>ABS(IPMT($E$10/12,6,$E$11,$E$9))</f>
        <v/>
      </c>
      <c r="M15" s="156">
        <f>ABS(IPMT($E$10/12,7,$E$11,$E$9))</f>
        <v/>
      </c>
      <c r="N15" s="156">
        <f>ABS(IPMT($E$10/12,8,$E$11,$E$9))</f>
        <v/>
      </c>
      <c r="O15" s="156">
        <f>ABS(IPMT($E$10/12,9,$E$11,$E$9))</f>
        <v/>
      </c>
      <c r="P15" s="156">
        <f>ABS(IPMT($E$10/12,10,$E$11,$E$9))</f>
        <v/>
      </c>
      <c r="Q15" s="156">
        <f>ABS(IPMT($E$10/12,11,$E$11,$E$9))</f>
        <v/>
      </c>
      <c r="R15" s="156">
        <f>ABS(IPMT($E$10/12,12,$E$11,$E$9))</f>
        <v/>
      </c>
      <c r="S15" s="156">
        <f>SUM(G15:R15)</f>
        <v/>
      </c>
    </row>
    <row r="16" ht="12.75" customHeight="1" s="131">
      <c r="A16" s="145" t="n"/>
      <c r="C16" s="137" t="inlineStr">
        <is>
          <t>Principal</t>
        </is>
      </c>
      <c r="D16" s="145" t="n"/>
      <c r="E16" s="145" t="n"/>
      <c r="F16" s="145" t="n"/>
      <c r="G16" s="156">
        <f>ABS(PPMT($E$10/12,1,$E$11,$E$9))</f>
        <v/>
      </c>
      <c r="H16" s="156">
        <f>ABS(PPMT($E$10/12,2,$E$11,$E$9))</f>
        <v/>
      </c>
      <c r="I16" s="156">
        <f>ABS(PPMT($E$10/12,3,$E$11,$E$9))</f>
        <v/>
      </c>
      <c r="J16" s="156">
        <f>ABS(PPMT($E$10/12,4,$E$11,$E$9))</f>
        <v/>
      </c>
      <c r="K16" s="156">
        <f>ABS(PPMT($E$10/12,5,$E$11,$E$9))</f>
        <v/>
      </c>
      <c r="L16" s="156">
        <f>ABS(PPMT($E$10/12,6,$E$11,$E$9))</f>
        <v/>
      </c>
      <c r="M16" s="156">
        <f>ABS(PPMT($E$10/12,7,$E$11,$E$9))</f>
        <v/>
      </c>
      <c r="N16" s="156">
        <f>ABS(PPMT($E$10/12,8,$E$11,$E$9))</f>
        <v/>
      </c>
      <c r="O16" s="156">
        <f>ABS(PPMT($E$10/12,9,$E$11,$E$9))</f>
        <v/>
      </c>
      <c r="P16" s="156">
        <f>ABS(PPMT($E$10/12,10,$E$11,$E$9))</f>
        <v/>
      </c>
      <c r="Q16" s="156">
        <f>ABS(PPMT($E$10/12,11,$E$11,$E$9))</f>
        <v/>
      </c>
      <c r="R16" s="156">
        <f>ABS(PPMT($E$10/12,12,$E$11,$E$9))</f>
        <v/>
      </c>
      <c r="S16" s="156">
        <f>SUM(G16:R16)</f>
        <v/>
      </c>
    </row>
    <row r="17" ht="12.75" customHeight="1" s="131">
      <c r="A17" s="145" t="n"/>
      <c r="C17" s="137" t="inlineStr">
        <is>
          <t>Loan Balance</t>
        </is>
      </c>
      <c r="D17" s="145" t="n"/>
      <c r="E17" s="145" t="n"/>
      <c r="F17" s="145" t="n"/>
      <c r="G17" s="182">
        <f>$E$9-G16</f>
        <v/>
      </c>
      <c r="H17" s="182">
        <f>G17-H16</f>
        <v/>
      </c>
      <c r="I17" s="182">
        <f>H17-I16</f>
        <v/>
      </c>
      <c r="J17" s="182">
        <f>I17-J16</f>
        <v/>
      </c>
      <c r="K17" s="182">
        <f>J17-K16</f>
        <v/>
      </c>
      <c r="L17" s="182">
        <f>K17-L16</f>
        <v/>
      </c>
      <c r="M17" s="182">
        <f>L17-M16</f>
        <v/>
      </c>
      <c r="N17" s="182">
        <f>M17-N16</f>
        <v/>
      </c>
      <c r="O17" s="182">
        <f>N17-O16</f>
        <v/>
      </c>
      <c r="P17" s="182">
        <f>O17-P16</f>
        <v/>
      </c>
      <c r="Q17" s="182">
        <f>P17-Q16</f>
        <v/>
      </c>
      <c r="R17" s="182">
        <f>Q17-R16</f>
        <v/>
      </c>
      <c r="S17" s="182" t="n"/>
    </row>
    <row r="18" ht="12.75" customHeight="1" s="131">
      <c r="A18" s="145" t="n"/>
      <c r="B18" s="137" t="inlineStr">
        <is>
          <t>Year Two</t>
        </is>
      </c>
      <c r="D18" s="145" t="n"/>
      <c r="E18" s="145" t="n"/>
      <c r="F18" s="145" t="n"/>
      <c r="G18" s="182" t="n"/>
      <c r="H18" s="182" t="n"/>
      <c r="I18" s="182" t="n"/>
      <c r="J18" s="182" t="n"/>
      <c r="K18" s="182" t="n"/>
      <c r="L18" s="182" t="n"/>
      <c r="M18" s="182" t="n"/>
      <c r="N18" s="182" t="n"/>
      <c r="O18" s="182" t="n"/>
      <c r="P18" s="182" t="n"/>
      <c r="Q18" s="182" t="n"/>
      <c r="R18" s="182" t="n"/>
      <c r="S18" s="182" t="n"/>
    </row>
    <row r="19" ht="12.75" customHeight="1" s="131">
      <c r="A19" s="145" t="n"/>
      <c r="C19" s="137" t="inlineStr">
        <is>
          <t>Interest</t>
        </is>
      </c>
      <c r="D19" s="145" t="n"/>
      <c r="E19" s="145" t="n"/>
      <c r="F19" s="145" t="n"/>
      <c r="G19" s="156">
        <f>ABS(IPMT($E$10/12,13,$E$11,$E$9))</f>
        <v/>
      </c>
      <c r="H19" s="156">
        <f>ABS(IPMT($E$10/12,14,$E$11,$E$9))</f>
        <v/>
      </c>
      <c r="I19" s="156">
        <f>ABS(IPMT($E$10/12,15,$E$11,$E$9))</f>
        <v/>
      </c>
      <c r="J19" s="156">
        <f>ABS(IPMT($E$10/12,16,$E$11,$E$9))</f>
        <v/>
      </c>
      <c r="K19" s="156">
        <f>ABS(IPMT($E$10/12,17,$E$11,$E$9))</f>
        <v/>
      </c>
      <c r="L19" s="156">
        <f>ABS(IPMT($E$10/12,18,$E$11,$E$9))</f>
        <v/>
      </c>
      <c r="M19" s="156">
        <f>ABS(IPMT($E$10/12,19,$E$11,$E$9))</f>
        <v/>
      </c>
      <c r="N19" s="156">
        <f>ABS(IPMT($E$10/12,20,$E$11,$E$9))</f>
        <v/>
      </c>
      <c r="O19" s="156">
        <f>ABS(IPMT($E$10/12,21,$E$11,$E$9))</f>
        <v/>
      </c>
      <c r="P19" s="156">
        <f>ABS(IPMT($E$10/12,22,$E$11,$E$9))</f>
        <v/>
      </c>
      <c r="Q19" s="156">
        <f>ABS(IPMT($E$10/12,23,$E$11,$E$9))</f>
        <v/>
      </c>
      <c r="R19" s="156">
        <f>ABS(IPMT($E$10/12,24,$E$11,$E$9))</f>
        <v/>
      </c>
      <c r="S19" s="156">
        <f>SUM(G19:R19)</f>
        <v/>
      </c>
    </row>
    <row r="20" ht="12.75" customHeight="1" s="131">
      <c r="A20" s="145" t="n"/>
      <c r="C20" s="137" t="inlineStr">
        <is>
          <t>Principal</t>
        </is>
      </c>
      <c r="D20" s="145" t="n"/>
      <c r="E20" s="145" t="n"/>
      <c r="F20" s="145" t="n"/>
      <c r="G20" s="156">
        <f>ABS(PPMT($E$10/12,13,$E$11,$E$9))</f>
        <v/>
      </c>
      <c r="H20" s="156">
        <f>ABS(PPMT($E$10/12,14,$E$11,$E$9))</f>
        <v/>
      </c>
      <c r="I20" s="156">
        <f>ABS(PPMT($E$10/12,15,$E$11,$E$9))</f>
        <v/>
      </c>
      <c r="J20" s="156">
        <f>ABS(PPMT($E$10/12,16,$E$11,$E$9))</f>
        <v/>
      </c>
      <c r="K20" s="156">
        <f>ABS(PPMT($E$10/12,17,$E$11,$E$9))</f>
        <v/>
      </c>
      <c r="L20" s="156">
        <f>ABS(PPMT($E$10/12,18,$E$11,$E$9))</f>
        <v/>
      </c>
      <c r="M20" s="156">
        <f>ABS(PPMT($E$10/12,19,$E$11,$E$9))</f>
        <v/>
      </c>
      <c r="N20" s="156">
        <f>ABS(PPMT($E$10/12,20,$E$11,$E$9))</f>
        <v/>
      </c>
      <c r="O20" s="156">
        <f>ABS(PPMT($E$10/12,21,$E$11,$E$9))</f>
        <v/>
      </c>
      <c r="P20" s="156">
        <f>ABS(PPMT($E$10/12,22,$E$11,$E$9))</f>
        <v/>
      </c>
      <c r="Q20" s="156">
        <f>ABS(PPMT($E$10/12,23,$E$11,$E$9))</f>
        <v/>
      </c>
      <c r="R20" s="156">
        <f>ABS(PPMT($E$10/12,24,$E$11,$E$9))</f>
        <v/>
      </c>
      <c r="S20" s="156">
        <f>SUM(G20:R20)</f>
        <v/>
      </c>
    </row>
    <row r="21" ht="12.75" customHeight="1" s="131">
      <c r="A21" s="145" t="n"/>
      <c r="C21" s="137" t="inlineStr">
        <is>
          <t>Loan Balance</t>
        </is>
      </c>
      <c r="D21" s="145" t="n"/>
      <c r="E21" s="145" t="n"/>
      <c r="F21" s="145" t="n"/>
      <c r="G21" s="182">
        <f>R17-G20</f>
        <v/>
      </c>
      <c r="H21" s="182">
        <f>G21-H20</f>
        <v/>
      </c>
      <c r="I21" s="182">
        <f>H21-I20</f>
        <v/>
      </c>
      <c r="J21" s="182">
        <f>I21-J20</f>
        <v/>
      </c>
      <c r="K21" s="182">
        <f>J21-K20</f>
        <v/>
      </c>
      <c r="L21" s="182">
        <f>K21-L20</f>
        <v/>
      </c>
      <c r="M21" s="182">
        <f>L21-M20</f>
        <v/>
      </c>
      <c r="N21" s="182">
        <f>M21-N20</f>
        <v/>
      </c>
      <c r="O21" s="182">
        <f>N21-O20</f>
        <v/>
      </c>
      <c r="P21" s="182">
        <f>O21-P20</f>
        <v/>
      </c>
      <c r="Q21" s="182">
        <f>P21-Q20</f>
        <v/>
      </c>
      <c r="R21" s="182">
        <f>Q21-R20</f>
        <v/>
      </c>
      <c r="S21" s="182" t="n"/>
    </row>
    <row r="22" ht="12.75" customHeight="1" s="131">
      <c r="A22" s="145" t="n"/>
      <c r="B22" s="137" t="inlineStr">
        <is>
          <t>Year Three</t>
        </is>
      </c>
      <c r="D22" s="145" t="n"/>
      <c r="E22" s="145" t="n"/>
      <c r="F22" s="145" t="n"/>
      <c r="G22" s="182" t="n"/>
      <c r="H22" s="182" t="n"/>
      <c r="I22" s="182" t="n"/>
      <c r="J22" s="182" t="n"/>
      <c r="K22" s="182" t="n"/>
      <c r="L22" s="182" t="n"/>
      <c r="M22" s="182" t="n"/>
      <c r="N22" s="182" t="n"/>
      <c r="O22" s="182" t="n"/>
      <c r="P22" s="182" t="n"/>
      <c r="Q22" s="182" t="n"/>
      <c r="R22" s="182" t="n"/>
      <c r="S22" s="182" t="n"/>
    </row>
    <row r="23" ht="12.75" customHeight="1" s="131">
      <c r="A23" s="145" t="n"/>
      <c r="C23" s="137" t="inlineStr">
        <is>
          <t>Interest</t>
        </is>
      </c>
      <c r="D23" s="145" t="n"/>
      <c r="E23" s="145" t="n"/>
      <c r="F23" s="145" t="n"/>
      <c r="G23" s="156">
        <f>ABS(IPMT($E$10/12,25,$E$11,$E$9))</f>
        <v/>
      </c>
      <c r="H23" s="156">
        <f>ABS(IPMT($E$10/12,26,$E$11,$E$9))</f>
        <v/>
      </c>
      <c r="I23" s="156">
        <f>ABS(IPMT($E$10/12,27,$E$11,$E$9))</f>
        <v/>
      </c>
      <c r="J23" s="156">
        <f>ABS(IPMT($E$10/12,28,$E$11,$E$9))</f>
        <v/>
      </c>
      <c r="K23" s="156">
        <f>ABS(IPMT($E$10/12,29,$E$11,$E$9))</f>
        <v/>
      </c>
      <c r="L23" s="156">
        <f>ABS(IPMT($E$10/12,30,$E$11,$E$9))</f>
        <v/>
      </c>
      <c r="M23" s="156">
        <f>ABS(IPMT($E$10/12,31,$E$11,$E$9))</f>
        <v/>
      </c>
      <c r="N23" s="156">
        <f>ABS(IPMT($E$10/12,32,$E$11,$E$9))</f>
        <v/>
      </c>
      <c r="O23" s="156">
        <f>ABS(IPMT($E$10/12,33,$E$11,$E$9))</f>
        <v/>
      </c>
      <c r="P23" s="156">
        <f>ABS(IPMT($E$10/12,34,$E$11,$E$9))</f>
        <v/>
      </c>
      <c r="Q23" s="156">
        <f>ABS(IPMT($E$10/12,35,$E$11,$E$9))</f>
        <v/>
      </c>
      <c r="R23" s="156">
        <f>ABS(IPMT($E$10/12,36,$E$11,$E$9))</f>
        <v/>
      </c>
      <c r="S23" s="156">
        <f>SUM(G23:R23)</f>
        <v/>
      </c>
    </row>
    <row r="24" ht="12.75" customHeight="1" s="131">
      <c r="A24" s="145" t="n"/>
      <c r="C24" s="137" t="inlineStr">
        <is>
          <t>Principal</t>
        </is>
      </c>
      <c r="D24" s="145" t="n"/>
      <c r="E24" s="145" t="n"/>
      <c r="F24" s="145" t="n"/>
      <c r="G24" s="156">
        <f>ABS(PPMT($E$10/12,25,$E$11,$E$9))</f>
        <v/>
      </c>
      <c r="H24" s="156">
        <f>ABS(PPMT($E$10/12,26,$E$11,$E$9))</f>
        <v/>
      </c>
      <c r="I24" s="156">
        <f>ABS(PPMT($E$10/12,27,$E$11,$E$9))</f>
        <v/>
      </c>
      <c r="J24" s="156">
        <f>ABS(PPMT($E$10/12,28,$E$11,$E$9))</f>
        <v/>
      </c>
      <c r="K24" s="156">
        <f>ABS(PPMT($E$10/12,29,$E$11,$E$9))</f>
        <v/>
      </c>
      <c r="L24" s="156">
        <f>ABS(PPMT($E$10/12,30,$E$11,$E$9))</f>
        <v/>
      </c>
      <c r="M24" s="156">
        <f>ABS(PPMT($E$10/12,31,$E$11,$E$9))</f>
        <v/>
      </c>
      <c r="N24" s="156">
        <f>ABS(PPMT($E$10/12,32,$E$11,$E$9))</f>
        <v/>
      </c>
      <c r="O24" s="156">
        <f>ABS(PPMT($E$10/12,33,$E$11,$E$9))</f>
        <v/>
      </c>
      <c r="P24" s="156">
        <f>ABS(PPMT($E$10/12,34,$E$11,$E$9))</f>
        <v/>
      </c>
      <c r="Q24" s="156">
        <f>ABS(PPMT($E$10/12,35,$E$11,$E$9))</f>
        <v/>
      </c>
      <c r="R24" s="156">
        <f>ABS(PPMT($E$10/12,36,$E$11,$E$9))</f>
        <v/>
      </c>
      <c r="S24" s="156">
        <f>SUM(G24:R24)</f>
        <v/>
      </c>
    </row>
    <row r="25" ht="12.75" customHeight="1" s="131">
      <c r="A25" s="145" t="n"/>
      <c r="C25" s="137" t="inlineStr">
        <is>
          <t>Loan Balance</t>
        </is>
      </c>
      <c r="D25" s="145" t="n"/>
      <c r="E25" s="145" t="n"/>
      <c r="F25" s="145" t="n"/>
      <c r="G25" s="182">
        <f>R21-G24</f>
        <v/>
      </c>
      <c r="H25" s="182">
        <f>G25-H24</f>
        <v/>
      </c>
      <c r="I25" s="182">
        <f>H25-I24</f>
        <v/>
      </c>
      <c r="J25" s="182">
        <f>I25-J24</f>
        <v/>
      </c>
      <c r="K25" s="182">
        <f>J25-K24</f>
        <v/>
      </c>
      <c r="L25" s="182">
        <f>K25-L24</f>
        <v/>
      </c>
      <c r="M25" s="182">
        <f>L25-M24</f>
        <v/>
      </c>
      <c r="N25" s="182">
        <f>M25-N24</f>
        <v/>
      </c>
      <c r="O25" s="182">
        <f>N25-O24</f>
        <v/>
      </c>
      <c r="P25" s="182">
        <f>O25-P24</f>
        <v/>
      </c>
      <c r="Q25" s="182">
        <f>P25-Q24</f>
        <v/>
      </c>
      <c r="R25" s="182">
        <f>Q25-R24</f>
        <v/>
      </c>
      <c r="S25" s="182" t="n"/>
    </row>
    <row r="26" ht="12.75" customHeight="1" s="131">
      <c r="A26" s="145" t="n"/>
      <c r="D26" s="145" t="n"/>
      <c r="E26" s="145" t="n"/>
      <c r="F26" s="145" t="n"/>
      <c r="G26" s="145" t="n"/>
      <c r="H26" s="145" t="n"/>
      <c r="I26" s="145" t="n"/>
      <c r="J26" s="145" t="n"/>
      <c r="K26" s="145" t="n"/>
      <c r="L26" s="145" t="n"/>
      <c r="M26" s="145" t="n"/>
      <c r="N26" s="145" t="n"/>
      <c r="O26" s="145" t="n"/>
      <c r="P26" s="145" t="n"/>
      <c r="Q26" s="145" t="n"/>
      <c r="R26" s="145" t="n"/>
      <c r="S26" s="145" t="n"/>
    </row>
    <row r="27" ht="12.75" customHeight="1" s="131">
      <c r="A27" s="145" t="n"/>
      <c r="D27" s="145" t="n"/>
      <c r="E27" s="145" t="n"/>
      <c r="F27" s="145" t="n"/>
      <c r="G27" s="156" t="n"/>
      <c r="H27" s="145" t="n"/>
      <c r="I27" s="145" t="n"/>
      <c r="J27" s="145" t="n"/>
      <c r="K27" s="145" t="n"/>
      <c r="L27" s="145" t="n"/>
      <c r="M27" s="145" t="n"/>
      <c r="N27" s="145" t="n"/>
      <c r="O27" s="145" t="n"/>
      <c r="P27" s="145" t="n"/>
      <c r="Q27" s="145" t="n"/>
      <c r="R27" s="145" t="n"/>
      <c r="S27" s="145" t="n"/>
    </row>
    <row r="28" ht="12.75" customHeight="1" s="131">
      <c r="A28" s="137" t="inlineStr">
        <is>
          <t>Commercial Mortgage</t>
        </is>
      </c>
      <c r="D28" s="145" t="n"/>
      <c r="E28" s="145" t="n"/>
      <c r="F28" s="145" t="n"/>
      <c r="G28" s="145" t="n"/>
      <c r="H28" s="145" t="n"/>
      <c r="I28" s="145" t="n"/>
      <c r="J28" s="145" t="n"/>
      <c r="K28" s="145" t="n"/>
      <c r="L28" s="145" t="n"/>
      <c r="M28" s="145" t="n"/>
      <c r="N28" s="145" t="n"/>
      <c r="O28" s="145" t="n"/>
      <c r="P28" s="145" t="n"/>
      <c r="Q28" s="145" t="n"/>
      <c r="R28" s="145" t="n"/>
      <c r="S28" s="145" t="n"/>
    </row>
    <row r="29" ht="12.75" customHeight="1" s="131">
      <c r="A29" s="145" t="n"/>
      <c r="B29" s="137" t="inlineStr">
        <is>
          <t>Principal Amount</t>
        </is>
      </c>
      <c r="D29" s="145" t="n"/>
      <c r="E29" s="178">
        <f>'1. Required Start-Up Funds'!G41</f>
        <v/>
      </c>
      <c r="F29" s="145" t="n"/>
      <c r="G29" s="145" t="n"/>
      <c r="H29" s="145" t="n"/>
      <c r="I29" s="145" t="n"/>
      <c r="J29" s="145" t="n"/>
      <c r="K29" s="145" t="n"/>
      <c r="L29" s="145" t="n"/>
      <c r="M29" s="145" t="n"/>
      <c r="N29" s="145" t="n"/>
      <c r="O29" s="145" t="n"/>
      <c r="P29" s="145" t="n"/>
      <c r="Q29" s="145" t="n"/>
      <c r="R29" s="145" t="n"/>
      <c r="S29" s="145" t="n"/>
    </row>
    <row r="30" ht="12.75" customHeight="1" s="131">
      <c r="A30" s="145" t="n"/>
      <c r="B30" s="137" t="inlineStr">
        <is>
          <t>Interest Rate</t>
        </is>
      </c>
      <c r="D30" s="145" t="n"/>
      <c r="E30" s="164">
        <f>'1. Required Start-Up Funds'!H41</f>
        <v/>
      </c>
      <c r="F30" s="145" t="n"/>
      <c r="G30" s="145" t="n"/>
      <c r="H30" s="145" t="n"/>
      <c r="I30" s="145" t="n"/>
      <c r="J30" s="145" t="n"/>
      <c r="K30" s="145" t="n"/>
      <c r="L30" s="145" t="n"/>
      <c r="M30" s="145" t="n"/>
      <c r="N30" s="145" t="n"/>
      <c r="O30" s="145" t="n"/>
      <c r="P30" s="145" t="n"/>
      <c r="Q30" s="145" t="n"/>
      <c r="R30" s="145" t="n"/>
      <c r="S30" s="145" t="n"/>
    </row>
    <row r="31" ht="12.75" customHeight="1" s="131">
      <c r="A31" s="145" t="n"/>
      <c r="B31" s="137" t="inlineStr">
        <is>
          <t>Loan Term in Months</t>
        </is>
      </c>
      <c r="D31" s="145" t="n"/>
      <c r="E31" s="228">
        <f>'1. Required Start-Up Funds'!I41</f>
        <v/>
      </c>
      <c r="F31" s="145" t="n"/>
      <c r="G31" s="145" t="n"/>
      <c r="H31" s="145" t="n"/>
      <c r="I31" s="145" t="n"/>
      <c r="J31" s="145" t="n"/>
      <c r="K31" s="145" t="n"/>
      <c r="L31" s="145" t="n"/>
      <c r="M31" s="145" t="n"/>
      <c r="N31" s="145" t="n"/>
      <c r="O31" s="145" t="n"/>
      <c r="P31" s="145" t="n"/>
      <c r="Q31" s="145" t="n"/>
      <c r="R31" s="145" t="n"/>
      <c r="S31" s="145" t="n"/>
    </row>
    <row r="32" ht="12.75" customHeight="1" s="131">
      <c r="A32" s="145" t="n"/>
      <c r="B32" s="137" t="inlineStr">
        <is>
          <t>Monthly Payment Amount</t>
        </is>
      </c>
      <c r="D32" s="145" t="n"/>
      <c r="E32" s="161">
        <f>ABS(PMT(E30/12,E31,E29))</f>
        <v/>
      </c>
      <c r="F32" s="145" t="n"/>
      <c r="G32" s="145" t="n"/>
      <c r="H32" s="145" t="n"/>
      <c r="I32" s="145" t="n"/>
      <c r="J32" s="145" t="n"/>
      <c r="K32" s="145" t="n"/>
      <c r="L32" s="145" t="n"/>
      <c r="M32" s="145" t="n"/>
      <c r="N32" s="145" t="n"/>
      <c r="O32" s="145" t="n"/>
      <c r="P32" s="145" t="n"/>
      <c r="Q32" s="145" t="n"/>
      <c r="R32" s="145" t="n"/>
      <c r="S32" s="145" t="n"/>
    </row>
    <row r="33" ht="12.75" customHeight="1" s="131">
      <c r="A33" s="145" t="n"/>
      <c r="D33" s="145" t="n"/>
      <c r="E33" s="145" t="n"/>
      <c r="F33" s="145" t="n"/>
      <c r="G33" s="145" t="n"/>
      <c r="H33" s="145" t="n"/>
      <c r="I33" s="145" t="n"/>
      <c r="J33" s="145" t="n"/>
      <c r="K33" s="145" t="n"/>
      <c r="L33" s="145" t="n"/>
      <c r="M33" s="145" t="n"/>
      <c r="N33" s="145" t="n"/>
      <c r="O33" s="145" t="n"/>
      <c r="P33" s="145" t="n"/>
      <c r="Q33" s="145" t="n"/>
      <c r="R33" s="145" t="n"/>
      <c r="S33" s="145" t="n"/>
    </row>
    <row r="34" ht="12.75" customHeight="1" s="131">
      <c r="A34" s="145" t="n"/>
      <c r="B34" s="137" t="inlineStr">
        <is>
          <t>Year One</t>
        </is>
      </c>
      <c r="D34" s="145" t="n"/>
      <c r="E34" s="145" t="n"/>
      <c r="F34" s="145" t="n"/>
      <c r="G34" s="145" t="n"/>
      <c r="H34" s="145" t="n"/>
      <c r="I34" s="145" t="n"/>
      <c r="J34" s="145" t="n"/>
      <c r="K34" s="145" t="n"/>
      <c r="L34" s="145" t="n"/>
      <c r="M34" s="145" t="n"/>
      <c r="N34" s="145" t="n"/>
      <c r="O34" s="145" t="n"/>
      <c r="P34" s="145" t="n"/>
      <c r="Q34" s="145" t="n"/>
      <c r="R34" s="145" t="n"/>
      <c r="S34" s="145" t="n"/>
    </row>
    <row r="35" ht="12.75" customHeight="1" s="131">
      <c r="A35" s="145" t="n"/>
      <c r="C35" s="137" t="inlineStr">
        <is>
          <t>Interest</t>
        </is>
      </c>
      <c r="D35" s="145" t="n"/>
      <c r="E35" s="145" t="n"/>
      <c r="F35" s="145" t="n"/>
      <c r="G35" s="156">
        <f>ABS(IPMT($E$30/12,1,$E$31,$E$29))</f>
        <v/>
      </c>
      <c r="H35" s="156">
        <f>ABS(IPMT($E$30/12,2,$E$31,$E$29))</f>
        <v/>
      </c>
      <c r="I35" s="156">
        <f>ABS(IPMT($E$30/12,3,$E$31,$E$29))</f>
        <v/>
      </c>
      <c r="J35" s="156">
        <f>ABS(IPMT($E$30/12,4,$E$31,$E$29))</f>
        <v/>
      </c>
      <c r="K35" s="156">
        <f>ABS(IPMT($E$30/12,5,$E$31,$E$29))</f>
        <v/>
      </c>
      <c r="L35" s="156">
        <f>ABS(IPMT($E$30/12,6,$E$31,$E$29))</f>
        <v/>
      </c>
      <c r="M35" s="156">
        <f>ABS(IPMT($E$30/12,7,$E$31,$E$29))</f>
        <v/>
      </c>
      <c r="N35" s="156">
        <f>ABS(IPMT($E$30/12,8,$E$31,$E$29))</f>
        <v/>
      </c>
      <c r="O35" s="156">
        <f>ABS(IPMT($E$30/12,9,$E$31,$E$29))</f>
        <v/>
      </c>
      <c r="P35" s="156">
        <f>ABS(IPMT($E$30/12,10,$E$31,$E$29))</f>
        <v/>
      </c>
      <c r="Q35" s="156">
        <f>ABS(IPMT($E$30/12,11,$E$31,$E$29))</f>
        <v/>
      </c>
      <c r="R35" s="156">
        <f>ABS(IPMT($E$30/12,12,$E$31,$E$29))</f>
        <v/>
      </c>
      <c r="S35" s="156">
        <f>SUM(G35:R35)</f>
        <v/>
      </c>
    </row>
    <row r="36" ht="12.75" customHeight="1" s="131">
      <c r="A36" s="145" t="n"/>
      <c r="C36" s="137" t="inlineStr">
        <is>
          <t>Principal</t>
        </is>
      </c>
      <c r="D36" s="145" t="n"/>
      <c r="E36" s="145" t="n"/>
      <c r="F36" s="145" t="n"/>
      <c r="G36" s="156">
        <f>ABS(PPMT($E$30/12,1,$E$31,$E$29))</f>
        <v/>
      </c>
      <c r="H36" s="156">
        <f>ABS(PPMT($E$30/12,2,$E$31,$E$29))</f>
        <v/>
      </c>
      <c r="I36" s="156">
        <f>ABS(PPMT($E$30/12,3,$E$31,$E$29))</f>
        <v/>
      </c>
      <c r="J36" s="156">
        <f>ABS(PPMT($E$30/12,4,$E$31,$E$29))</f>
        <v/>
      </c>
      <c r="K36" s="156">
        <f>ABS(PPMT($E$30/12,5,$E$31,$E$29))</f>
        <v/>
      </c>
      <c r="L36" s="156">
        <f>ABS(PPMT($E$30/12,6,$E$31,$E$29))</f>
        <v/>
      </c>
      <c r="M36" s="156">
        <f>ABS(PPMT($E$30/12,7,$E$31,$E$29))</f>
        <v/>
      </c>
      <c r="N36" s="156">
        <f>ABS(PPMT($E$30/12,8,$E$31,$E$29))</f>
        <v/>
      </c>
      <c r="O36" s="156">
        <f>ABS(PPMT($E$30/12,9,$E$31,$E$29))</f>
        <v/>
      </c>
      <c r="P36" s="156">
        <f>ABS(PPMT($E$30/12,10,$E$31,$E$29))</f>
        <v/>
      </c>
      <c r="Q36" s="156">
        <f>ABS(PPMT($E$30/12,11,$E$31,$E$29))</f>
        <v/>
      </c>
      <c r="R36" s="156">
        <f>ABS(PPMT($E$30/12,12,$E$31,$E$29))</f>
        <v/>
      </c>
      <c r="S36" s="156">
        <f>SUM(G36:R36)</f>
        <v/>
      </c>
    </row>
    <row r="37" ht="12.75" customHeight="1" s="131">
      <c r="A37" s="145" t="n"/>
      <c r="C37" s="137" t="inlineStr">
        <is>
          <t>Loan Balance</t>
        </is>
      </c>
      <c r="D37" s="145" t="n"/>
      <c r="E37" s="145" t="n"/>
      <c r="F37" s="145" t="n"/>
      <c r="G37" s="156">
        <f>E29-G36</f>
        <v/>
      </c>
      <c r="H37" s="182">
        <f>G37-H36</f>
        <v/>
      </c>
      <c r="I37" s="182">
        <f>H37-I36</f>
        <v/>
      </c>
      <c r="J37" s="182">
        <f>I37-J36</f>
        <v/>
      </c>
      <c r="K37" s="182">
        <f>J37-K36</f>
        <v/>
      </c>
      <c r="L37" s="182">
        <f>K37-L36</f>
        <v/>
      </c>
      <c r="M37" s="182">
        <f>L37-M36</f>
        <v/>
      </c>
      <c r="N37" s="182">
        <f>M37-N36</f>
        <v/>
      </c>
      <c r="O37" s="182">
        <f>N37-O36</f>
        <v/>
      </c>
      <c r="P37" s="182">
        <f>O37-P36</f>
        <v/>
      </c>
      <c r="Q37" s="182">
        <f>P37-Q36</f>
        <v/>
      </c>
      <c r="R37" s="182">
        <f>Q37-R36</f>
        <v/>
      </c>
      <c r="S37" s="182" t="n"/>
    </row>
    <row r="38" ht="12.75" customHeight="1" s="131">
      <c r="A38" s="145" t="n"/>
      <c r="B38" s="137" t="inlineStr">
        <is>
          <t>Year Two</t>
        </is>
      </c>
      <c r="D38" s="145" t="n"/>
      <c r="E38" s="145" t="n"/>
      <c r="F38" s="145" t="n"/>
      <c r="G38" s="145" t="n"/>
      <c r="H38" s="145" t="n"/>
      <c r="I38" s="145" t="n"/>
      <c r="J38" s="145" t="n"/>
      <c r="K38" s="145" t="n"/>
      <c r="L38" s="145" t="n"/>
      <c r="M38" s="145" t="n"/>
      <c r="N38" s="145" t="n"/>
      <c r="O38" s="145" t="n"/>
      <c r="P38" s="145" t="n"/>
      <c r="Q38" s="145" t="n"/>
      <c r="R38" s="145" t="n"/>
      <c r="S38" s="145" t="n"/>
    </row>
    <row r="39" ht="12.75" customHeight="1" s="131">
      <c r="A39" s="145" t="n"/>
      <c r="C39" s="137" t="inlineStr">
        <is>
          <t>Interest</t>
        </is>
      </c>
      <c r="D39" s="145" t="n"/>
      <c r="E39" s="145" t="n"/>
      <c r="F39" s="145" t="n"/>
      <c r="G39" s="156">
        <f>ABS(IPMT($E$30/12,13,$E$31,$E$29))</f>
        <v/>
      </c>
      <c r="H39" s="156">
        <f>ABS(IPMT($E$30/12,14,$E$31,$E$29))</f>
        <v/>
      </c>
      <c r="I39" s="156">
        <f>ABS(IPMT($E$30/12,15,$E$31,$E$29))</f>
        <v/>
      </c>
      <c r="J39" s="156">
        <f>ABS(IPMT($E$30/12,16,$E$31,$E$29))</f>
        <v/>
      </c>
      <c r="K39" s="156">
        <f>ABS(IPMT($E$30/12,17,$E$31,$E$29))</f>
        <v/>
      </c>
      <c r="L39" s="156">
        <f>ABS(IPMT($E$30/12,18,$E$31,$E$29))</f>
        <v/>
      </c>
      <c r="M39" s="156">
        <f>ABS(IPMT($E$30/12,19,$E$31,$E$29))</f>
        <v/>
      </c>
      <c r="N39" s="156">
        <f>ABS(IPMT($E$30/12,20,$E$31,$E$29))</f>
        <v/>
      </c>
      <c r="O39" s="156">
        <f>ABS(IPMT($E$30/12,21,$E$31,$E$29))</f>
        <v/>
      </c>
      <c r="P39" s="156">
        <f>ABS(IPMT($E$30/12,22,$E$31,$E$29))</f>
        <v/>
      </c>
      <c r="Q39" s="156">
        <f>ABS(IPMT($E$30/12,23,$E$31,$E$29))</f>
        <v/>
      </c>
      <c r="R39" s="156">
        <f>ABS(IPMT($E$30/12,24,$E$31,$E$29))</f>
        <v/>
      </c>
      <c r="S39" s="156">
        <f>SUM(G39:R39)</f>
        <v/>
      </c>
    </row>
    <row r="40" ht="12.75" customHeight="1" s="131">
      <c r="A40" s="145" t="n"/>
      <c r="C40" s="137" t="inlineStr">
        <is>
          <t>Principal</t>
        </is>
      </c>
      <c r="D40" s="145" t="n"/>
      <c r="E40" s="145" t="n"/>
      <c r="F40" s="145" t="n"/>
      <c r="G40" s="156">
        <f>ABS(PPMT($E$30/12,13,$E$31,$E$29))</f>
        <v/>
      </c>
      <c r="H40" s="156">
        <f>ABS(PPMT($E$30/12,14,$E$31,$E$29))</f>
        <v/>
      </c>
      <c r="I40" s="156">
        <f>ABS(PPMT($E$30/12,15,$E$31,$E$29))</f>
        <v/>
      </c>
      <c r="J40" s="156">
        <f>ABS(PPMT($E$30/12,16,$E$31,$E$29))</f>
        <v/>
      </c>
      <c r="K40" s="156">
        <f>ABS(PPMT($E$30/12,17,$E$31,$E$29))</f>
        <v/>
      </c>
      <c r="L40" s="156">
        <f>ABS(PPMT($E$30/12,18,$E$31,$E$29))</f>
        <v/>
      </c>
      <c r="M40" s="156">
        <f>ABS(PPMT($E$30/12,19,$E$31,$E$29))</f>
        <v/>
      </c>
      <c r="N40" s="156">
        <f>ABS(PPMT($E$30/12,20,$E$31,$E$29))</f>
        <v/>
      </c>
      <c r="O40" s="156">
        <f>ABS(PPMT($E$30/12,21,$E$31,$E$29))</f>
        <v/>
      </c>
      <c r="P40" s="156">
        <f>ABS(PPMT($E$30/12,22,$E$31,$E$29))</f>
        <v/>
      </c>
      <c r="Q40" s="156">
        <f>ABS(PPMT($E$30/12,23,$E$31,$E$29))</f>
        <v/>
      </c>
      <c r="R40" s="156">
        <f>ABS(PPMT($E$30/12,24,$E$31,$E$29))</f>
        <v/>
      </c>
      <c r="S40" s="156">
        <f>SUM(G40:R40)</f>
        <v/>
      </c>
    </row>
    <row r="41" ht="12.75" customHeight="1" s="131">
      <c r="A41" s="145" t="n"/>
      <c r="C41" s="137" t="inlineStr">
        <is>
          <t>Loan Balance</t>
        </is>
      </c>
      <c r="D41" s="145" t="n"/>
      <c r="E41" s="145" t="n"/>
      <c r="F41" s="145" t="n"/>
      <c r="G41" s="182">
        <f>R37-G40</f>
        <v/>
      </c>
      <c r="H41" s="229">
        <f>G41-H40</f>
        <v/>
      </c>
      <c r="I41" s="229">
        <f>H41-I40</f>
        <v/>
      </c>
      <c r="J41" s="229">
        <f>I41-J40</f>
        <v/>
      </c>
      <c r="K41" s="229">
        <f>J41-K40</f>
        <v/>
      </c>
      <c r="L41" s="229">
        <f>K41-L40</f>
        <v/>
      </c>
      <c r="M41" s="229">
        <f>L41-M40</f>
        <v/>
      </c>
      <c r="N41" s="229">
        <f>M41-N40</f>
        <v/>
      </c>
      <c r="O41" s="229">
        <f>N41-O40</f>
        <v/>
      </c>
      <c r="P41" s="229">
        <f>O41-P40</f>
        <v/>
      </c>
      <c r="Q41" s="229">
        <f>P41-Q40</f>
        <v/>
      </c>
      <c r="R41" s="229">
        <f>Q41-R40</f>
        <v/>
      </c>
      <c r="S41" s="145" t="n"/>
    </row>
    <row r="42" ht="12.75" customHeight="1" s="131">
      <c r="A42" s="145" t="n"/>
      <c r="B42" s="137" t="inlineStr">
        <is>
          <t>Year Three</t>
        </is>
      </c>
      <c r="D42" s="145" t="n"/>
      <c r="E42" s="145" t="n"/>
      <c r="F42" s="145" t="n"/>
      <c r="G42" s="145" t="n"/>
      <c r="H42" s="145" t="n"/>
      <c r="I42" s="145" t="n"/>
      <c r="J42" s="145" t="n"/>
      <c r="K42" s="145" t="n"/>
      <c r="L42" s="145" t="n"/>
      <c r="M42" s="145" t="n"/>
      <c r="N42" s="145" t="n"/>
      <c r="O42" s="145" t="n"/>
      <c r="P42" s="145" t="n"/>
      <c r="Q42" s="145" t="n"/>
      <c r="R42" s="145" t="n"/>
      <c r="S42" s="145" t="n"/>
    </row>
    <row r="43" ht="12.75" customHeight="1" s="131">
      <c r="A43" s="145" t="n"/>
      <c r="C43" s="137" t="inlineStr">
        <is>
          <t>Interest</t>
        </is>
      </c>
      <c r="D43" s="145" t="n"/>
      <c r="E43" s="145" t="n"/>
      <c r="F43" s="145" t="n"/>
      <c r="G43" s="156">
        <f>ABS(IPMT($E$30/12,25,$E$31,$E$29))</f>
        <v/>
      </c>
      <c r="H43" s="156">
        <f>ABS(IPMT($E$30/12,26,$E$31,$E$29))</f>
        <v/>
      </c>
      <c r="I43" s="156">
        <f>ABS(IPMT($E$30/12,27,$E$31,$E$29))</f>
        <v/>
      </c>
      <c r="J43" s="156">
        <f>ABS(IPMT($E$30/12,28,$E$31,$E$29))</f>
        <v/>
      </c>
      <c r="K43" s="156">
        <f>ABS(IPMT($E$30/12,29,$E$31,$E$29))</f>
        <v/>
      </c>
      <c r="L43" s="156">
        <f>ABS(IPMT($E$30/12,30,$E$31,$E$29))</f>
        <v/>
      </c>
      <c r="M43" s="156">
        <f>ABS(IPMT($E$30/12,31,$E$31,$E$29))</f>
        <v/>
      </c>
      <c r="N43" s="156">
        <f>ABS(IPMT($E$30/12,32,$E$31,$E$29))</f>
        <v/>
      </c>
      <c r="O43" s="156">
        <f>ABS(IPMT($E$30/12,33,$E$31,$E$29))</f>
        <v/>
      </c>
      <c r="P43" s="156">
        <f>ABS(IPMT($E$30/12,34,$E$31,$E$29))</f>
        <v/>
      </c>
      <c r="Q43" s="156">
        <f>ABS(IPMT($E$30/12,35,$E$31,$E$29))</f>
        <v/>
      </c>
      <c r="R43" s="156">
        <f>ABS(IPMT($E$30/12,36,$E$31,$E$29))</f>
        <v/>
      </c>
      <c r="S43" s="156">
        <f>SUM(G43:R43)</f>
        <v/>
      </c>
    </row>
    <row r="44" ht="12.75" customHeight="1" s="131">
      <c r="A44" s="145" t="n"/>
      <c r="C44" s="137" t="inlineStr">
        <is>
          <t>Principal</t>
        </is>
      </c>
      <c r="D44" s="145" t="n"/>
      <c r="E44" s="145" t="n"/>
      <c r="F44" s="145" t="n"/>
      <c r="G44" s="156">
        <f>ABS(PPMT($E$30/12,25,$E$31,$E$29))</f>
        <v/>
      </c>
      <c r="H44" s="156">
        <f>ABS(PPMT($E$30/12,26,$E$31,$E$29))</f>
        <v/>
      </c>
      <c r="I44" s="156">
        <f>ABS(PPMT($E$30/12,27,$E$31,$E$29))</f>
        <v/>
      </c>
      <c r="J44" s="156">
        <f>ABS(PPMT($E$30/12,28,$E$31,$E$29))</f>
        <v/>
      </c>
      <c r="K44" s="156">
        <f>ABS(PPMT($E$30/12,29,$E$31,$E$29))</f>
        <v/>
      </c>
      <c r="L44" s="156">
        <f>ABS(PPMT($E$30/12,30,$E$31,$E$29))</f>
        <v/>
      </c>
      <c r="M44" s="156">
        <f>ABS(PPMT($E$30/12,31,$E$31,$E$29))</f>
        <v/>
      </c>
      <c r="N44" s="156">
        <f>ABS(PPMT($E$30/12,32,$E$31,$E$29))</f>
        <v/>
      </c>
      <c r="O44" s="156">
        <f>ABS(PPMT($E$30/12,33,$E$31,$E$29))</f>
        <v/>
      </c>
      <c r="P44" s="156">
        <f>ABS(PPMT($E$30/12,34,$E$31,$E$29))</f>
        <v/>
      </c>
      <c r="Q44" s="156">
        <f>ABS(PPMT($E$30/12,35,$E$31,$E$29))</f>
        <v/>
      </c>
      <c r="R44" s="156">
        <f>ABS(PPMT($E$30/12,36,$E$31,$E$29))</f>
        <v/>
      </c>
      <c r="S44" s="156">
        <f>SUM(G44:R44)</f>
        <v/>
      </c>
    </row>
    <row r="45" ht="12.75" customHeight="1" s="131">
      <c r="A45" s="145" t="n"/>
      <c r="C45" s="137" t="inlineStr">
        <is>
          <t>Loan Balance</t>
        </is>
      </c>
      <c r="D45" s="145" t="n"/>
      <c r="E45" s="145" t="n"/>
      <c r="F45" s="145" t="n"/>
      <c r="G45" s="182">
        <f>R41-G44</f>
        <v/>
      </c>
      <c r="H45" s="182">
        <f>G45-H44</f>
        <v/>
      </c>
      <c r="I45" s="182">
        <f>H45-I44</f>
        <v/>
      </c>
      <c r="J45" s="182">
        <f>I45-J44</f>
        <v/>
      </c>
      <c r="K45" s="182">
        <f>J45-K44</f>
        <v/>
      </c>
      <c r="L45" s="182">
        <f>K45-L44</f>
        <v/>
      </c>
      <c r="M45" s="182">
        <f>L45-M44</f>
        <v/>
      </c>
      <c r="N45" s="182">
        <f>M45-N44</f>
        <v/>
      </c>
      <c r="O45" s="182">
        <f>N45-O44</f>
        <v/>
      </c>
      <c r="P45" s="182">
        <f>O45-P44</f>
        <v/>
      </c>
      <c r="Q45" s="182">
        <f>P45-Q44</f>
        <v/>
      </c>
      <c r="R45" s="182">
        <f>Q45-R44</f>
        <v/>
      </c>
      <c r="S45" s="145" t="n"/>
    </row>
    <row r="46" ht="12.75" customHeight="1" s="131">
      <c r="A46" s="145" t="n"/>
      <c r="D46" s="145" t="n"/>
      <c r="E46" s="145" t="n"/>
      <c r="F46" s="145" t="n"/>
      <c r="G46" s="145" t="n"/>
      <c r="H46" s="145" t="n"/>
      <c r="I46" s="145" t="n"/>
      <c r="J46" s="145" t="n"/>
      <c r="K46" s="145" t="n"/>
      <c r="L46" s="145" t="n"/>
      <c r="M46" s="145" t="n"/>
      <c r="N46" s="145" t="n"/>
      <c r="O46" s="145" t="n"/>
      <c r="P46" s="145" t="n"/>
      <c r="Q46" s="145" t="n"/>
      <c r="R46" s="145" t="n"/>
      <c r="S46" s="145" t="n"/>
    </row>
    <row r="47" ht="12.75" customHeight="1" s="131">
      <c r="A47" s="145" t="n"/>
      <c r="D47" s="145" t="n"/>
      <c r="E47" s="145" t="n"/>
      <c r="F47" s="145" t="n"/>
      <c r="G47" s="145" t="n"/>
      <c r="H47" s="145" t="n"/>
      <c r="I47" s="145" t="n"/>
      <c r="J47" s="145" t="n"/>
      <c r="K47" s="145" t="n"/>
      <c r="L47" s="145" t="n"/>
      <c r="M47" s="145" t="n"/>
      <c r="N47" s="145" t="n"/>
      <c r="O47" s="145" t="n"/>
      <c r="P47" s="145" t="n"/>
      <c r="Q47" s="145" t="n"/>
      <c r="R47" s="145" t="n"/>
      <c r="S47" s="145" t="n"/>
    </row>
    <row r="48" ht="12.75" customHeight="1" s="131">
      <c r="A48" s="145" t="n"/>
      <c r="D48" s="145" t="n"/>
      <c r="E48" s="145" t="n"/>
      <c r="F48" s="145" t="n"/>
      <c r="G48" s="145" t="n"/>
      <c r="H48" s="145" t="n"/>
      <c r="I48" s="145" t="n"/>
      <c r="J48" s="145" t="n"/>
      <c r="K48" s="145" t="n"/>
      <c r="L48" s="145" t="n"/>
      <c r="M48" s="145" t="n"/>
      <c r="N48" s="145" t="n"/>
      <c r="O48" s="145" t="n"/>
      <c r="P48" s="145" t="n"/>
      <c r="Q48" s="145" t="n"/>
      <c r="R48" s="145" t="n"/>
      <c r="S48" s="145" t="n"/>
    </row>
    <row r="49" ht="12.75" customHeight="1" s="131">
      <c r="A49" s="145" t="n"/>
      <c r="D49" s="145" t="n"/>
      <c r="E49" s="145" t="n"/>
      <c r="F49" s="145" t="n"/>
      <c r="G49" s="145" t="n"/>
      <c r="H49" s="145" t="n"/>
      <c r="I49" s="145" t="n"/>
      <c r="J49" s="145" t="n"/>
      <c r="K49" s="145" t="n"/>
      <c r="L49" s="145" t="n"/>
      <c r="M49" s="145" t="n"/>
      <c r="N49" s="145" t="n"/>
      <c r="O49" s="145" t="n"/>
      <c r="P49" s="145" t="n"/>
      <c r="Q49" s="145" t="n"/>
      <c r="R49" s="145" t="n"/>
      <c r="S49" s="145" t="n"/>
    </row>
    <row r="50" ht="12.75" customHeight="1" s="131">
      <c r="A50" s="145" t="n"/>
      <c r="D50" s="145" t="n"/>
      <c r="E50" s="145" t="n"/>
      <c r="F50" s="145" t="n"/>
      <c r="G50" s="145" t="n"/>
      <c r="H50" s="145" t="n"/>
      <c r="I50" s="145" t="n"/>
      <c r="J50" s="145" t="n"/>
      <c r="K50" s="145" t="n"/>
      <c r="L50" s="145" t="n"/>
      <c r="M50" s="145" t="n"/>
      <c r="N50" s="145" t="n"/>
      <c r="O50" s="145" t="n"/>
      <c r="P50" s="145" t="n"/>
      <c r="Q50" s="145" t="n"/>
      <c r="R50" s="145" t="n"/>
      <c r="S50" s="145" t="n"/>
    </row>
    <row r="51" ht="12.75" customHeight="1" s="131">
      <c r="A51" s="167" t="n"/>
      <c r="B51" s="168" t="n"/>
      <c r="C51" s="168" t="n"/>
      <c r="D51" s="167" t="n"/>
      <c r="E51" s="167" t="n"/>
      <c r="F51" s="167" t="n"/>
      <c r="G51" s="167" t="n"/>
      <c r="H51" s="167" t="n"/>
      <c r="I51" s="167" t="n"/>
      <c r="J51" s="167" t="n"/>
      <c r="K51" s="167" t="n"/>
      <c r="L51" s="167" t="n"/>
      <c r="M51" s="167" t="n"/>
      <c r="N51" s="167" t="n"/>
      <c r="O51" s="167" t="n"/>
      <c r="P51" s="167" t="n"/>
      <c r="Q51" s="167" t="n"/>
      <c r="R51" s="167" t="n"/>
      <c r="S51" s="167" t="n"/>
    </row>
    <row r="52" ht="12.75" customHeight="1" s="131">
      <c r="A52" s="167" t="n"/>
      <c r="B52" s="168" t="n"/>
      <c r="C52" s="168" t="n"/>
      <c r="D52" s="167" t="n"/>
      <c r="E52" s="167" t="n"/>
      <c r="F52" s="167" t="n"/>
      <c r="G52" s="167" t="n"/>
      <c r="H52" s="167" t="n"/>
      <c r="I52" s="167" t="n"/>
      <c r="J52" s="167" t="n"/>
      <c r="K52" s="167" t="n"/>
      <c r="L52" s="167" t="n"/>
      <c r="M52" s="167" t="n"/>
      <c r="N52" s="167" t="n"/>
      <c r="O52" s="167" t="n"/>
      <c r="P52" s="167" t="n"/>
      <c r="Q52" s="167" t="n"/>
      <c r="R52" s="167" t="n"/>
      <c r="S52" s="167" t="n"/>
    </row>
    <row r="53" ht="12.75" customHeight="1" s="131">
      <c r="A53" s="167" t="n"/>
      <c r="B53" s="168" t="n"/>
      <c r="C53" s="168" t="n"/>
      <c r="D53" s="167" t="n"/>
      <c r="E53" s="167" t="n"/>
      <c r="F53" s="167" t="n"/>
      <c r="G53" s="167" t="n"/>
      <c r="H53" s="167" t="n"/>
      <c r="I53" s="167" t="n"/>
      <c r="J53" s="167" t="n"/>
      <c r="K53" s="167" t="n"/>
      <c r="L53" s="167" t="n"/>
      <c r="M53" s="167" t="n"/>
      <c r="N53" s="167" t="n"/>
      <c r="O53" s="167" t="n"/>
      <c r="P53" s="167" t="n"/>
      <c r="Q53" s="167" t="n"/>
      <c r="R53" s="167" t="n"/>
      <c r="S53" s="167" t="n"/>
    </row>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R60"/>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37" min="1" max="4"/>
    <col width="20.74" customWidth="1" style="130" min="5" max="5"/>
    <col width="15.73" customWidth="1" style="130" min="6" max="6"/>
    <col width="18.74" customWidth="1" style="130" min="7" max="7"/>
    <col width="8.720000000000001" customWidth="1" style="130" min="8" max="8"/>
    <col width="18.74" customWidth="1" style="130" min="9" max="11"/>
    <col width="5.71" customWidth="1" style="130" min="12" max="12"/>
  </cols>
  <sheetData>
    <row r="1" ht="15.75" customHeight="1" s="131">
      <c r="A1" s="142">
        <f>'1. Required Start-Up Funds'!A1</f>
        <v/>
      </c>
      <c r="Q1" s="143" t="n"/>
    </row>
    <row r="2" ht="15.75" customHeight="1" s="131">
      <c r="A2" s="142" t="inlineStr">
        <is>
          <t>Financial Diagnostics</t>
        </is>
      </c>
    </row>
    <row r="3" ht="12.75" customHeight="1" s="131">
      <c r="E3" s="137" t="n"/>
      <c r="F3" s="145" t="n"/>
      <c r="G3" s="145" t="n"/>
      <c r="H3" s="145" t="n"/>
      <c r="I3" s="145" t="n"/>
      <c r="J3" s="145" t="n"/>
      <c r="K3" s="145" t="n"/>
      <c r="L3" s="145" t="n"/>
      <c r="M3" s="145" t="n"/>
      <c r="N3" s="145" t="n"/>
      <c r="O3" s="145" t="n"/>
      <c r="P3" s="145" t="n"/>
      <c r="Q3" s="145" t="n"/>
    </row>
    <row r="4" ht="12.75" customHeight="1" s="131">
      <c r="E4" s="145" t="n"/>
      <c r="F4" s="145" t="n"/>
      <c r="G4" s="145" t="n"/>
      <c r="H4" s="145" t="n"/>
      <c r="I4" s="145" t="n"/>
      <c r="J4" s="145" t="n"/>
      <c r="K4" s="145" t="n"/>
      <c r="L4" s="145" t="n"/>
      <c r="M4" s="145" t="n"/>
      <c r="N4" s="145" t="n"/>
      <c r="O4" s="145" t="n"/>
      <c r="P4" s="145" t="n"/>
      <c r="Q4" s="145" t="n"/>
    </row>
    <row r="5" ht="12.75" customHeight="1" s="131">
      <c r="E5" s="145" t="n"/>
      <c r="F5" s="145" t="n"/>
      <c r="G5" s="145" t="n"/>
      <c r="H5" s="145" t="n"/>
      <c r="I5" s="145" t="n"/>
      <c r="J5" s="145" t="n"/>
      <c r="K5" s="145" t="n"/>
      <c r="L5" s="145" t="n"/>
      <c r="M5" s="145" t="n"/>
      <c r="N5" s="145" t="n"/>
      <c r="O5" s="145" t="n"/>
      <c r="P5" s="145" t="n"/>
      <c r="Q5" s="145" t="n"/>
    </row>
    <row r="6" ht="12.75" customHeight="1" s="131">
      <c r="A6" s="137" t="inlineStr">
        <is>
          <t>This sheet performs a few tests on your numbers to see if they seem within certain reasonable ranges.</t>
        </is>
      </c>
      <c r="E6" s="145" t="n"/>
      <c r="F6" s="145" t="n"/>
      <c r="G6" s="145" t="n"/>
      <c r="H6" s="145" t="n"/>
      <c r="I6" s="145" t="n"/>
      <c r="J6" s="145" t="n"/>
      <c r="K6" s="145" t="n"/>
      <c r="L6" s="145" t="n"/>
      <c r="M6" s="145" t="n"/>
      <c r="N6" s="145" t="n"/>
      <c r="O6" s="145" t="n"/>
      <c r="P6" s="145" t="n"/>
      <c r="Q6" s="145" t="n"/>
    </row>
    <row r="7" ht="12.75" customHeight="1" s="131">
      <c r="A7" s="137" t="inlineStr">
        <is>
          <t>Remember, no computer can tell whether your projections are truly well-constructed, only a human can do that.</t>
        </is>
      </c>
      <c r="E7" s="145" t="n"/>
      <c r="F7" s="145" t="n"/>
      <c r="G7" s="145" t="n"/>
      <c r="H7" s="145" t="n"/>
      <c r="I7" s="145" t="n"/>
      <c r="J7" s="145" t="n"/>
      <c r="K7" s="145" t="n"/>
      <c r="L7" s="145" t="n"/>
      <c r="M7" s="145" t="n"/>
      <c r="N7" s="145" t="n"/>
      <c r="O7" s="145" t="n"/>
      <c r="P7" s="145" t="n"/>
      <c r="Q7" s="145" t="n"/>
    </row>
    <row r="8" ht="12.75" customHeight="1" s="131">
      <c r="A8" s="137" t="inlineStr">
        <is>
          <t>But these tests can at least look for values that are critically out of range.</t>
        </is>
      </c>
      <c r="E8" s="145" t="n"/>
      <c r="F8" s="145" t="n"/>
      <c r="G8" s="145" t="n"/>
      <c r="H8" s="145" t="n"/>
      <c r="I8" s="145" t="n"/>
      <c r="J8" s="145" t="n"/>
      <c r="K8" s="145" t="n"/>
      <c r="L8" s="145" t="n"/>
      <c r="M8" s="145" t="n"/>
      <c r="N8" s="145" t="n"/>
      <c r="O8" s="145" t="n"/>
      <c r="P8" s="145" t="n"/>
      <c r="Q8" s="145" t="n"/>
    </row>
    <row r="9" ht="12.75" customHeight="1" s="131">
      <c r="E9" s="145" t="n"/>
      <c r="F9" s="145" t="n"/>
      <c r="G9" s="145" t="n"/>
      <c r="H9" s="145" t="n"/>
      <c r="I9" s="145" t="n"/>
      <c r="J9" s="145" t="n"/>
      <c r="K9" s="145" t="n"/>
      <c r="L9" s="145" t="n"/>
      <c r="M9" s="145" t="n"/>
      <c r="N9" s="145" t="n"/>
      <c r="O9" s="145" t="n"/>
      <c r="P9" s="145" t="n"/>
      <c r="Q9" s="145" t="n"/>
    </row>
    <row r="10" ht="12.75" customHeight="1" s="131">
      <c r="E10" s="145" t="n"/>
      <c r="F10" s="145" t="n"/>
      <c r="G10" s="145" t="n"/>
      <c r="H10" s="145" t="n"/>
      <c r="I10" s="145" t="n"/>
      <c r="J10" s="145" t="n"/>
      <c r="K10" s="145" t="n"/>
      <c r="L10" s="145" t="n"/>
      <c r="M10" s="145" t="n"/>
      <c r="N10" s="145" t="n"/>
      <c r="O10" s="145" t="n"/>
      <c r="P10" s="145" t="n"/>
      <c r="Q10" s="145" t="n"/>
    </row>
    <row r="11" ht="12.75" customHeight="1" s="131">
      <c r="A11" s="137" t="inlineStr">
        <is>
          <t>Financial Diagnostics</t>
        </is>
      </c>
      <c r="B11" s="137" t="n"/>
      <c r="C11" s="137" t="n"/>
      <c r="D11" s="137" t="n"/>
      <c r="E11" s="145" t="n"/>
      <c r="F11" s="140" t="n"/>
      <c r="G11" s="140" t="inlineStr">
        <is>
          <t>Value</t>
        </is>
      </c>
      <c r="H11" s="140" t="n"/>
      <c r="I11" s="147" t="inlineStr">
        <is>
          <t>Findings</t>
        </is>
      </c>
      <c r="J11" s="140" t="n"/>
      <c r="K11" s="140" t="n"/>
      <c r="L11" s="145" t="n"/>
      <c r="M11" s="140" t="n"/>
      <c r="N11" s="145" t="n"/>
      <c r="O11" s="145" t="n"/>
      <c r="P11" s="145" t="n"/>
      <c r="Q11" s="145" t="n"/>
      <c r="R11" s="130" t="n"/>
    </row>
    <row r="12" ht="12.75" customHeight="1" s="131">
      <c r="A12" s="137" t="n"/>
      <c r="B12" s="137" t="inlineStr">
        <is>
          <t>General Financing Assumptions</t>
        </is>
      </c>
      <c r="C12" s="137" t="n"/>
      <c r="D12" s="137" t="n"/>
      <c r="E12" s="145" t="n"/>
      <c r="F12" s="145" t="n"/>
      <c r="G12" s="149" t="n"/>
      <c r="H12" s="145" t="n"/>
      <c r="I12" s="159" t="n"/>
      <c r="J12" s="145" t="n"/>
      <c r="K12" s="145" t="n"/>
      <c r="L12" s="145" t="n"/>
      <c r="M12" s="145" t="n"/>
      <c r="N12" s="145" t="n"/>
      <c r="O12" s="145" t="n"/>
      <c r="P12" s="145" t="n"/>
      <c r="Q12" s="145" t="n"/>
      <c r="R12" s="130" t="n"/>
    </row>
    <row r="13" ht="12.75" customHeight="1" s="131">
      <c r="A13" s="137" t="n"/>
      <c r="C13" s="137" t="inlineStr">
        <is>
          <t>Owner's Cash Injection into the Business</t>
        </is>
      </c>
      <c r="D13" s="137" t="n"/>
      <c r="E13" s="145" t="n"/>
      <c r="F13" s="145" t="n"/>
      <c r="G13" s="159">
        <f>IF('1. Required Start-Up Funds'!G42=0,0,'1. Required Start-Up Funds'!G37/'1. Required Start-Up Funds'!G42)</f>
        <v/>
      </c>
      <c r="H13" s="145" t="n"/>
      <c r="I13" s="230">
        <f>IF(G13&gt;0.2,"Owner's injection is reasonable","Owner's injection might be too low in relation to the amount of money needed")</f>
        <v/>
      </c>
      <c r="J13" s="159" t="n"/>
      <c r="K13" s="159" t="n"/>
      <c r="L13" s="145" t="n"/>
      <c r="M13" s="145" t="n"/>
      <c r="N13" s="145" t="n"/>
      <c r="O13" s="145" t="n"/>
      <c r="P13" s="145" t="n"/>
      <c r="Q13" s="145" t="n"/>
      <c r="R13" s="130" t="n"/>
    </row>
    <row r="14" ht="12.75" customHeight="1" s="131">
      <c r="A14" s="137" t="n"/>
      <c r="B14" s="137" t="n"/>
      <c r="C14" s="137" t="inlineStr">
        <is>
          <t>Cash Request as percent of Total Required Funds</t>
        </is>
      </c>
      <c r="D14" s="137" t="n"/>
      <c r="E14" s="145" t="n"/>
      <c r="F14" s="145" t="n"/>
      <c r="G14" s="159">
        <f>IF('1. Required Start-Up Funds'!G31=0,0,'1. Required Start-Up Funds'!E28/'1. Required Start-Up Funds'!G31)</f>
        <v/>
      </c>
      <c r="H14" s="145" t="n"/>
      <c r="I14" s="230">
        <f>IF(G14&lt;0.2,"Cash request seems reasonable with respect to total request","Cash request exceeds 20% which might be high")</f>
        <v/>
      </c>
      <c r="J14" s="159" t="n"/>
      <c r="K14" s="159" t="n"/>
      <c r="L14" s="145" t="n"/>
      <c r="M14" s="145" t="n"/>
      <c r="N14" s="145" t="n"/>
      <c r="O14" s="145" t="n"/>
      <c r="P14" s="145" t="n"/>
      <c r="Q14" s="145" t="n"/>
      <c r="R14" s="130" t="n"/>
    </row>
    <row r="15" ht="12.75" customHeight="1" s="131">
      <c r="A15" s="137" t="n"/>
      <c r="G15" s="156" t="n"/>
      <c r="H15" s="145" t="n"/>
      <c r="I15" s="230" t="n"/>
      <c r="J15" s="159" t="n"/>
      <c r="K15" s="159" t="n"/>
      <c r="L15" s="145" t="n"/>
      <c r="M15" s="145" t="n"/>
      <c r="N15" s="145" t="n"/>
      <c r="O15" s="145" t="n"/>
      <c r="P15" s="145" t="n"/>
      <c r="Q15" s="145" t="n"/>
      <c r="R15" s="130" t="n"/>
    </row>
    <row r="16" ht="12.75" customHeight="1" s="131">
      <c r="A16" s="137" t="n"/>
      <c r="B16" s="137" t="inlineStr">
        <is>
          <t>Loan Assumptions</t>
        </is>
      </c>
      <c r="C16" s="137" t="n"/>
      <c r="D16" s="137" t="n"/>
      <c r="E16" s="145" t="n"/>
      <c r="F16" s="145" t="n"/>
      <c r="G16" s="156" t="n"/>
      <c r="H16" s="145" t="n"/>
      <c r="I16" s="230" t="n"/>
      <c r="J16" s="159" t="n"/>
      <c r="K16" s="159" t="n"/>
      <c r="L16" s="145" t="n"/>
      <c r="M16" s="145" t="n"/>
      <c r="N16" s="145" t="n"/>
      <c r="O16" s="145" t="n"/>
      <c r="P16" s="145" t="n"/>
      <c r="Q16" s="145" t="n"/>
      <c r="R16" s="130" t="n"/>
    </row>
    <row r="17" ht="12.75" customHeight="1" s="131">
      <c r="A17" s="137" t="n"/>
      <c r="B17" s="137" t="n"/>
      <c r="C17" s="137" t="inlineStr">
        <is>
          <t>Commercial Loan Interest rate</t>
        </is>
      </c>
      <c r="D17" s="137" t="n"/>
      <c r="E17" s="145" t="n"/>
      <c r="F17" s="145" t="n"/>
      <c r="G17" s="159">
        <f>'1. Required Start-Up Funds'!H40</f>
        <v/>
      </c>
      <c r="H17" s="145" t="n"/>
      <c r="I17" s="145">
        <f>IF(G17&lt;0.06,"Interest rate may be too low for the type of loan requested","Interest rate seems reasonable")</f>
        <v/>
      </c>
      <c r="J17" s="145" t="n"/>
      <c r="K17" s="145" t="n"/>
      <c r="L17" s="145" t="n"/>
      <c r="M17" s="145" t="n"/>
      <c r="N17" s="145" t="n"/>
      <c r="O17" s="145" t="n"/>
      <c r="P17" s="145" t="n"/>
      <c r="Q17" s="145" t="n"/>
      <c r="R17" s="130" t="n"/>
    </row>
    <row r="18" ht="12.75" customHeight="1" s="131">
      <c r="A18" s="137" t="n"/>
      <c r="B18" s="137" t="n"/>
      <c r="C18" s="137" t="inlineStr">
        <is>
          <t>Commercial Loan Term in Months</t>
        </is>
      </c>
      <c r="D18" s="137" t="n"/>
      <c r="E18" s="145" t="n"/>
      <c r="F18" s="145" t="n"/>
      <c r="G18" s="221">
        <f>'1. Required Start-Up Funds'!I40</f>
        <v/>
      </c>
      <c r="H18" s="145" t="n"/>
      <c r="I18" s="145">
        <f>IF(G18&gt;120,"Loan term may be too high for this type of loan","Loan term seems within range for this type of loan")</f>
        <v/>
      </c>
      <c r="J18" s="145" t="n"/>
      <c r="K18" s="145" t="n"/>
      <c r="L18" s="145" t="n"/>
      <c r="M18" s="145" t="n"/>
      <c r="N18" s="145" t="n"/>
      <c r="O18" s="145" t="n"/>
      <c r="P18" s="145" t="n"/>
      <c r="Q18" s="145" t="n"/>
      <c r="R18" s="130" t="n"/>
    </row>
    <row r="19" ht="12.75" customHeight="1" s="131">
      <c r="A19" s="137" t="n"/>
      <c r="B19" s="137" t="n"/>
      <c r="D19" s="137" t="n"/>
      <c r="E19" s="130" t="n"/>
      <c r="F19" s="130" t="n"/>
      <c r="G19" s="130" t="n"/>
      <c r="H19" s="149" t="n"/>
      <c r="I19" s="231" t="n"/>
      <c r="J19" s="156" t="n"/>
      <c r="K19" s="156" t="n"/>
      <c r="L19" s="145" t="n"/>
      <c r="M19" s="145" t="n"/>
      <c r="N19" s="145" t="n"/>
      <c r="O19" s="145" t="n"/>
      <c r="P19" s="145" t="n"/>
      <c r="Q19" s="145" t="n"/>
      <c r="R19" s="130" t="n"/>
    </row>
    <row r="20" ht="12.75" customHeight="1" s="131">
      <c r="A20" s="137" t="n"/>
      <c r="B20" s="137" t="n"/>
      <c r="C20" s="137" t="inlineStr">
        <is>
          <t>Commercial Mortgage Interest rate</t>
        </is>
      </c>
      <c r="D20" s="137" t="n"/>
      <c r="E20" s="130" t="n"/>
      <c r="F20" s="130" t="n"/>
      <c r="G20" s="159">
        <f>'1. Required Start-Up Funds'!H41</f>
        <v/>
      </c>
      <c r="H20" s="156" t="n"/>
      <c r="I20" s="231">
        <f>IF(G20&lt;0.06,"Interest rate may be too low for type of loan requested","Interest rate seems reasonable")</f>
        <v/>
      </c>
      <c r="J20" s="156" t="n"/>
      <c r="K20" s="156" t="n"/>
      <c r="L20" s="145" t="n"/>
      <c r="M20" s="145" t="n"/>
      <c r="N20" s="145" t="n"/>
      <c r="O20" s="145" t="n"/>
      <c r="P20" s="145" t="n"/>
      <c r="Q20" s="145" t="n"/>
      <c r="R20" s="130" t="n"/>
    </row>
    <row r="21" ht="12.75" customHeight="1" s="131">
      <c r="A21" s="137" t="n"/>
      <c r="B21" s="137" t="n"/>
      <c r="C21" s="137" t="inlineStr">
        <is>
          <t>Commercial Mortgage Term in Months</t>
        </is>
      </c>
      <c r="D21" s="137" t="n"/>
      <c r="E21" s="145" t="n"/>
      <c r="F21" s="145" t="n"/>
      <c r="G21" s="232">
        <f>'1. Required Start-Up Funds'!I41</f>
        <v/>
      </c>
      <c r="H21" s="156" t="n"/>
      <c r="I21" s="233">
        <f>IF(G21&gt;240,"Loan term may be too high for this type of loan","Loan term seems within range for this type of loan")</f>
        <v/>
      </c>
      <c r="J21" s="156" t="n"/>
      <c r="K21" s="156" t="n"/>
      <c r="L21" s="145" t="n"/>
      <c r="M21" s="145" t="n"/>
      <c r="N21" s="145" t="n"/>
      <c r="O21" s="145" t="n"/>
      <c r="P21" s="145" t="n"/>
      <c r="Q21" s="145" t="n"/>
      <c r="R21" s="130" t="n"/>
    </row>
    <row r="22" ht="12.75" customHeight="1" s="131">
      <c r="A22" s="137" t="n"/>
      <c r="B22" s="137" t="n"/>
      <c r="D22" s="137" t="n"/>
      <c r="E22" s="145" t="n"/>
      <c r="F22" s="145" t="n"/>
      <c r="G22" s="156" t="n"/>
      <c r="H22" s="156" t="n"/>
      <c r="I22" s="231" t="n"/>
      <c r="J22" s="156" t="n"/>
      <c r="K22" s="156" t="n"/>
      <c r="L22" s="145" t="n"/>
      <c r="M22" s="145" t="n"/>
      <c r="N22" s="145" t="n"/>
      <c r="O22" s="145" t="n"/>
      <c r="P22" s="145" t="n"/>
      <c r="Q22" s="145" t="n"/>
      <c r="R22" s="130" t="n"/>
    </row>
    <row r="23" ht="12.75" customHeight="1" s="131">
      <c r="A23" s="137" t="n"/>
      <c r="B23" s="137" t="n"/>
      <c r="C23" s="137" t="inlineStr">
        <is>
          <t>Loan Payments as a Percent of Projected Sales</t>
        </is>
      </c>
      <c r="D23" s="137" t="n"/>
      <c r="E23" s="145" t="n"/>
      <c r="F23" s="145" t="n"/>
      <c r="G23" s="159">
        <f>IF('8. Income Statement'!Q13=0,0,'1. Required Start-Up Funds'!J42/'8. Income Statement'!Q13)</f>
        <v/>
      </c>
      <c r="H23" s="156" t="n"/>
      <c r="I23" s="231">
        <f>IF(G23&gt;10,"Calculated loan payments as a percent of sales may be too high","Calculated loan payments as a percent of sales seem resonable")</f>
        <v/>
      </c>
      <c r="J23" s="156" t="n"/>
      <c r="K23" s="156" t="n"/>
      <c r="L23" s="145" t="n"/>
      <c r="M23" s="145" t="n"/>
      <c r="N23" s="145" t="n"/>
      <c r="O23" s="145" t="n"/>
      <c r="P23" s="145" t="n"/>
      <c r="Q23" s="145" t="n"/>
      <c r="R23" s="130" t="n"/>
    </row>
    <row r="24" ht="12.75" customHeight="1" s="131">
      <c r="A24" s="137" t="n"/>
      <c r="B24" s="137" t="n"/>
      <c r="C24" s="137" t="n"/>
      <c r="D24" s="137" t="n"/>
      <c r="E24" s="145" t="n"/>
      <c r="F24" s="145" t="n"/>
      <c r="G24" s="159" t="n"/>
      <c r="H24" s="156" t="n"/>
      <c r="I24" s="231" t="n"/>
      <c r="J24" s="156" t="n"/>
      <c r="K24" s="156" t="n"/>
      <c r="L24" s="145" t="n"/>
      <c r="M24" s="145" t="n"/>
      <c r="N24" s="145" t="n"/>
      <c r="O24" s="145" t="n"/>
      <c r="P24" s="145" t="n"/>
      <c r="Q24" s="145" t="n"/>
      <c r="R24" s="130" t="n"/>
    </row>
    <row r="25" ht="12.75" customHeight="1" s="131">
      <c r="A25" s="137" t="n"/>
      <c r="B25" s="137" t="inlineStr">
        <is>
          <t>Income Statement</t>
        </is>
      </c>
      <c r="C25" s="137" t="n"/>
      <c r="D25" s="137" t="n"/>
      <c r="E25" s="145" t="n"/>
      <c r="F25" s="145" t="n"/>
      <c r="G25" s="159" t="n"/>
      <c r="H25" s="156" t="n"/>
      <c r="I25" s="231" t="n"/>
      <c r="J25" s="156" t="n"/>
      <c r="K25" s="156" t="n"/>
      <c r="L25" s="145" t="n"/>
      <c r="M25" s="145" t="n"/>
      <c r="N25" s="145" t="n"/>
      <c r="O25" s="145" t="n"/>
      <c r="P25" s="145" t="n"/>
      <c r="Q25" s="145" t="n"/>
      <c r="R25" s="130" t="n"/>
    </row>
    <row r="26" ht="12.75" customHeight="1" s="131">
      <c r="A26" s="137" t="n"/>
      <c r="B26" s="137" t="n"/>
      <c r="C26" s="137" t="inlineStr">
        <is>
          <t>Gross Margin as a Percent of Sales</t>
        </is>
      </c>
      <c r="D26" s="137" t="n"/>
      <c r="E26" s="145" t="n"/>
      <c r="F26" s="145" t="n"/>
      <c r="G26" s="159">
        <f>'11. Year End Summary'!G22</f>
        <v/>
      </c>
      <c r="H26" s="156" t="n"/>
      <c r="I26" s="231">
        <f>IF(G26&lt;0.2,"Gross margin percentage seems very low","Gross margin percentage seems reasonable")</f>
        <v/>
      </c>
      <c r="J26" s="156" t="n"/>
      <c r="K26" s="156" t="n"/>
      <c r="L26" s="145" t="n"/>
      <c r="M26" s="145" t="n"/>
      <c r="N26" s="145" t="n"/>
      <c r="O26" s="145" t="n"/>
      <c r="P26" s="145" t="n"/>
      <c r="Q26" s="145" t="n"/>
      <c r="R26" s="130" t="n"/>
    </row>
    <row r="27" ht="12.75" customHeight="1" s="131">
      <c r="A27" s="137" t="n"/>
      <c r="B27" s="137" t="n"/>
      <c r="C27" s="137" t="inlineStr">
        <is>
          <t>Owner's Compensation Lower Limit Check</t>
        </is>
      </c>
      <c r="D27" s="137" t="n"/>
      <c r="E27" s="145" t="n"/>
      <c r="F27" s="145" t="n"/>
      <c r="G27" s="149">
        <f>'2. Salaries and Wages'!M11</f>
        <v/>
      </c>
      <c r="H27" s="156" t="n"/>
      <c r="I27" s="231">
        <f>IF(G27&gt;0,"An owner's compensation amount has been established","An owner's compensation amount has not been established")</f>
        <v/>
      </c>
      <c r="J27" s="156" t="n"/>
      <c r="K27" s="156" t="n"/>
      <c r="L27" s="145" t="n"/>
      <c r="M27" s="145" t="n"/>
      <c r="N27" s="145" t="n"/>
      <c r="O27" s="145" t="n"/>
      <c r="P27" s="145" t="n"/>
      <c r="Q27" s="145" t="n"/>
      <c r="R27" s="130" t="n"/>
    </row>
    <row r="28" ht="12.75" customHeight="1" s="131">
      <c r="A28" s="137" t="n"/>
      <c r="B28" s="137" t="n"/>
      <c r="C28" s="137" t="inlineStr">
        <is>
          <t>Owner's Compensation Upper Limit Check</t>
        </is>
      </c>
      <c r="D28" s="137" t="n"/>
      <c r="E28" s="145" t="n"/>
      <c r="F28" s="145" t="n"/>
      <c r="G28" s="159">
        <f>IF('8. Income Statement'!Q66=0,0,G27/'8. Income Statement'!Q66)</f>
        <v/>
      </c>
      <c r="H28" s="156" t="n"/>
      <c r="I28" s="231">
        <f>IF(G28&gt;1,"Owner's compensation may be too high relative to profitability of business","Owner's compensation seems reasonable")</f>
        <v/>
      </c>
      <c r="J28" s="156" t="n"/>
      <c r="K28" s="156" t="n"/>
      <c r="L28" s="145" t="n"/>
      <c r="M28" s="145" t="n"/>
      <c r="N28" s="145" t="n"/>
      <c r="O28" s="145" t="n"/>
      <c r="P28" s="145" t="n"/>
      <c r="Q28" s="145" t="n"/>
      <c r="R28" s="130" t="n"/>
    </row>
    <row r="29" ht="12.75" customHeight="1" s="131">
      <c r="A29" s="137" t="n"/>
      <c r="B29" s="137" t="n"/>
      <c r="C29" s="137" t="inlineStr">
        <is>
          <t>Advertising Expense Levels as a Percent of Sales</t>
        </is>
      </c>
      <c r="D29" s="137" t="n"/>
      <c r="E29" s="145" t="n"/>
      <c r="F29" s="145" t="n"/>
      <c r="G29" s="159">
        <f>IF('8. Income Statement'!Q13=0,0,'8. Income Statement'!Q34/'8. Income Statement'!Q13)</f>
        <v/>
      </c>
      <c r="H29" s="156" t="n"/>
      <c r="I29" s="231">
        <f>IF(G29&lt;0.2,"Advertising as a percent of sales may be too low","Advertising as a percent of sales seems reasonable")</f>
        <v/>
      </c>
      <c r="J29" s="156" t="n"/>
      <c r="K29" s="156" t="n"/>
      <c r="L29" s="145" t="n"/>
      <c r="M29" s="145" t="n"/>
      <c r="N29" s="145" t="n"/>
      <c r="O29" s="145" t="n"/>
      <c r="P29" s="145" t="n"/>
      <c r="Q29" s="145" t="n"/>
      <c r="R29" s="130" t="n"/>
    </row>
    <row r="30" ht="12.75" customHeight="1" s="131">
      <c r="A30" s="137" t="n"/>
      <c r="B30" s="137" t="n"/>
      <c r="C30" s="137" t="inlineStr">
        <is>
          <t>Profitability Levels</t>
        </is>
      </c>
      <c r="D30" s="137" t="n"/>
      <c r="E30" s="145" t="n"/>
      <c r="F30" s="145" t="n"/>
      <c r="G30" s="149">
        <f>'8. Income Statement'!Q66</f>
        <v/>
      </c>
      <c r="H30" s="156" t="n"/>
      <c r="I30" s="231">
        <f>IF(G30&lt;0,"The business is not showing a profit","The business is showing a profit")</f>
        <v/>
      </c>
      <c r="J30" s="156" t="n"/>
      <c r="K30" s="156" t="n"/>
      <c r="L30" s="145" t="n"/>
      <c r="M30" s="145" t="n"/>
      <c r="N30" s="145" t="n"/>
      <c r="O30" s="145" t="n"/>
      <c r="P30" s="145" t="n"/>
      <c r="Q30" s="145" t="n"/>
      <c r="R30" s="130" t="n"/>
    </row>
    <row r="31" ht="12.75" customHeight="1" s="131">
      <c r="A31" s="137" t="n"/>
      <c r="B31" s="137" t="n"/>
      <c r="C31" s="137" t="inlineStr">
        <is>
          <t>Profitability as a Percent of Sales</t>
        </is>
      </c>
      <c r="D31" s="137" t="n"/>
      <c r="E31" s="145" t="n"/>
      <c r="F31" s="176" t="n"/>
      <c r="G31" s="159">
        <f>'11. Year End Summary'!G66</f>
        <v/>
      </c>
      <c r="H31" s="156" t="n"/>
      <c r="I31" s="231">
        <f>IF(G31&gt;0.2,"The projection may be too aggressive in stating profitability","The projection does not seem highly unreasonable")</f>
        <v/>
      </c>
      <c r="J31" s="156" t="n"/>
      <c r="K31" s="156" t="n"/>
      <c r="L31" s="145" t="n"/>
      <c r="M31" s="145" t="n"/>
      <c r="N31" s="145" t="n"/>
      <c r="O31" s="145" t="n"/>
      <c r="P31" s="145" t="n"/>
      <c r="Q31" s="145" t="n"/>
      <c r="R31" s="130" t="n"/>
    </row>
    <row r="32" ht="12.75" customHeight="1" s="131">
      <c r="A32" s="137" t="n"/>
      <c r="B32" s="137" t="n"/>
      <c r="C32" s="137" t="n"/>
      <c r="D32" s="137" t="n"/>
      <c r="E32" s="145" t="n"/>
      <c r="F32" s="176" t="n"/>
      <c r="G32" s="156" t="n"/>
      <c r="H32" s="156" t="n"/>
      <c r="I32" s="231" t="n"/>
      <c r="J32" s="156" t="n"/>
      <c r="K32" s="156" t="n"/>
      <c r="L32" s="145" t="n"/>
      <c r="M32" s="145" t="n"/>
      <c r="N32" s="145" t="n"/>
      <c r="O32" s="145" t="n"/>
      <c r="P32" s="145" t="n"/>
      <c r="Q32" s="145" t="n"/>
      <c r="R32" s="130" t="n"/>
    </row>
    <row r="33" ht="12.75" customHeight="1" s="131">
      <c r="A33" s="137" t="n"/>
      <c r="B33" s="137" t="inlineStr">
        <is>
          <t>Cash Flow Statement</t>
        </is>
      </c>
      <c r="C33" s="137" t="n"/>
      <c r="D33" s="137" t="n"/>
      <c r="E33" s="145" t="n"/>
      <c r="F33" s="178" t="n"/>
      <c r="G33" s="159" t="n"/>
      <c r="H33" s="156" t="n"/>
      <c r="I33" s="231" t="n"/>
      <c r="J33" s="156" t="n"/>
      <c r="K33" s="156" t="n"/>
      <c r="L33" s="145" t="n"/>
      <c r="M33" s="145" t="n"/>
      <c r="N33" s="145" t="n"/>
      <c r="O33" s="145" t="n"/>
      <c r="P33" s="145" t="n"/>
      <c r="Q33" s="145" t="n"/>
      <c r="R33" s="130" t="n"/>
    </row>
    <row r="34" ht="12.75" customHeight="1" s="131">
      <c r="A34" s="137" t="n"/>
      <c r="B34" s="137" t="n"/>
      <c r="C34" s="137" t="inlineStr">
        <is>
          <t>Desired Operating cash Flow Levels</t>
        </is>
      </c>
      <c r="D34" s="137" t="n"/>
      <c r="E34" s="145" t="n"/>
      <c r="F34" s="145" t="n"/>
      <c r="G34" s="149">
        <f>'9. Cash Flow Statement'!Q35</f>
        <v/>
      </c>
      <c r="H34" s="156" t="n"/>
      <c r="I34" s="231">
        <f>IF(G34&gt;0,"The financial projection does not provide the desired level of cash flow","The financial projection provides the desired level of cash flow")</f>
        <v/>
      </c>
      <c r="J34" s="156" t="n"/>
      <c r="K34" s="156" t="n"/>
      <c r="L34" s="145" t="n"/>
      <c r="M34" s="145" t="n"/>
      <c r="N34" s="145" t="n"/>
      <c r="O34" s="145" t="n"/>
      <c r="P34" s="145" t="n"/>
      <c r="Q34" s="145" t="n"/>
      <c r="R34" s="130" t="n"/>
    </row>
    <row r="35" ht="12.75" customHeight="1" s="131">
      <c r="A35" s="137" t="n"/>
      <c r="B35" s="137" t="n"/>
      <c r="C35" s="137" t="inlineStr">
        <is>
          <t>Line of Credit Drawdowns</t>
        </is>
      </c>
      <c r="D35" s="137" t="n"/>
      <c r="E35" s="145" t="n"/>
      <c r="F35" s="145" t="n"/>
      <c r="G35" s="149">
        <f>G34</f>
        <v/>
      </c>
      <c r="H35" s="156" t="n"/>
      <c r="I35" s="231">
        <f>IF(G35&gt;0,"The business will need at least this level of a line of credit","The business doesn't seem to require a line of credit")</f>
        <v/>
      </c>
      <c r="J35" s="156" t="n"/>
      <c r="K35" s="156" t="n"/>
      <c r="L35" s="145" t="n"/>
      <c r="M35" s="145" t="n"/>
      <c r="N35" s="145" t="n"/>
      <c r="O35" s="145" t="n"/>
      <c r="P35" s="145" t="n"/>
      <c r="Q35" s="145" t="n"/>
      <c r="R35" s="130" t="n"/>
    </row>
    <row r="36" ht="12.75" customHeight="1" s="131">
      <c r="A36" s="137" t="n"/>
      <c r="B36" s="137" t="n"/>
      <c r="C36" s="137" t="inlineStr">
        <is>
          <t>Accounts Receivable Ratio to Sales</t>
        </is>
      </c>
      <c r="D36" s="137" t="n"/>
      <c r="E36" s="145" t="n"/>
      <c r="F36" s="176" t="n"/>
      <c r="G36" s="159">
        <f>IF('8. Income Statement'!Q13=0,0,'10. Balance Sheet'!I11/'8. Income Statement'!Q13)</f>
        <v/>
      </c>
      <c r="H36" s="156" t="n"/>
      <c r="I36" s="231">
        <f>IF(G36&gt;0.3,"Accounts receivable amounts seem high","Accounts receivable amount as a percent of sales seems reasonable")</f>
        <v/>
      </c>
      <c r="J36" s="156" t="n"/>
      <c r="K36" s="156" t="n"/>
      <c r="L36" s="145" t="n"/>
      <c r="M36" s="145" t="n"/>
      <c r="N36" s="145" t="n"/>
      <c r="O36" s="145" t="n"/>
      <c r="P36" s="145" t="n"/>
      <c r="Q36" s="145" t="n"/>
      <c r="R36" s="130" t="n"/>
    </row>
    <row r="37" ht="12.75" customHeight="1" s="131">
      <c r="A37" s="137" t="n"/>
      <c r="B37" s="137" t="n"/>
      <c r="C37" s="137" t="n"/>
      <c r="D37" s="137" t="n"/>
      <c r="E37" s="145" t="n"/>
      <c r="F37" s="178" t="n"/>
      <c r="G37" s="156" t="n"/>
      <c r="H37" s="156" t="n"/>
      <c r="I37" s="231" t="n"/>
      <c r="J37" s="156" t="n"/>
      <c r="K37" s="156" t="n"/>
      <c r="L37" s="145" t="n"/>
      <c r="M37" s="145" t="n"/>
      <c r="N37" s="145" t="n"/>
      <c r="O37" s="145" t="n"/>
      <c r="P37" s="145" t="n"/>
      <c r="Q37" s="145" t="n"/>
      <c r="R37" s="130" t="n"/>
    </row>
    <row r="38" ht="12.75" customHeight="1" s="131">
      <c r="A38" s="137" t="n"/>
      <c r="B38" s="137" t="inlineStr">
        <is>
          <t>Balance Sheet</t>
        </is>
      </c>
      <c r="C38" s="137" t="n"/>
      <c r="D38" s="137" t="n"/>
      <c r="E38" s="145" t="n"/>
      <c r="F38" s="145" t="n"/>
      <c r="G38" s="156" t="n"/>
      <c r="H38" s="156" t="n"/>
      <c r="I38" s="231" t="n"/>
      <c r="J38" s="156" t="n"/>
      <c r="K38" s="156" t="n"/>
      <c r="L38" s="145" t="n"/>
      <c r="M38" s="145" t="n"/>
      <c r="N38" s="145" t="n"/>
      <c r="O38" s="145" t="n"/>
      <c r="P38" s="145" t="n"/>
      <c r="Q38" s="145" t="n"/>
      <c r="R38" s="130" t="n"/>
    </row>
    <row r="39" ht="12.75" customHeight="1" s="131">
      <c r="A39" s="137" t="n"/>
      <c r="B39" s="137" t="n"/>
      <c r="C39" s="137" t="inlineStr">
        <is>
          <t>Does the Base Period Balance Sheet Balance?</t>
        </is>
      </c>
      <c r="D39" s="137" t="n"/>
      <c r="E39" s="145" t="n"/>
      <c r="F39" s="145" t="n"/>
      <c r="G39" s="156">
        <f>'10. Balance Sheet'!F29-'10. Balance Sheet'!F47</f>
        <v/>
      </c>
      <c r="H39" s="156" t="n"/>
      <c r="I39" s="231">
        <f>IF(G39&lt;&gt;0,"The balance sheet is not in balance","The balance sheet does balance")</f>
        <v/>
      </c>
      <c r="J39" s="156" t="n"/>
      <c r="K39" s="156" t="n"/>
      <c r="L39" s="145" t="n"/>
      <c r="M39" s="145" t="n"/>
      <c r="N39" s="145" t="n"/>
      <c r="O39" s="145" t="n"/>
      <c r="P39" s="145" t="n"/>
      <c r="Q39" s="145" t="n"/>
      <c r="R39" s="130" t="n"/>
    </row>
    <row r="40" ht="12.75" customHeight="1" s="131">
      <c r="A40" s="137" t="n"/>
      <c r="B40" s="137" t="n"/>
      <c r="C40" s="137" t="inlineStr">
        <is>
          <t>Does the Final Balance Sheet Balance</t>
        </is>
      </c>
      <c r="D40" s="137" t="n"/>
      <c r="E40" s="145" t="n"/>
      <c r="F40" s="145" t="n"/>
      <c r="G40" s="156">
        <f>'10. Balance Sheet'!I29-'10. Balance Sheet'!I47</f>
        <v/>
      </c>
      <c r="H40" s="156" t="n"/>
      <c r="I40" s="231">
        <f>IF(G40&lt;&gt;0,"The balance sheet is not in balance","The balance sheet does balance")</f>
        <v/>
      </c>
      <c r="J40" s="156" t="n"/>
      <c r="K40" s="156" t="n"/>
      <c r="L40" s="145" t="n"/>
      <c r="M40" s="145" t="n"/>
      <c r="N40" s="145" t="n"/>
      <c r="O40" s="145" t="n"/>
      <c r="P40" s="145" t="n"/>
      <c r="Q40" s="145" t="n"/>
      <c r="R40" s="130" t="n"/>
    </row>
    <row r="41" ht="12.75" customHeight="1" s="131">
      <c r="A41" s="137" t="n"/>
      <c r="B41" s="137" t="n"/>
      <c r="C41" s="137" t="inlineStr">
        <is>
          <t>Debt to Equity Ratio</t>
        </is>
      </c>
      <c r="D41" s="137" t="n"/>
      <c r="E41" s="145" t="n"/>
      <c r="F41" s="145" t="n"/>
      <c r="G41" s="159">
        <f>IF('10. Balance Sheet'!I45=0,0,'10. Balance Sheet'!I39/'10. Balance Sheet'!I45)</f>
        <v/>
      </c>
      <c r="H41" s="156" t="n"/>
      <c r="I41" s="231">
        <f>IF(G41&gt;5,"Most banks would consider there to be too much debt for the overall amount of equity or ownership","The debt to equity ratio seems reasonable")</f>
        <v/>
      </c>
      <c r="J41" s="156" t="n"/>
      <c r="K41" s="156" t="n"/>
      <c r="L41" s="145" t="n"/>
      <c r="M41" s="145" t="n"/>
      <c r="N41" s="145" t="n"/>
      <c r="O41" s="145" t="n"/>
      <c r="P41" s="145" t="n"/>
      <c r="Q41" s="145" t="n"/>
      <c r="R41" s="130" t="n"/>
    </row>
    <row r="42" ht="12.75" customHeight="1" s="131">
      <c r="A42" s="137" t="n"/>
      <c r="B42" s="137" t="n"/>
      <c r="C42" s="137" t="n"/>
      <c r="D42" s="137" t="n"/>
      <c r="E42" s="145" t="n"/>
      <c r="F42" s="145" t="n"/>
      <c r="G42" s="156" t="n"/>
      <c r="H42" s="156" t="n"/>
      <c r="I42" s="231" t="n"/>
      <c r="J42" s="156" t="n"/>
      <c r="K42" s="156" t="n"/>
      <c r="L42" s="145" t="n"/>
      <c r="M42" s="145" t="n"/>
      <c r="N42" s="145" t="n"/>
      <c r="O42" s="145" t="n"/>
      <c r="P42" s="145" t="n"/>
      <c r="Q42" s="145" t="n"/>
      <c r="R42" s="130" t="n"/>
    </row>
    <row r="43" ht="12.75" customHeight="1" s="131">
      <c r="A43" s="137" t="n"/>
      <c r="B43" s="137" t="inlineStr">
        <is>
          <t>Breakeven Analysis</t>
        </is>
      </c>
      <c r="C43" s="137" t="n"/>
      <c r="D43" s="137" t="n"/>
      <c r="E43" s="145" t="n"/>
      <c r="F43" s="145" t="n"/>
      <c r="G43" s="156" t="n"/>
      <c r="H43" s="156" t="n"/>
      <c r="I43" s="231" t="n"/>
      <c r="J43" s="156" t="n"/>
      <c r="K43" s="156" t="n"/>
      <c r="L43" s="145" t="n"/>
      <c r="M43" s="145" t="n"/>
      <c r="N43" s="145" t="n"/>
      <c r="O43" s="145" t="n"/>
      <c r="P43" s="145" t="n"/>
      <c r="Q43" s="145" t="n"/>
      <c r="R43" s="130" t="n"/>
    </row>
    <row r="44" ht="12.75" customHeight="1" s="131">
      <c r="A44" s="137" t="n"/>
      <c r="B44" s="137" t="n"/>
      <c r="C44" s="137" t="inlineStr">
        <is>
          <t>Breakeven Levels</t>
        </is>
      </c>
      <c r="D44" s="137" t="n"/>
      <c r="E44" s="145" t="n"/>
      <c r="F44" s="145" t="n"/>
      <c r="G44" s="149">
        <f>'8. Income Statement'!Q13-'19. Breakeven Analysis'!G18</f>
        <v/>
      </c>
      <c r="H44" s="156" t="n"/>
      <c r="I44" s="231">
        <f>IF(G44&gt;0,"The sales projection exceeds the projected break-even sales level","The sales projection is less than the break-even amount")</f>
        <v/>
      </c>
      <c r="J44" s="156" t="n"/>
      <c r="K44" s="156" t="n"/>
      <c r="L44" s="145" t="n"/>
      <c r="M44" s="145" t="n"/>
      <c r="N44" s="145" t="n"/>
      <c r="O44" s="145" t="n"/>
      <c r="P44" s="145" t="n"/>
      <c r="Q44" s="145" t="n"/>
      <c r="R44" s="130" t="n"/>
    </row>
    <row r="45" ht="12.75" customHeight="1" s="131">
      <c r="A45" s="137" t="n"/>
      <c r="B45" s="137" t="n"/>
      <c r="C45" s="137" t="n"/>
      <c r="D45" s="137" t="n"/>
      <c r="E45" s="145" t="n"/>
      <c r="F45" s="145" t="n"/>
      <c r="G45" s="156" t="n"/>
      <c r="H45" s="156" t="n"/>
      <c r="I45" s="156" t="n"/>
      <c r="J45" s="156" t="n"/>
      <c r="K45" s="156" t="n"/>
      <c r="L45" s="145" t="n"/>
      <c r="M45" s="145" t="n"/>
      <c r="N45" s="145" t="n"/>
      <c r="O45" s="145" t="n"/>
      <c r="P45" s="145" t="n"/>
      <c r="Q45" s="145" t="n"/>
      <c r="R45" s="130" t="n"/>
    </row>
    <row r="46" ht="12.75" customHeight="1" s="131">
      <c r="A46" s="137" t="n"/>
      <c r="B46" s="137" t="n"/>
      <c r="C46" s="137" t="n"/>
      <c r="D46" s="137" t="n"/>
      <c r="E46" s="145" t="n"/>
      <c r="F46" s="145" t="n"/>
      <c r="G46" s="156" t="n"/>
      <c r="H46" s="156" t="n"/>
      <c r="I46" s="156" t="n"/>
      <c r="J46" s="156" t="n"/>
      <c r="K46" s="156" t="n"/>
      <c r="L46" s="145" t="n"/>
      <c r="M46" s="145" t="n"/>
      <c r="N46" s="145" t="n"/>
      <c r="O46" s="145" t="n"/>
      <c r="P46" s="145" t="n"/>
      <c r="Q46" s="145" t="n"/>
      <c r="R46" s="130" t="n"/>
    </row>
    <row r="47" ht="12.75" customHeight="1" s="131">
      <c r="A47" s="137" t="n"/>
      <c r="B47" s="137" t="n"/>
      <c r="C47" s="137" t="n"/>
      <c r="D47" s="137" t="n"/>
      <c r="E47" s="145" t="n"/>
      <c r="F47" s="145" t="n"/>
      <c r="G47" s="156" t="n"/>
      <c r="H47" s="156" t="n"/>
      <c r="I47" s="156" t="n"/>
      <c r="J47" s="156" t="n"/>
      <c r="K47" s="156" t="n"/>
      <c r="L47" s="145" t="n"/>
      <c r="M47" s="145" t="n"/>
      <c r="N47" s="145" t="n"/>
      <c r="O47" s="145" t="n"/>
      <c r="P47" s="145" t="n"/>
      <c r="Q47" s="145" t="n"/>
      <c r="R47" s="130" t="n"/>
    </row>
    <row r="48" ht="12.75" customHeight="1" s="131">
      <c r="A48" s="137" t="n"/>
      <c r="B48" s="137" t="n"/>
      <c r="C48" s="137" t="n"/>
      <c r="D48" s="137" t="n"/>
      <c r="E48" s="145" t="n"/>
      <c r="F48" s="145" t="n"/>
      <c r="G48" s="156" t="n"/>
      <c r="H48" s="156" t="n"/>
      <c r="I48" s="156" t="n"/>
      <c r="J48" s="156" t="n"/>
      <c r="K48" s="156" t="n"/>
      <c r="L48" s="145" t="n"/>
      <c r="M48" s="145" t="n"/>
      <c r="N48" s="145" t="n"/>
      <c r="O48" s="145" t="n"/>
      <c r="P48" s="145" t="n"/>
      <c r="Q48" s="145" t="n"/>
      <c r="R48" s="130" t="n"/>
    </row>
    <row r="49" ht="12.75" customHeight="1" s="131">
      <c r="A49" s="137" t="n"/>
      <c r="B49" s="137" t="n"/>
      <c r="C49" s="137" t="n"/>
      <c r="D49" s="137" t="n"/>
      <c r="E49" s="145" t="n"/>
      <c r="F49" s="145" t="n"/>
      <c r="G49" s="156" t="n"/>
      <c r="H49" s="156" t="n"/>
      <c r="I49" s="156" t="n"/>
      <c r="J49" s="156" t="n"/>
      <c r="K49" s="156" t="n"/>
      <c r="L49" s="145" t="n"/>
      <c r="M49" s="145" t="n"/>
      <c r="N49" s="145" t="n"/>
      <c r="O49" s="145" t="n"/>
      <c r="P49" s="145" t="n"/>
      <c r="Q49" s="145" t="n"/>
      <c r="R49" s="130" t="n"/>
    </row>
    <row r="50" ht="12.75" customHeight="1" s="131">
      <c r="A50" s="137" t="n"/>
      <c r="B50" s="137" t="n"/>
      <c r="C50" s="137" t="n"/>
      <c r="D50" s="137" t="n"/>
      <c r="E50" s="145" t="n"/>
      <c r="F50" s="145" t="n"/>
      <c r="G50" s="156" t="n"/>
      <c r="H50" s="156" t="n"/>
      <c r="I50" s="156" t="n"/>
      <c r="J50" s="156" t="n"/>
      <c r="K50" s="156" t="n"/>
      <c r="L50" s="145" t="n"/>
      <c r="M50" s="145" t="n"/>
      <c r="N50" s="145" t="n"/>
      <c r="O50" s="145" t="n"/>
      <c r="P50" s="145" t="n"/>
      <c r="Q50" s="145" t="n"/>
      <c r="R50" s="130" t="n"/>
    </row>
    <row r="51" ht="12.75" customHeight="1" s="131">
      <c r="A51" s="137" t="n"/>
      <c r="B51" s="137" t="n"/>
      <c r="C51" s="137" t="n"/>
      <c r="D51" s="137" t="n"/>
      <c r="E51" s="145" t="n"/>
      <c r="F51" s="145" t="n"/>
      <c r="G51" s="156" t="n"/>
      <c r="H51" s="156" t="n"/>
      <c r="I51" s="156" t="n"/>
      <c r="J51" s="156" t="n"/>
      <c r="K51" s="156" t="n"/>
      <c r="L51" s="145" t="n"/>
      <c r="M51" s="145" t="n"/>
      <c r="N51" s="145" t="n"/>
      <c r="O51" s="145" t="n"/>
      <c r="P51" s="145" t="n"/>
      <c r="Q51" s="145" t="n"/>
      <c r="R51" s="130" t="n"/>
    </row>
    <row r="52" ht="12.75" customHeight="1" s="131">
      <c r="A52" s="137" t="n"/>
      <c r="B52" s="137" t="n"/>
      <c r="C52" s="137" t="n"/>
      <c r="D52" s="137" t="n"/>
      <c r="E52" s="145" t="n"/>
      <c r="F52" s="145" t="n"/>
      <c r="G52" s="156" t="n"/>
      <c r="H52" s="156" t="n"/>
      <c r="I52" s="156" t="n"/>
      <c r="J52" s="156" t="n"/>
      <c r="K52" s="156" t="n"/>
      <c r="L52" s="145" t="n"/>
      <c r="M52" s="145" t="n"/>
      <c r="N52" s="145" t="n"/>
      <c r="O52" s="145" t="n"/>
      <c r="P52" s="145" t="n"/>
      <c r="Q52" s="145" t="n"/>
      <c r="R52" s="130" t="n"/>
    </row>
    <row r="53" ht="12.75" customHeight="1" s="131">
      <c r="A53" s="137" t="n"/>
      <c r="B53" s="137" t="n"/>
      <c r="C53" s="137" t="n"/>
      <c r="D53" s="137" t="n"/>
      <c r="E53" s="145" t="n"/>
      <c r="F53" s="145" t="n"/>
      <c r="G53" s="156" t="n"/>
      <c r="H53" s="156" t="n"/>
      <c r="I53" s="156" t="n"/>
      <c r="J53" s="156" t="n"/>
      <c r="K53" s="156" t="n"/>
      <c r="L53" s="145" t="n"/>
      <c r="M53" s="145" t="n"/>
      <c r="N53" s="145" t="n"/>
      <c r="O53" s="145" t="n"/>
      <c r="P53" s="145" t="n"/>
      <c r="Q53" s="145" t="n"/>
      <c r="R53" s="130" t="n"/>
    </row>
    <row r="54" ht="12.75" customHeight="1" s="131">
      <c r="A54" s="137" t="n"/>
      <c r="B54" s="137" t="n"/>
      <c r="C54" s="137" t="n"/>
      <c r="D54" s="137" t="n"/>
      <c r="E54" s="145" t="n"/>
      <c r="F54" s="145" t="n"/>
      <c r="G54" s="182" t="n"/>
      <c r="H54" s="182" t="n"/>
      <c r="I54" s="182" t="n"/>
      <c r="J54" s="182" t="n"/>
      <c r="K54" s="182" t="n"/>
      <c r="L54" s="145" t="n"/>
      <c r="M54" s="145" t="n"/>
      <c r="N54" s="145" t="n"/>
      <c r="O54" s="145" t="n"/>
      <c r="P54" s="145" t="n"/>
      <c r="Q54" s="145" t="n"/>
      <c r="R54" s="130" t="n"/>
    </row>
    <row r="55" ht="12.75" customHeight="1" s="131">
      <c r="A55" s="137" t="n"/>
      <c r="B55" s="137" t="n"/>
      <c r="C55" s="137" t="n"/>
      <c r="D55" s="137" t="n"/>
      <c r="E55" s="145" t="n"/>
      <c r="F55" s="145" t="n"/>
      <c r="G55" s="150" t="n"/>
      <c r="H55" s="150" t="n"/>
      <c r="I55" s="150" t="n"/>
      <c r="J55" s="150" t="n"/>
      <c r="K55" s="150" t="n"/>
      <c r="L55" s="145" t="n"/>
      <c r="M55" s="145" t="n"/>
      <c r="N55" s="145" t="n"/>
      <c r="O55" s="145" t="n"/>
      <c r="P55" s="145" t="n"/>
      <c r="Q55" s="145" t="n"/>
      <c r="R55" s="130" t="n"/>
    </row>
    <row r="56" ht="12.75" customHeight="1" s="131">
      <c r="A56" s="137" t="n"/>
      <c r="B56" s="137" t="n"/>
      <c r="C56" s="137" t="n"/>
      <c r="D56" s="137" t="n"/>
      <c r="E56" s="145" t="n"/>
      <c r="F56" s="145" t="n"/>
      <c r="G56" s="149" t="n"/>
      <c r="H56" s="149" t="n"/>
      <c r="I56" s="149" t="n"/>
      <c r="J56" s="149" t="n"/>
      <c r="K56" s="149" t="n"/>
      <c r="L56" s="145" t="n"/>
      <c r="M56" s="145" t="n"/>
      <c r="N56" s="145" t="n"/>
      <c r="O56" s="145" t="n"/>
      <c r="P56" s="145" t="n"/>
      <c r="Q56" s="145" t="n"/>
      <c r="R56" s="130" t="n"/>
    </row>
    <row r="57" ht="12.75" customHeight="1" s="131">
      <c r="A57" s="137" t="n"/>
      <c r="B57" s="137" t="n"/>
      <c r="C57" s="137" t="n"/>
      <c r="D57" s="137" t="n"/>
      <c r="E57" s="145" t="n"/>
      <c r="F57" s="145" t="n"/>
      <c r="G57" s="145" t="n"/>
      <c r="H57" s="145" t="n"/>
      <c r="I57" s="145" t="n"/>
      <c r="J57" s="145" t="n"/>
      <c r="K57" s="145" t="n"/>
      <c r="L57" s="145" t="n"/>
      <c r="M57" s="145" t="n"/>
      <c r="N57" s="145" t="n"/>
      <c r="O57" s="145" t="n"/>
      <c r="P57" s="145" t="n"/>
      <c r="Q57" s="145" t="n"/>
      <c r="R57" s="130" t="n"/>
    </row>
    <row r="58" ht="12.75" customHeight="1" s="131">
      <c r="A58" s="137" t="n"/>
      <c r="B58" s="137" t="n"/>
      <c r="C58" s="137" t="n"/>
      <c r="D58" s="137" t="n"/>
      <c r="E58" s="145" t="n"/>
      <c r="F58" s="145" t="n"/>
      <c r="G58" s="145" t="n"/>
      <c r="H58" s="145" t="n"/>
      <c r="I58" s="145" t="n"/>
      <c r="J58" s="145" t="n"/>
      <c r="K58" s="145" t="n"/>
      <c r="L58" s="145" t="n"/>
      <c r="M58" s="145" t="n"/>
      <c r="N58" s="145" t="n"/>
      <c r="O58" s="145" t="n"/>
      <c r="P58" s="145" t="n"/>
      <c r="Q58" s="145" t="n"/>
      <c r="R58" s="130" t="n"/>
    </row>
    <row r="59" ht="12.75" customHeight="1" s="131">
      <c r="A59" s="137" t="n"/>
      <c r="B59" s="137" t="n"/>
      <c r="C59" s="137" t="n"/>
      <c r="D59" s="137" t="n"/>
      <c r="E59" s="130" t="n"/>
      <c r="F59" s="130" t="n"/>
      <c r="G59" s="130" t="n"/>
      <c r="I59" s="130" t="n"/>
      <c r="J59" s="130" t="n"/>
      <c r="K59" s="130" t="n"/>
      <c r="L59" s="130" t="n"/>
      <c r="M59" s="130" t="n"/>
      <c r="N59" s="130" t="n"/>
      <c r="O59" s="130" t="n"/>
      <c r="P59" s="130" t="n"/>
      <c r="Q59" s="130" t="n"/>
      <c r="R59" s="130" t="n"/>
    </row>
    <row r="60" ht="12.75" customHeight="1" s="131">
      <c r="A60" s="137" t="n"/>
      <c r="B60" s="137" t="n"/>
      <c r="C60" s="137" t="n"/>
      <c r="D60" s="137" t="n"/>
      <c r="E60" s="130" t="n"/>
      <c r="F60" s="130" t="n"/>
      <c r="G60" s="130" t="n"/>
      <c r="I60" s="130" t="n"/>
      <c r="J60" s="130" t="n"/>
      <c r="K60" s="130" t="n"/>
      <c r="L60" s="130" t="n"/>
      <c r="M60" s="130" t="n"/>
      <c r="N60" s="130" t="n"/>
      <c r="O60" s="130" t="n"/>
      <c r="P60" s="130" t="n"/>
      <c r="Q60" s="130" t="n"/>
      <c r="R60" s="130" t="n"/>
    </row>
    <row r="61" ht="12.75" customHeight="1" s="131"/>
    <row r="62" ht="12.75" customHeight="1" s="131"/>
    <row r="63" ht="12.75" customHeight="1" s="131"/>
    <row r="64" ht="12.75" customHeight="1" s="131"/>
    <row r="65" ht="12.75" customHeight="1" s="131"/>
    <row r="66" ht="12.75" customHeight="1" s="131"/>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Jack Hess</dc:creator>
  <dc:language>en-US</dc:language>
  <dcterms:created xsi:type="dcterms:W3CDTF">2006-04-19T18:37:42Z</dcterms:created>
  <dcterms:modified xsi:type="dcterms:W3CDTF">2026-08-18T02:45:09Z</dcterms:modified>
  <cp:lastModifiedBy>Mike</cp:lastModifiedBy>
  <cp:revision>0</cp:revision>
  <cp:lastPrinted>2008-01-15T00:30:22Z</cp:lastPrinted>
</cp:coreProperties>
</file>