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Windows="0"/>
  <bookViews>
    <workbookView visibility="visible" minimized="0" showHorizontalScroll="1" showVerticalScroll="1" showSheetTabs="1" xWindow="0" yWindow="0" windowWidth="16384" windowHeight="8192" tabRatio="600" firstSheet="0" activeTab="0" autoFilterDateGrouping="1"/>
  </bookViews>
  <sheets>
    <sheet name="Cover" sheetId="1" state="visible" r:id="rId1"/>
    <sheet name="ReadMeFirst" sheetId="2" state="visible" r:id="rId2"/>
    <sheet name="Disclaimer" sheetId="3" state="visible" r:id="rId3"/>
    <sheet name="Assumptions" sheetId="4" state="visible" r:id="rId4"/>
    <sheet name="P&amp;L" sheetId="5" state="visible" r:id="rId5"/>
    <sheet name="BS" sheetId="6" state="visible" r:id="rId6"/>
    <sheet name="CF" sheetId="7" state="visible" r:id="rId7"/>
    <sheet name="Reserves" sheetId="8" state="visible" r:id="rId8"/>
    <sheet name="Debt Schedule" sheetId="9" state="visible" r:id="rId9"/>
    <sheet name="Asset Schedule" sheetId="10" state="visible" r:id="rId10"/>
    <sheet name="Valuation" sheetId="11" state="visible" r:id="rId11"/>
  </sheets>
  <definedNames/>
  <calcPr calcId="124519" fullCalcOnLoad="1" refMode="A1" iterate="0" iterateCount="100" iterateDelta="0.001"/>
</workbook>
</file>

<file path=xl/styles.xml><?xml version="1.0" encoding="utf-8"?>
<styleSheet xmlns="http://schemas.openxmlformats.org/spreadsheetml/2006/main">
  <numFmts count="5">
    <numFmt numFmtId="164" formatCode=";;;"/>
    <numFmt numFmtId="165" formatCode="_(* #,##0_);_(* \(#,##0\);_(* \-??_);_(@_)"/>
    <numFmt numFmtId="166" formatCode="_(* #,##0.00_);_(* \(#,##0.00\);_(* \-??_);_(@_)"/>
    <numFmt numFmtId="167" formatCode="0.000%"/>
    <numFmt numFmtId="168" formatCode="0.0%"/>
  </numFmts>
  <fonts count="20">
    <font>
      <name val="Calibri"/>
      <family val="2"/>
      <color rgb="FF000000"/>
      <sz val="11"/>
    </font>
    <font>
      <name val="Arial"/>
      <family val="0"/>
      <sz val="10"/>
    </font>
    <font>
      <name val="Arial"/>
      <family val="0"/>
      <sz val="10"/>
    </font>
    <font>
      <name val="Arial"/>
      <family val="0"/>
      <sz val="10"/>
    </font>
    <font>
      <name val="Arial"/>
      <family val="2"/>
      <sz val="10"/>
    </font>
    <font>
      <name val="Arial"/>
      <family val="2"/>
      <b val="1"/>
      <color rgb="FF666699"/>
      <sz val="30"/>
    </font>
    <font>
      <name val="Arial"/>
      <family val="2"/>
      <b val="1"/>
      <color rgb="FF000000"/>
      <sz val="24"/>
    </font>
    <font>
      <name val="Arial"/>
      <family val="2"/>
      <b val="1"/>
      <sz val="12"/>
    </font>
    <font>
      <name val="Arial"/>
      <family val="2"/>
      <color rgb="FF0000FF"/>
      <sz val="10"/>
      <u val="single"/>
    </font>
    <font>
      <name val="Arial"/>
      <family val="2"/>
      <i val="1"/>
      <sz val="10"/>
    </font>
    <font>
      <name val="Arial"/>
      <family val="2"/>
      <sz val="10"/>
      <vertAlign val="superscript"/>
    </font>
    <font>
      <name val="Arial"/>
      <family val="2"/>
      <i val="1"/>
      <sz val="10"/>
      <vertAlign val="superscript"/>
    </font>
    <font>
      <name val="Calibri"/>
      <family val="2"/>
      <sz val="10"/>
      <vertAlign val="superscript"/>
    </font>
    <font>
      <name val="Calibri"/>
      <family val="2"/>
      <sz val="10"/>
    </font>
    <font>
      <name val="Arial"/>
      <family val="2"/>
      <color rgb="FF000000"/>
      <sz val="10"/>
    </font>
    <font>
      <name val="Arial"/>
      <family val="2"/>
      <b val="1"/>
      <color rgb="FF000000"/>
      <sz val="10"/>
    </font>
    <font>
      <name val="Arial"/>
      <family val="2"/>
      <b val="1"/>
      <sz val="10"/>
    </font>
    <font>
      <name val="Arial"/>
      <family val="2"/>
      <color rgb="FF333399"/>
      <sz val="10"/>
    </font>
    <font>
      <name val="Arial"/>
      <family val="2"/>
      <b val="1"/>
      <color rgb="FF333399"/>
      <sz val="10"/>
    </font>
    <font>
      <name val="Arial"/>
      <family val="2"/>
      <color rgb="FF000000"/>
      <sz val="16"/>
    </font>
  </fonts>
  <fills count="4">
    <fill>
      <patternFill/>
    </fill>
    <fill>
      <patternFill patternType="gray125"/>
    </fill>
    <fill>
      <patternFill patternType="solid">
        <fgColor rgb="FFFFFFFF"/>
        <bgColor rgb="FFFFFFCC"/>
      </patternFill>
    </fill>
    <fill>
      <patternFill patternType="solid">
        <fgColor rgb="FFC0C0C0"/>
        <bgColor rgb="FFCCCCFF"/>
      </patternFill>
    </fill>
  </fills>
  <borders count="20">
    <border>
      <left/>
      <right/>
      <top/>
      <bottom/>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style="medium"/>
      <top/>
      <bottom style="medium"/>
      <diagonal/>
    </border>
    <border>
      <left style="medium"/>
      <right style="medium"/>
      <top/>
      <bottom/>
      <diagonal/>
    </border>
    <border>
      <left style="medium"/>
      <right/>
      <top/>
      <bottom style="medium"/>
      <diagonal/>
    </border>
    <border>
      <left/>
      <right/>
      <top/>
      <bottom style="medium"/>
      <diagonal/>
    </border>
    <border>
      <left/>
      <right style="medium"/>
      <top/>
      <bottom style="medium"/>
      <diagonal/>
    </border>
    <border>
      <left/>
      <right/>
      <top/>
      <bottom style="thin"/>
      <diagonal/>
    </border>
    <border>
      <left/>
      <right/>
      <top style="thin"/>
      <bottom/>
      <diagonal/>
    </border>
    <border>
      <left/>
      <right/>
      <top style="double"/>
      <bottom style="double"/>
      <diagonal/>
    </border>
    <border>
      <left/>
      <right/>
      <top style="thin"/>
      <bottom style="thin"/>
      <diagonal/>
    </border>
    <border>
      <left/>
      <right/>
      <top style="thin"/>
      <bottom style="double"/>
      <diagonal/>
    </border>
    <border>
      <left style="thin"/>
      <right style="thin"/>
      <top style="thin"/>
      <bottom style="thin"/>
      <diagonal/>
    </border>
    <border>
      <left/>
      <right style="thin"/>
      <top style="thin"/>
      <bottom style="thin"/>
      <diagonal/>
    </border>
    <border>
      <left style="thin"/>
      <right style="thin"/>
      <top/>
      <bottom/>
      <diagonal/>
    </border>
    <border>
      <left style="thin"/>
      <right style="thin"/>
      <top/>
      <bottom style="thin"/>
      <diagonal/>
    </border>
  </borders>
  <cellStyleXfs count="8">
    <xf numFmtId="0" fontId="0" fillId="0" borderId="0" applyAlignment="1">
      <alignment horizontal="general" vertical="bottom"/>
    </xf>
    <xf numFmtId="166" fontId="0" fillId="0" borderId="0"/>
    <xf numFmtId="41" fontId="3" fillId="0" borderId="0"/>
    <xf numFmtId="44" fontId="3" fillId="0" borderId="0"/>
    <xf numFmtId="42" fontId="3" fillId="0" borderId="0"/>
    <xf numFmtId="9" fontId="3" fillId="0" borderId="0"/>
    <xf numFmtId="0" fontId="8" fillId="0" borderId="0"/>
    <xf numFmtId="0" fontId="4" fillId="0" borderId="0" applyAlignment="1">
      <alignment horizontal="general" vertical="bottom"/>
    </xf>
  </cellStyleXfs>
  <cellXfs count="194">
    <xf numFmtId="0" fontId="0" fillId="0" borderId="0" applyAlignment="1" pivotButton="0" quotePrefix="0" xfId="0">
      <alignment horizontal="general" vertical="bottom"/>
    </xf>
    <xf numFmtId="0" fontId="4" fillId="2" borderId="0" applyAlignment="1" pivotButton="0" quotePrefix="0" xfId="21">
      <alignment horizontal="general" vertical="bottom"/>
    </xf>
    <xf numFmtId="0" fontId="4" fillId="2" borderId="1" applyAlignment="1" pivotButton="0" quotePrefix="0" xfId="21">
      <alignment horizontal="general" vertical="bottom"/>
    </xf>
    <xf numFmtId="0" fontId="4" fillId="2" borderId="2" applyAlignment="1" pivotButton="0" quotePrefix="0" xfId="21">
      <alignment horizontal="general" vertical="bottom"/>
    </xf>
    <xf numFmtId="0" fontId="4" fillId="2" borderId="3" applyAlignment="1" pivotButton="0" quotePrefix="0" xfId="21">
      <alignment horizontal="general" vertical="bottom"/>
    </xf>
    <xf numFmtId="0" fontId="4" fillId="2" borderId="4" applyAlignment="1" pivotButton="0" quotePrefix="0" xfId="21">
      <alignment horizontal="general" vertical="bottom"/>
    </xf>
    <xf numFmtId="0" fontId="4" fillId="2" borderId="0" applyAlignment="1" pivotButton="0" quotePrefix="0" xfId="21">
      <alignment horizontal="general" vertical="bottom"/>
    </xf>
    <xf numFmtId="0" fontId="4" fillId="2" borderId="5" applyAlignment="1" pivotButton="0" quotePrefix="0" xfId="21">
      <alignment horizontal="general" vertical="bottom"/>
    </xf>
    <xf numFmtId="0" fontId="5" fillId="0" borderId="0" applyAlignment="1" pivotButton="0" quotePrefix="0" xfId="21">
      <alignment horizontal="right" vertical="bottom"/>
    </xf>
    <xf numFmtId="0" fontId="6" fillId="2" borderId="0" applyAlignment="1" pivotButton="0" quotePrefix="0" xfId="21">
      <alignment horizontal="right" vertical="bottom"/>
    </xf>
    <xf numFmtId="0" fontId="7" fillId="2" borderId="0" applyAlignment="1" pivotButton="0" quotePrefix="0" xfId="21">
      <alignment horizontal="general" vertical="bottom"/>
    </xf>
    <xf numFmtId="0" fontId="4" fillId="2" borderId="0" applyAlignment="1" pivotButton="0" quotePrefix="0" xfId="21">
      <alignment horizontal="general" vertical="bottom"/>
    </xf>
    <xf numFmtId="0" fontId="8" fillId="2" borderId="0" applyAlignment="1" pivotButton="0" quotePrefix="0" xfId="20">
      <alignment horizontal="general" vertical="bottom"/>
    </xf>
    <xf numFmtId="0" fontId="4" fillId="2" borderId="0" applyAlignment="1" pivotButton="0" quotePrefix="0" xfId="21">
      <alignment horizontal="general" vertical="bottom"/>
    </xf>
    <xf numFmtId="0" fontId="9" fillId="2" borderId="6" applyAlignment="1" pivotButton="0" quotePrefix="0" xfId="21">
      <alignment horizontal="left" vertical="top" wrapText="1"/>
    </xf>
    <xf numFmtId="0" fontId="4" fillId="2" borderId="7" applyAlignment="1" pivotButton="0" quotePrefix="0" xfId="21">
      <alignment horizontal="left" vertical="top" wrapText="1"/>
    </xf>
    <xf numFmtId="0" fontId="4" fillId="2" borderId="8" applyAlignment="1" pivotButton="0" quotePrefix="0" xfId="21">
      <alignment horizontal="general" vertical="bottom"/>
    </xf>
    <xf numFmtId="0" fontId="4" fillId="2" borderId="9" applyAlignment="1" pivotButton="0" quotePrefix="0" xfId="21">
      <alignment horizontal="general" vertical="bottom"/>
    </xf>
    <xf numFmtId="0" fontId="4" fillId="2" borderId="10" applyAlignment="1" pivotButton="0" quotePrefix="0" xfId="21">
      <alignment horizontal="general" vertical="bottom"/>
    </xf>
    <xf numFmtId="0" fontId="4" fillId="2" borderId="7" applyAlignment="1" pivotButton="0" quotePrefix="0" xfId="21">
      <alignment horizontal="general" vertical="top" wrapText="1"/>
    </xf>
    <xf numFmtId="0" fontId="14" fillId="0" borderId="0" applyAlignment="1" pivotButton="0" quotePrefix="0" xfId="0">
      <alignment horizontal="general" vertical="bottom"/>
    </xf>
    <xf numFmtId="164" fontId="14" fillId="0" borderId="0" applyAlignment="1" pivotButton="0" quotePrefix="0" xfId="0">
      <alignment horizontal="general" vertical="bottom"/>
    </xf>
    <xf numFmtId="0" fontId="9" fillId="2" borderId="0" applyAlignment="1" pivotButton="0" quotePrefix="0" xfId="0">
      <alignment horizontal="general" vertical="bottom"/>
    </xf>
    <xf numFmtId="0" fontId="15" fillId="0" borderId="0" applyAlignment="1" pivotButton="0" quotePrefix="0" xfId="0">
      <alignment horizontal="center" vertical="bottom"/>
    </xf>
    <xf numFmtId="0" fontId="15" fillId="0" borderId="0" applyAlignment="1" pivotButton="0" quotePrefix="0" xfId="0">
      <alignment horizontal="general" vertical="bottom"/>
    </xf>
    <xf numFmtId="165" fontId="4" fillId="0" borderId="0" applyAlignment="1" pivotButton="0" quotePrefix="0" xfId="15">
      <alignment horizontal="center" vertical="bottom"/>
    </xf>
    <xf numFmtId="9" fontId="4" fillId="0" borderId="0" applyAlignment="1" pivotButton="0" quotePrefix="0" xfId="15">
      <alignment horizontal="center" vertical="bottom"/>
    </xf>
    <xf numFmtId="3" fontId="4" fillId="0" borderId="0" applyAlignment="1" pivotButton="0" quotePrefix="0" xfId="15">
      <alignment horizontal="center" vertical="bottom"/>
    </xf>
    <xf numFmtId="0" fontId="14" fillId="0" borderId="0" applyAlignment="1" pivotButton="0" quotePrefix="0" xfId="0">
      <alignment horizontal="general" vertical="bottom"/>
    </xf>
    <xf numFmtId="0" fontId="14" fillId="0" borderId="0" applyAlignment="1" pivotButton="0" quotePrefix="0" xfId="0">
      <alignment horizontal="general" vertical="bottom"/>
    </xf>
    <xf numFmtId="0" fontId="14" fillId="0" borderId="0" applyAlignment="1" pivotButton="0" quotePrefix="0" xfId="0">
      <alignment horizontal="center" vertical="bottom"/>
    </xf>
    <xf numFmtId="0" fontId="16" fillId="2" borderId="0" applyAlignment="1" pivotButton="0" quotePrefix="0" xfId="0">
      <alignment horizontal="right" vertical="bottom"/>
    </xf>
    <xf numFmtId="0" fontId="15" fillId="0" borderId="0" applyAlignment="1" pivotButton="0" quotePrefix="0" xfId="0">
      <alignment horizontal="right" vertical="bottom"/>
    </xf>
    <xf numFmtId="0" fontId="16" fillId="2" borderId="0" applyAlignment="1" pivotButton="0" quotePrefix="0" xfId="0">
      <alignment horizontal="center" vertical="bottom"/>
    </xf>
    <xf numFmtId="165" fontId="17" fillId="0" borderId="0" applyAlignment="1" pivotButton="0" quotePrefix="0" xfId="15">
      <alignment horizontal="center" vertical="bottom"/>
    </xf>
    <xf numFmtId="166" fontId="14" fillId="0" borderId="0" applyAlignment="1" pivotButton="0" quotePrefix="0" xfId="15">
      <alignment horizontal="general" vertical="bottom"/>
    </xf>
    <xf numFmtId="0" fontId="14" fillId="0" borderId="0" applyAlignment="1" pivotButton="0" quotePrefix="0" xfId="0">
      <alignment horizontal="general" vertical="bottom"/>
    </xf>
    <xf numFmtId="165" fontId="16" fillId="0" borderId="0" applyAlignment="1" pivotButton="0" quotePrefix="0" xfId="15">
      <alignment horizontal="center" vertical="bottom"/>
    </xf>
    <xf numFmtId="165" fontId="14" fillId="0" borderId="0" applyAlignment="1" pivotButton="0" quotePrefix="0" xfId="15">
      <alignment horizontal="center" vertical="bottom"/>
    </xf>
    <xf numFmtId="9" fontId="14" fillId="0" borderId="0" applyAlignment="1" pivotButton="0" quotePrefix="0" xfId="15">
      <alignment horizontal="center" vertical="bottom"/>
    </xf>
    <xf numFmtId="9" fontId="17" fillId="0" borderId="0" applyAlignment="1" pivotButton="0" quotePrefix="0" xfId="15">
      <alignment horizontal="center" vertical="bottom"/>
    </xf>
    <xf numFmtId="165" fontId="15" fillId="0" borderId="0" applyAlignment="1" pivotButton="0" quotePrefix="0" xfId="15">
      <alignment horizontal="center" vertical="bottom"/>
    </xf>
    <xf numFmtId="167" fontId="14" fillId="0" borderId="0" applyAlignment="1" pivotButton="0" quotePrefix="0" xfId="15">
      <alignment horizontal="general" vertical="bottom"/>
    </xf>
    <xf numFmtId="0" fontId="14" fillId="0" borderId="0" applyAlignment="1" pivotButton="0" quotePrefix="0" xfId="0">
      <alignment horizontal="general" vertical="bottom" wrapText="1"/>
    </xf>
    <xf numFmtId="165" fontId="18" fillId="0" borderId="0" applyAlignment="1" pivotButton="0" quotePrefix="0" xfId="15">
      <alignment horizontal="center" vertical="bottom"/>
    </xf>
    <xf numFmtId="0" fontId="15" fillId="0"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bottom"/>
    </xf>
    <xf numFmtId="166" fontId="14" fillId="0" borderId="0" applyAlignment="1" pivotButton="0" quotePrefix="0" xfId="15">
      <alignment horizontal="center" vertical="bottom"/>
    </xf>
    <xf numFmtId="165" fontId="14" fillId="0" borderId="0" applyAlignment="1" pivotButton="0" quotePrefix="0" xfId="0">
      <alignment horizontal="center" vertical="bottom"/>
    </xf>
    <xf numFmtId="165" fontId="14" fillId="0" borderId="0" applyAlignment="1" pivotButton="0" quotePrefix="0" xfId="0">
      <alignment horizontal="general" vertical="bottom"/>
    </xf>
    <xf numFmtId="0" fontId="9" fillId="2" borderId="11" applyAlignment="1" pivotButton="0" quotePrefix="0" xfId="0">
      <alignment horizontal="general" vertical="bottom"/>
    </xf>
    <xf numFmtId="0" fontId="14" fillId="0" borderId="0" applyAlignment="1" pivotButton="0" quotePrefix="0" xfId="0">
      <alignment horizontal="general" vertical="bottom"/>
    </xf>
    <xf numFmtId="0" fontId="17" fillId="0" borderId="0" applyAlignment="1" pivotButton="0" quotePrefix="0" xfId="0">
      <alignment horizontal="center" vertical="bottom"/>
    </xf>
    <xf numFmtId="0" fontId="17" fillId="0" borderId="0" applyAlignment="1" pivotButton="0" quotePrefix="0" xfId="0">
      <alignment horizontal="center" vertical="bottom"/>
    </xf>
    <xf numFmtId="9" fontId="14" fillId="0" borderId="0" applyAlignment="1" pivotButton="0" quotePrefix="0" xfId="0">
      <alignment horizontal="center" vertical="bottom"/>
    </xf>
    <xf numFmtId="0" fontId="15" fillId="0" borderId="0" applyAlignment="1" pivotButton="0" quotePrefix="0" xfId="0">
      <alignment horizontal="center" vertical="bottom"/>
    </xf>
    <xf numFmtId="2" fontId="15" fillId="0" borderId="0" applyAlignment="1" pivotButton="0" quotePrefix="0" xfId="0">
      <alignment horizontal="center" vertical="bottom"/>
    </xf>
    <xf numFmtId="165" fontId="14" fillId="0" borderId="0" applyAlignment="1" pivotButton="0" quotePrefix="0" xfId="0">
      <alignment horizontal="center" vertical="bottom"/>
    </xf>
    <xf numFmtId="165" fontId="15" fillId="0" borderId="0" applyAlignment="1" pivotButton="0" quotePrefix="0" xfId="0">
      <alignment horizontal="center" vertical="bottom"/>
    </xf>
    <xf numFmtId="0" fontId="14" fillId="0" borderId="0" applyAlignment="1" pivotButton="0" quotePrefix="0" xfId="0">
      <alignment horizontal="right" vertical="bottom"/>
    </xf>
    <xf numFmtId="0" fontId="15" fillId="2" borderId="0" applyAlignment="1" pivotButton="0" quotePrefix="0" xfId="0">
      <alignment horizontal="general" vertical="bottom"/>
    </xf>
    <xf numFmtId="0" fontId="14" fillId="2" borderId="0" applyAlignment="1" pivotButton="0" quotePrefix="0" xfId="0">
      <alignment horizontal="general" vertical="bottom"/>
    </xf>
    <xf numFmtId="0" fontId="14" fillId="2" borderId="0" applyAlignment="1" pivotButton="0" quotePrefix="0" xfId="0">
      <alignment horizontal="general" vertical="bottom"/>
    </xf>
    <xf numFmtId="0" fontId="15" fillId="0" borderId="12" applyAlignment="1" pivotButton="0" quotePrefix="0" xfId="0">
      <alignment horizontal="general" vertical="bottom"/>
    </xf>
    <xf numFmtId="0" fontId="15" fillId="2" borderId="12" applyAlignment="1" pivotButton="0" quotePrefix="0" xfId="0">
      <alignment horizontal="general" vertical="bottom"/>
    </xf>
    <xf numFmtId="0" fontId="14" fillId="0" borderId="12" applyAlignment="1" pivotButton="0" quotePrefix="0" xfId="0">
      <alignment horizontal="general" vertical="bottom"/>
    </xf>
    <xf numFmtId="165" fontId="16" fillId="0" borderId="12" applyAlignment="1" pivotButton="0" quotePrefix="0" xfId="15">
      <alignment horizontal="center" vertical="bottom"/>
    </xf>
    <xf numFmtId="0" fontId="15" fillId="0" borderId="0" applyAlignment="1" pivotButton="0" quotePrefix="0" xfId="0">
      <alignment horizontal="general" vertical="bottom"/>
    </xf>
    <xf numFmtId="0" fontId="15" fillId="2" borderId="13" applyAlignment="1" pivotButton="0" quotePrefix="0" xfId="0">
      <alignment horizontal="general" vertical="bottom"/>
    </xf>
    <xf numFmtId="0" fontId="14" fillId="0" borderId="13" applyAlignment="1" pivotButton="0" quotePrefix="0" xfId="0">
      <alignment horizontal="general" vertical="bottom"/>
    </xf>
    <xf numFmtId="0" fontId="14" fillId="2" borderId="13" applyAlignment="1" pivotButton="0" quotePrefix="0" xfId="0">
      <alignment horizontal="general" vertical="bottom"/>
    </xf>
    <xf numFmtId="0" fontId="14" fillId="0" borderId="13" applyAlignment="1" pivotButton="0" quotePrefix="0" xfId="0">
      <alignment horizontal="general" vertical="bottom"/>
    </xf>
    <xf numFmtId="165" fontId="4" fillId="0" borderId="13" applyAlignment="1" pivotButton="0" quotePrefix="0" xfId="15">
      <alignment horizontal="center" vertical="bottom"/>
    </xf>
    <xf numFmtId="165" fontId="16" fillId="0" borderId="13" applyAlignment="1" pivotButton="0" quotePrefix="0" xfId="15">
      <alignment horizontal="center" vertical="bottom"/>
    </xf>
    <xf numFmtId="0" fontId="14" fillId="0" borderId="11" applyAlignment="1" pivotButton="0" quotePrefix="0" xfId="0">
      <alignment horizontal="general" vertical="bottom"/>
    </xf>
    <xf numFmtId="0" fontId="14" fillId="2" borderId="11" applyAlignment="1" pivotButton="0" quotePrefix="0" xfId="0">
      <alignment horizontal="general" vertical="bottom"/>
    </xf>
    <xf numFmtId="1" fontId="14" fillId="0" borderId="0" applyAlignment="1" pivotButton="0" quotePrefix="0" xfId="0">
      <alignment horizontal="general" vertical="bottom"/>
    </xf>
    <xf numFmtId="0" fontId="15" fillId="0" borderId="14" applyAlignment="1" pivotButton="0" quotePrefix="0" xfId="0">
      <alignment horizontal="general" vertical="bottom"/>
    </xf>
    <xf numFmtId="165" fontId="16" fillId="0" borderId="14" applyAlignment="1" pivotButton="0" quotePrefix="0" xfId="15">
      <alignment horizontal="center" vertical="bottom"/>
    </xf>
    <xf numFmtId="0" fontId="15" fillId="0" borderId="15" applyAlignment="1" pivotButton="0" quotePrefix="0" xfId="0">
      <alignment horizontal="general" vertical="bottom"/>
    </xf>
    <xf numFmtId="165" fontId="16" fillId="0" borderId="15" applyAlignment="1" pivotButton="0" quotePrefix="0" xfId="15">
      <alignment horizontal="center" vertical="bottom"/>
    </xf>
    <xf numFmtId="0" fontId="16" fillId="2" borderId="0" applyAlignment="1" pivotButton="0" quotePrefix="0" xfId="0">
      <alignment horizontal="general" vertical="bottom"/>
    </xf>
    <xf numFmtId="0" fontId="0" fillId="2" borderId="0" applyAlignment="1" pivotButton="0" quotePrefix="0" xfId="0">
      <alignment horizontal="general" vertical="bottom"/>
    </xf>
    <xf numFmtId="0" fontId="0" fillId="2" borderId="0" applyAlignment="1" pivotButton="0" quotePrefix="0" xfId="0">
      <alignment horizontal="general" vertical="bottom"/>
    </xf>
    <xf numFmtId="0" fontId="16" fillId="2" borderId="0" applyAlignment="1" pivotButton="0" quotePrefix="0" xfId="0">
      <alignment horizontal="general" vertical="bottom"/>
    </xf>
    <xf numFmtId="166" fontId="14" fillId="0" borderId="0" applyAlignment="1" pivotButton="0" quotePrefix="0" xfId="0">
      <alignment horizontal="general" vertical="bottom"/>
    </xf>
    <xf numFmtId="10" fontId="14" fillId="0" borderId="0" applyAlignment="1" pivotButton="0" quotePrefix="0" xfId="0">
      <alignment horizontal="general" vertical="bottom"/>
    </xf>
    <xf numFmtId="9" fontId="14" fillId="0" borderId="0" applyAlignment="1" pivotButton="0" quotePrefix="0" xfId="0">
      <alignment horizontal="general" vertical="bottom"/>
    </xf>
    <xf numFmtId="3" fontId="14" fillId="0" borderId="0" applyAlignment="1" pivotButton="0" quotePrefix="0" xfId="0">
      <alignment horizontal="general" vertical="bottom"/>
    </xf>
    <xf numFmtId="165" fontId="15" fillId="0" borderId="0" applyAlignment="1" pivotButton="0" quotePrefix="0" xfId="0">
      <alignment horizontal="general" vertical="bottom"/>
    </xf>
    <xf numFmtId="0" fontId="19" fillId="0" borderId="0" applyAlignment="1" pivotButton="0" quotePrefix="0" xfId="0">
      <alignment horizontal="center" vertical="bottom"/>
    </xf>
    <xf numFmtId="165" fontId="14" fillId="0" borderId="16" applyAlignment="1" pivotButton="0" quotePrefix="0" xfId="0">
      <alignment horizontal="center" vertical="bottom"/>
    </xf>
    <xf numFmtId="0" fontId="14" fillId="3" borderId="14" applyAlignment="1" pivotButton="0" quotePrefix="0" xfId="0">
      <alignment horizontal="center" vertical="bottom"/>
    </xf>
    <xf numFmtId="0" fontId="14" fillId="3" borderId="17" applyAlignment="1" pivotButton="0" quotePrefix="0" xfId="0">
      <alignment horizontal="center" vertical="bottom"/>
    </xf>
    <xf numFmtId="168" fontId="14" fillId="3" borderId="18" applyAlignment="1" pivotButton="0" quotePrefix="0" xfId="0">
      <alignment horizontal="center" vertical="bottom"/>
    </xf>
    <xf numFmtId="1" fontId="14" fillId="0" borderId="0" applyAlignment="1" pivotButton="0" quotePrefix="0" xfId="0">
      <alignment horizontal="center" vertical="bottom"/>
    </xf>
    <xf numFmtId="1" fontId="14" fillId="3" borderId="0" applyAlignment="1" pivotButton="0" quotePrefix="0" xfId="0">
      <alignment horizontal="center" vertical="bottom"/>
    </xf>
    <xf numFmtId="0" fontId="14" fillId="0" borderId="0" applyAlignment="1" pivotButton="0" quotePrefix="0" xfId="0">
      <alignment horizontal="center" vertical="center"/>
    </xf>
    <xf numFmtId="0" fontId="19" fillId="0" borderId="0" applyAlignment="1" pivotButton="0" quotePrefix="0" xfId="0">
      <alignment horizontal="center" vertical="center"/>
    </xf>
    <xf numFmtId="1" fontId="15" fillId="3" borderId="0" applyAlignment="1" pivotButton="0" quotePrefix="0" xfId="0">
      <alignment horizontal="center" vertical="bottom"/>
    </xf>
    <xf numFmtId="0" fontId="19" fillId="0" borderId="0" applyAlignment="1" pivotButton="0" quotePrefix="0" xfId="0">
      <alignment horizontal="center" vertical="bottom"/>
    </xf>
    <xf numFmtId="168" fontId="14" fillId="3" borderId="19" applyAlignment="1" pivotButton="0" quotePrefix="0" xfId="0">
      <alignment horizontal="center" vertical="bottom"/>
    </xf>
    <xf numFmtId="168" fontId="14" fillId="0" borderId="0" applyAlignment="1" pivotButton="0" quotePrefix="0" xfId="0">
      <alignment horizontal="general" vertical="bottom"/>
    </xf>
    <xf numFmtId="0" fontId="4" fillId="2" borderId="0" applyAlignment="1" pivotButton="0" quotePrefix="0" xfId="21">
      <alignment horizontal="general" vertical="bottom"/>
    </xf>
    <xf numFmtId="0" fontId="0" fillId="0" borderId="0" pivotButton="0" quotePrefix="0" xfId="0"/>
    <xf numFmtId="0" fontId="4" fillId="2" borderId="1" applyAlignment="1" pivotButton="0" quotePrefix="0" xfId="21">
      <alignment horizontal="general" vertical="bottom"/>
    </xf>
    <xf numFmtId="0" fontId="4" fillId="2" borderId="2" applyAlignment="1" pivotButton="0" quotePrefix="0" xfId="21">
      <alignment horizontal="general" vertical="bottom"/>
    </xf>
    <xf numFmtId="0" fontId="4" fillId="2" borderId="3" applyAlignment="1" pivotButton="0" quotePrefix="0" xfId="21">
      <alignment horizontal="general" vertical="bottom"/>
    </xf>
    <xf numFmtId="0" fontId="4" fillId="2" borderId="4" applyAlignment="1" pivotButton="0" quotePrefix="0" xfId="21">
      <alignment horizontal="general" vertical="bottom"/>
    </xf>
    <xf numFmtId="0" fontId="4" fillId="2" borderId="5" applyAlignment="1" pivotButton="0" quotePrefix="0" xfId="21">
      <alignment horizontal="general" vertical="bottom"/>
    </xf>
    <xf numFmtId="0" fontId="5" fillId="0" borderId="0" applyAlignment="1" pivotButton="0" quotePrefix="0" xfId="21">
      <alignment horizontal="right" vertical="bottom"/>
    </xf>
    <xf numFmtId="0" fontId="6" fillId="2" borderId="0" applyAlignment="1" pivotButton="0" quotePrefix="0" xfId="21">
      <alignment horizontal="right" vertical="bottom"/>
    </xf>
    <xf numFmtId="0" fontId="7" fillId="2" borderId="0" applyAlignment="1" pivotButton="0" quotePrefix="0" xfId="21">
      <alignment horizontal="general" vertical="bottom"/>
    </xf>
    <xf numFmtId="0" fontId="8" fillId="2" borderId="0" applyAlignment="1" pivotButton="0" quotePrefix="0" xfId="20">
      <alignment horizontal="general" vertical="bottom"/>
    </xf>
    <xf numFmtId="0" fontId="9" fillId="2" borderId="6" applyAlignment="1" pivotButton="0" quotePrefix="0" xfId="21">
      <alignment horizontal="left" vertical="top" wrapText="1"/>
    </xf>
    <xf numFmtId="0" fontId="0" fillId="0" borderId="5" pivotButton="0" quotePrefix="0" xfId="0"/>
    <xf numFmtId="0" fontId="0" fillId="0" borderId="4" pivotButton="0" quotePrefix="0" xfId="0"/>
    <xf numFmtId="0" fontId="0" fillId="0" borderId="8" pivotButton="0" quotePrefix="0" xfId="0"/>
    <xf numFmtId="0" fontId="0" fillId="0" borderId="9" pivotButton="0" quotePrefix="0" xfId="0"/>
    <xf numFmtId="0" fontId="0" fillId="0" borderId="10" pivotButton="0" quotePrefix="0" xfId="0"/>
    <xf numFmtId="0" fontId="4" fillId="2" borderId="7" applyAlignment="1" pivotButton="0" quotePrefix="0" xfId="21">
      <alignment horizontal="left" vertical="top" wrapText="1"/>
    </xf>
    <xf numFmtId="0" fontId="4" fillId="2" borderId="8" applyAlignment="1" pivotButton="0" quotePrefix="0" xfId="21">
      <alignment horizontal="general" vertical="bottom"/>
    </xf>
    <xf numFmtId="0" fontId="4" fillId="2" borderId="9" applyAlignment="1" pivotButton="0" quotePrefix="0" xfId="21">
      <alignment horizontal="general" vertical="bottom"/>
    </xf>
    <xf numFmtId="0" fontId="4" fillId="2" borderId="10" applyAlignment="1" pivotButton="0" quotePrefix="0" xfId="21">
      <alignment horizontal="general" vertical="bottom"/>
    </xf>
    <xf numFmtId="0" fontId="4" fillId="2" borderId="7" applyAlignment="1" pivotButton="0" quotePrefix="0" xfId="21">
      <alignment horizontal="general" vertical="top" wrapText="1"/>
    </xf>
    <xf numFmtId="0" fontId="14" fillId="0" borderId="0" applyAlignment="1" pivotButton="0" quotePrefix="0" xfId="0">
      <alignment horizontal="general" vertical="bottom"/>
    </xf>
    <xf numFmtId="164" fontId="14" fillId="0" borderId="0" applyAlignment="1" pivotButton="0" quotePrefix="0" xfId="0">
      <alignment horizontal="general" vertical="bottom"/>
    </xf>
    <xf numFmtId="0" fontId="9" fillId="2" borderId="0" applyAlignment="1" pivotButton="0" quotePrefix="0" xfId="0">
      <alignment horizontal="general" vertical="bottom"/>
    </xf>
    <xf numFmtId="0" fontId="15" fillId="0" borderId="0" applyAlignment="1" pivotButton="0" quotePrefix="0" xfId="0">
      <alignment horizontal="center" vertical="bottom"/>
    </xf>
    <xf numFmtId="0" fontId="15" fillId="0" borderId="0" applyAlignment="1" pivotButton="0" quotePrefix="0" xfId="0">
      <alignment horizontal="general" vertical="bottom"/>
    </xf>
    <xf numFmtId="165" fontId="4" fillId="0" borderId="0" applyAlignment="1" pivotButton="0" quotePrefix="0" xfId="15">
      <alignment horizontal="center" vertical="bottom"/>
    </xf>
    <xf numFmtId="9" fontId="4" fillId="0" borderId="0" applyAlignment="1" pivotButton="0" quotePrefix="0" xfId="15">
      <alignment horizontal="center" vertical="bottom"/>
    </xf>
    <xf numFmtId="3" fontId="4" fillId="0" borderId="0" applyAlignment="1" pivotButton="0" quotePrefix="0" xfId="15">
      <alignment horizontal="center" vertical="bottom"/>
    </xf>
    <xf numFmtId="0" fontId="14" fillId="0" borderId="0" applyAlignment="1" pivotButton="0" quotePrefix="0" xfId="0">
      <alignment horizontal="center" vertical="bottom"/>
    </xf>
    <xf numFmtId="0" fontId="16" fillId="2" borderId="0" applyAlignment="1" pivotButton="0" quotePrefix="0" xfId="0">
      <alignment horizontal="right" vertical="bottom"/>
    </xf>
    <xf numFmtId="0" fontId="15" fillId="0" borderId="0" applyAlignment="1" pivotButton="0" quotePrefix="0" xfId="0">
      <alignment horizontal="right" vertical="bottom"/>
    </xf>
    <xf numFmtId="0" fontId="16" fillId="2" borderId="0" applyAlignment="1" pivotButton="0" quotePrefix="0" xfId="0">
      <alignment horizontal="center" vertical="bottom"/>
    </xf>
    <xf numFmtId="165" fontId="17" fillId="0" borderId="0" applyAlignment="1" pivotButton="0" quotePrefix="0" xfId="15">
      <alignment horizontal="center" vertical="bottom"/>
    </xf>
    <xf numFmtId="166" fontId="14" fillId="0" borderId="0" applyAlignment="1" pivotButton="0" quotePrefix="0" xfId="15">
      <alignment horizontal="general" vertical="bottom"/>
    </xf>
    <xf numFmtId="165" fontId="16" fillId="0" borderId="0" applyAlignment="1" pivotButton="0" quotePrefix="0" xfId="15">
      <alignment horizontal="center" vertical="bottom"/>
    </xf>
    <xf numFmtId="165" fontId="14" fillId="0" borderId="0" applyAlignment="1" pivotButton="0" quotePrefix="0" xfId="15">
      <alignment horizontal="center" vertical="bottom"/>
    </xf>
    <xf numFmtId="9" fontId="14" fillId="0" borderId="0" applyAlignment="1" pivotButton="0" quotePrefix="0" xfId="15">
      <alignment horizontal="center" vertical="bottom"/>
    </xf>
    <xf numFmtId="9" fontId="17" fillId="0" borderId="0" applyAlignment="1" pivotButton="0" quotePrefix="0" xfId="15">
      <alignment horizontal="center" vertical="bottom"/>
    </xf>
    <xf numFmtId="165" fontId="15" fillId="0" borderId="0" applyAlignment="1" pivotButton="0" quotePrefix="0" xfId="15">
      <alignment horizontal="center" vertical="bottom"/>
    </xf>
    <xf numFmtId="167" fontId="14" fillId="0" borderId="0" applyAlignment="1" pivotButton="0" quotePrefix="0" xfId="15">
      <alignment horizontal="general" vertical="bottom"/>
    </xf>
    <xf numFmtId="0" fontId="14" fillId="0" borderId="0" applyAlignment="1" pivotButton="0" quotePrefix="0" xfId="0">
      <alignment horizontal="general" vertical="bottom" wrapText="1"/>
    </xf>
    <xf numFmtId="165" fontId="18" fillId="0" borderId="0" applyAlignment="1" pivotButton="0" quotePrefix="0" xfId="15">
      <alignment horizontal="center" vertical="bottom"/>
    </xf>
    <xf numFmtId="166" fontId="14" fillId="0" borderId="0" applyAlignment="1" pivotButton="0" quotePrefix="0" xfId="15">
      <alignment horizontal="center" vertical="bottom"/>
    </xf>
    <xf numFmtId="165" fontId="14" fillId="0" borderId="0" applyAlignment="1" pivotButton="0" quotePrefix="0" xfId="0">
      <alignment horizontal="center" vertical="bottom"/>
    </xf>
    <xf numFmtId="165" fontId="14" fillId="0" borderId="0" applyAlignment="1" pivotButton="0" quotePrefix="0" xfId="0">
      <alignment horizontal="general" vertical="bottom"/>
    </xf>
    <xf numFmtId="0" fontId="9" fillId="2" borderId="11" applyAlignment="1" pivotButton="0" quotePrefix="0" xfId="0">
      <alignment horizontal="general" vertical="bottom"/>
    </xf>
    <xf numFmtId="0" fontId="17" fillId="0" borderId="0" applyAlignment="1" pivotButton="0" quotePrefix="0" xfId="0">
      <alignment horizontal="center" vertical="bottom"/>
    </xf>
    <xf numFmtId="9" fontId="14" fillId="0" borderId="0" applyAlignment="1" pivotButton="0" quotePrefix="0" xfId="0">
      <alignment horizontal="center" vertical="bottom"/>
    </xf>
    <xf numFmtId="2" fontId="15" fillId="0" borderId="0" applyAlignment="1" pivotButton="0" quotePrefix="0" xfId="0">
      <alignment horizontal="center" vertical="bottom"/>
    </xf>
    <xf numFmtId="165" fontId="15" fillId="0" borderId="0" applyAlignment="1" pivotButton="0" quotePrefix="0" xfId="0">
      <alignment horizontal="center" vertical="bottom"/>
    </xf>
    <xf numFmtId="0" fontId="14" fillId="0" borderId="0" applyAlignment="1" pivotButton="0" quotePrefix="0" xfId="0">
      <alignment horizontal="right" vertical="bottom"/>
    </xf>
    <xf numFmtId="0" fontId="15" fillId="2" borderId="0" applyAlignment="1" pivotButton="0" quotePrefix="0" xfId="0">
      <alignment horizontal="general" vertical="bottom"/>
    </xf>
    <xf numFmtId="0" fontId="14" fillId="2" borderId="0" applyAlignment="1" pivotButton="0" quotePrefix="0" xfId="0">
      <alignment horizontal="general" vertical="bottom"/>
    </xf>
    <xf numFmtId="0" fontId="15" fillId="0" borderId="12" applyAlignment="1" pivotButton="0" quotePrefix="0" xfId="0">
      <alignment horizontal="general" vertical="bottom"/>
    </xf>
    <xf numFmtId="0" fontId="15" fillId="2" borderId="12" applyAlignment="1" pivotButton="0" quotePrefix="0" xfId="0">
      <alignment horizontal="general" vertical="bottom"/>
    </xf>
    <xf numFmtId="0" fontId="14" fillId="0" borderId="12" applyAlignment="1" pivotButton="0" quotePrefix="0" xfId="0">
      <alignment horizontal="general" vertical="bottom"/>
    </xf>
    <xf numFmtId="165" fontId="16" fillId="0" borderId="12" applyAlignment="1" pivotButton="0" quotePrefix="0" xfId="15">
      <alignment horizontal="center" vertical="bottom"/>
    </xf>
    <xf numFmtId="0" fontId="15" fillId="2" borderId="13" applyAlignment="1" pivotButton="0" quotePrefix="0" xfId="0">
      <alignment horizontal="general" vertical="bottom"/>
    </xf>
    <xf numFmtId="0" fontId="14" fillId="0" borderId="13" applyAlignment="1" pivotButton="0" quotePrefix="0" xfId="0">
      <alignment horizontal="general" vertical="bottom"/>
    </xf>
    <xf numFmtId="0" fontId="14" fillId="2" borderId="13" applyAlignment="1" pivotButton="0" quotePrefix="0" xfId="0">
      <alignment horizontal="general" vertical="bottom"/>
    </xf>
    <xf numFmtId="165" fontId="4" fillId="0" borderId="13" applyAlignment="1" pivotButton="0" quotePrefix="0" xfId="15">
      <alignment horizontal="center" vertical="bottom"/>
    </xf>
    <xf numFmtId="165" fontId="16" fillId="0" borderId="13" applyAlignment="1" pivotButton="0" quotePrefix="0" xfId="15">
      <alignment horizontal="center" vertical="bottom"/>
    </xf>
    <xf numFmtId="0" fontId="14" fillId="0" borderId="11" applyAlignment="1" pivotButton="0" quotePrefix="0" xfId="0">
      <alignment horizontal="general" vertical="bottom"/>
    </xf>
    <xf numFmtId="0" fontId="14" fillId="2" borderId="11" applyAlignment="1" pivotButton="0" quotePrefix="0" xfId="0">
      <alignment horizontal="general" vertical="bottom"/>
    </xf>
    <xf numFmtId="1" fontId="14" fillId="0" borderId="0" applyAlignment="1" pivotButton="0" quotePrefix="0" xfId="0">
      <alignment horizontal="general" vertical="bottom"/>
    </xf>
    <xf numFmtId="0" fontId="15" fillId="0" borderId="14" applyAlignment="1" pivotButton="0" quotePrefix="0" xfId="0">
      <alignment horizontal="general" vertical="bottom"/>
    </xf>
    <xf numFmtId="165" fontId="16" fillId="0" borderId="14" applyAlignment="1" pivotButton="0" quotePrefix="0" xfId="15">
      <alignment horizontal="center" vertical="bottom"/>
    </xf>
    <xf numFmtId="0" fontId="15" fillId="0" borderId="15" applyAlignment="1" pivotButton="0" quotePrefix="0" xfId="0">
      <alignment horizontal="general" vertical="bottom"/>
    </xf>
    <xf numFmtId="165" fontId="16" fillId="0" borderId="15" applyAlignment="1" pivotButton="0" quotePrefix="0" xfId="15">
      <alignment horizontal="center" vertical="bottom"/>
    </xf>
    <xf numFmtId="0" fontId="16" fillId="2" borderId="0" applyAlignment="1" pivotButton="0" quotePrefix="0" xfId="0">
      <alignment horizontal="general" vertical="bottom"/>
    </xf>
    <xf numFmtId="0" fontId="0" fillId="2" borderId="0" applyAlignment="1" pivotButton="0" quotePrefix="0" xfId="0">
      <alignment horizontal="general" vertical="bottom"/>
    </xf>
    <xf numFmtId="166" fontId="14" fillId="0" borderId="0" applyAlignment="1" pivotButton="0" quotePrefix="0" xfId="0">
      <alignment horizontal="general" vertical="bottom"/>
    </xf>
    <xf numFmtId="10" fontId="14" fillId="0" borderId="0" applyAlignment="1" pivotButton="0" quotePrefix="0" xfId="0">
      <alignment horizontal="general" vertical="bottom"/>
    </xf>
    <xf numFmtId="9" fontId="14" fillId="0" borderId="0" applyAlignment="1" pivotButton="0" quotePrefix="0" xfId="0">
      <alignment horizontal="general" vertical="bottom"/>
    </xf>
    <xf numFmtId="3" fontId="14" fillId="0" borderId="0" applyAlignment="1" pivotButton="0" quotePrefix="0" xfId="0">
      <alignment horizontal="general" vertical="bottom"/>
    </xf>
    <xf numFmtId="165" fontId="15" fillId="0" borderId="0" applyAlignment="1" pivotButton="0" quotePrefix="0" xfId="0">
      <alignment horizontal="general" vertical="bottom"/>
    </xf>
    <xf numFmtId="0" fontId="19" fillId="0" borderId="0" applyAlignment="1" pivotButton="0" quotePrefix="0" xfId="0">
      <alignment horizontal="center" vertical="bottom"/>
    </xf>
    <xf numFmtId="165" fontId="14" fillId="0" borderId="16" applyAlignment="1" pivotButton="0" quotePrefix="0" xfId="0">
      <alignment horizontal="center" vertical="bottom"/>
    </xf>
    <xf numFmtId="0" fontId="14" fillId="3" borderId="14" applyAlignment="1" pivotButton="0" quotePrefix="0" xfId="0">
      <alignment horizontal="center" vertical="bottom"/>
    </xf>
    <xf numFmtId="0" fontId="14" fillId="3" borderId="17" applyAlignment="1" pivotButton="0" quotePrefix="0" xfId="0">
      <alignment horizontal="center" vertical="bottom"/>
    </xf>
    <xf numFmtId="168" fontId="14" fillId="3" borderId="18" applyAlignment="1" pivotButton="0" quotePrefix="0" xfId="0">
      <alignment horizontal="center" vertical="bottom"/>
    </xf>
    <xf numFmtId="1" fontId="14" fillId="0" borderId="0" applyAlignment="1" pivotButton="0" quotePrefix="0" xfId="0">
      <alignment horizontal="center" vertical="bottom"/>
    </xf>
    <xf numFmtId="1" fontId="14" fillId="3" borderId="0" applyAlignment="1" pivotButton="0" quotePrefix="0" xfId="0">
      <alignment horizontal="center" vertical="bottom"/>
    </xf>
    <xf numFmtId="0" fontId="14" fillId="0" borderId="0" applyAlignment="1" pivotButton="0" quotePrefix="0" xfId="0">
      <alignment horizontal="center" vertical="center"/>
    </xf>
    <xf numFmtId="0" fontId="19" fillId="0" borderId="0" applyAlignment="1" pivotButton="0" quotePrefix="0" xfId="0">
      <alignment horizontal="center" vertical="center"/>
    </xf>
    <xf numFmtId="1" fontId="15" fillId="3" borderId="0" applyAlignment="1" pivotButton="0" quotePrefix="0" xfId="0">
      <alignment horizontal="center" vertical="bottom"/>
    </xf>
    <xf numFmtId="168" fontId="14" fillId="3" borderId="19" applyAlignment="1" pivotButton="0" quotePrefix="0" xfId="0">
      <alignment horizontal="center" vertical="bottom"/>
    </xf>
    <xf numFmtId="168" fontId="14" fillId="0" borderId="0" applyAlignment="1" pivotButton="0" quotePrefix="0" xfId="0">
      <alignment horizontal="general" vertical="bottom"/>
    </xf>
  </cellXfs>
  <cellStyles count="8">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anil@edupristine.com" TargetMode="External" Id="rId1" /><Relationship Type="http://schemas.openxmlformats.org/officeDocument/2006/relationships/hyperlink" Target="http://www.edupristine.com/" TargetMode="External" Id="rId2" /><Relationship Type="http://schemas.openxmlformats.org/officeDocument/2006/relationships/hyperlink" Target="mailto:info@edupristine.com" TargetMode="External" Id="rId3" /><Relationship Type="http://schemas.openxmlformats.org/officeDocument/2006/relationships/hyperlink" Target="mailto:paramdeep@edupristine.com" TargetMode="External" Id="rId4" /></Relationships>
</file>

<file path=xl/worksheets/_rels/sheet2.xml.rels><Relationships xmlns="http://schemas.openxmlformats.org/package/2006/relationships"><Relationship Type="http://schemas.openxmlformats.org/officeDocument/2006/relationships/hyperlink" Target="http://www.edupristine.com/" TargetMode="External" Id="rId1" /><Relationship Type="http://schemas.openxmlformats.org/officeDocument/2006/relationships/hyperlink" Target="mailto:info@edupristine.com" TargetMode="External" Id="rId2" /></Relationships>
</file>

<file path=xl/worksheets/_rels/sheet3.xml.rels><Relationships xmlns="http://schemas.openxmlformats.org/package/2006/relationships"><Relationship Type="http://schemas.openxmlformats.org/officeDocument/2006/relationships/hyperlink" Target="http://www.edupristine.com/" TargetMode="External" Id="rId1" /><Relationship Type="http://schemas.openxmlformats.org/officeDocument/2006/relationships/hyperlink" Target="mailto:info@edupristine.com" TargetMode="External" Id="rId2" /></Relationships>
</file>

<file path=xl/worksheets/sheet1.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B22" activeCellId="0" sqref="B22"/>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09" t="n"/>
      <c r="B3" s="104" t="n"/>
      <c r="C3" s="104" t="n"/>
      <c r="D3" s="104" t="n"/>
      <c r="E3" s="104" t="n"/>
      <c r="F3" s="104" t="n"/>
      <c r="G3" s="104" t="n"/>
      <c r="H3" s="104" t="n"/>
      <c r="I3" s="104" t="n"/>
      <c r="J3" s="104" t="n"/>
      <c r="K3" s="104" t="n"/>
      <c r="L3" s="110" t="n"/>
    </row>
    <row r="4" ht="11.25" customHeight="1" s="105">
      <c r="A4" s="109" t="n"/>
      <c r="B4" s="104" t="n"/>
      <c r="C4" s="104" t="n"/>
      <c r="D4" s="104" t="n"/>
      <c r="E4" s="104" t="n"/>
      <c r="F4" s="104" t="n"/>
      <c r="G4" s="104" t="n"/>
      <c r="H4" s="104" t="n"/>
      <c r="I4" s="104" t="n"/>
      <c r="J4" s="104" t="n"/>
      <c r="K4" s="104" t="n"/>
      <c r="L4" s="110" t="n"/>
    </row>
    <row r="5" ht="12.75" customHeight="1" s="105">
      <c r="A5" s="109" t="n"/>
      <c r="B5" s="104" t="n"/>
      <c r="C5" s="104" t="n"/>
      <c r="D5" s="104" t="n"/>
      <c r="E5" s="104" t="n"/>
      <c r="F5" s="104" t="n"/>
      <c r="G5" s="104" t="n"/>
      <c r="H5" s="104" t="n"/>
      <c r="I5" s="104" t="n"/>
      <c r="J5" s="104" t="n"/>
      <c r="K5" s="104" t="n"/>
      <c r="L5" s="110" t="n"/>
    </row>
    <row r="6" ht="12.75" customHeight="1" s="105">
      <c r="A6" s="109" t="n"/>
      <c r="B6" s="104" t="n"/>
      <c r="C6" s="104" t="n"/>
      <c r="D6" s="104" t="n"/>
      <c r="E6" s="104" t="n"/>
      <c r="F6" s="104" t="n"/>
      <c r="G6" s="104" t="n"/>
      <c r="H6" s="104" t="n"/>
      <c r="I6" s="104" t="n"/>
      <c r="J6" s="104" t="n"/>
      <c r="K6" s="104" t="n"/>
      <c r="L6" s="110" t="n"/>
    </row>
    <row r="7" ht="35.25" customHeight="1" s="105">
      <c r="A7" s="109" t="n"/>
      <c r="B7" s="104" t="n"/>
      <c r="C7" s="104" t="n"/>
      <c r="D7" s="104" t="n"/>
      <c r="E7" s="104" t="n"/>
      <c r="F7" s="104" t="n"/>
      <c r="G7" s="104" t="n"/>
      <c r="H7" s="104" t="n"/>
      <c r="I7" s="104" t="n"/>
      <c r="J7" s="104" t="n"/>
      <c r="K7" s="111" t="inlineStr">
        <is>
          <t>Coal India Ltd.</t>
        </is>
      </c>
      <c r="L7" s="110" t="n"/>
    </row>
    <row r="8" ht="30" customHeight="1" s="105">
      <c r="A8" s="109" t="n"/>
      <c r="B8" s="104" t="n"/>
      <c r="C8" s="104" t="n"/>
      <c r="D8" s="104" t="n"/>
      <c r="E8" s="104" t="n"/>
      <c r="F8" s="104" t="n"/>
      <c r="G8" s="104" t="n"/>
      <c r="H8" s="104" t="n"/>
      <c r="I8" s="104" t="n"/>
      <c r="J8" s="104" t="n"/>
      <c r="K8" s="112" t="inlineStr">
        <is>
          <t>Open Source Financial Model</t>
        </is>
      </c>
      <c r="L8" s="110" t="n"/>
    </row>
    <row r="9" ht="12.75" customHeight="1" s="105">
      <c r="A9" s="109" t="n"/>
      <c r="B9" s="104" t="n"/>
      <c r="C9" s="104" t="n"/>
      <c r="D9" s="104" t="n"/>
      <c r="E9" s="104" t="n"/>
      <c r="F9" s="104" t="n"/>
      <c r="G9" s="104" t="n"/>
      <c r="H9" s="104" t="n"/>
      <c r="I9" s="104" t="n"/>
      <c r="J9" s="104" t="n"/>
      <c r="K9" s="104" t="n"/>
      <c r="L9" s="110" t="n"/>
    </row>
    <row r="10" ht="3.75" customHeight="1" s="105">
      <c r="A10" s="109" t="n"/>
      <c r="B10" s="104" t="n"/>
      <c r="C10" s="104" t="n"/>
      <c r="D10" s="104" t="n"/>
      <c r="E10" s="104" t="n"/>
      <c r="F10" s="104" t="n"/>
      <c r="G10" s="104" t="n"/>
      <c r="H10" s="104" t="n"/>
      <c r="I10" s="104" t="n"/>
      <c r="J10" s="104" t="n"/>
      <c r="K10" s="104" t="n"/>
      <c r="L10" s="110" t="n"/>
    </row>
    <row r="11" ht="12.75" customHeight="1" s="105">
      <c r="A11" s="109" t="n"/>
      <c r="B11" s="104" t="n"/>
      <c r="C11" s="104" t="n"/>
      <c r="D11" s="104" t="n"/>
      <c r="E11" s="104" t="n"/>
      <c r="F11" s="104" t="n"/>
      <c r="G11" s="104" t="n"/>
      <c r="H11" s="104" t="n"/>
      <c r="I11" s="104" t="n"/>
      <c r="J11" s="104" t="n"/>
      <c r="K11" s="104" t="n"/>
      <c r="L11" s="110" t="n"/>
    </row>
    <row r="12" ht="3" customHeight="1" s="105">
      <c r="A12" s="109" t="n"/>
      <c r="B12" s="104" t="n"/>
      <c r="C12" s="104" t="n"/>
      <c r="D12" s="104" t="n"/>
      <c r="E12" s="104" t="n"/>
      <c r="F12" s="104" t="n"/>
      <c r="G12" s="104" t="n"/>
      <c r="H12" s="104" t="n"/>
      <c r="I12" s="104" t="n"/>
      <c r="J12" s="104" t="n"/>
      <c r="K12" s="104" t="n"/>
      <c r="L12" s="110" t="n"/>
    </row>
    <row r="13" ht="3" customHeight="1" s="105">
      <c r="A13" s="109" t="n"/>
      <c r="B13" s="104" t="n"/>
      <c r="C13" s="104" t="n"/>
      <c r="D13" s="104" t="n"/>
      <c r="E13" s="104" t="n"/>
      <c r="F13" s="104" t="n"/>
      <c r="G13" s="104" t="n"/>
      <c r="H13" s="104" t="n"/>
      <c r="I13" s="104" t="n"/>
      <c r="J13" s="104" t="n"/>
      <c r="K13" s="104" t="n"/>
      <c r="L13" s="110" t="n"/>
    </row>
    <row r="14" ht="3.75" customHeight="1" s="105">
      <c r="A14" s="109" t="n"/>
      <c r="B14" s="104" t="n"/>
      <c r="C14" s="104" t="n"/>
      <c r="D14" s="104" t="n"/>
      <c r="E14" s="104" t="n"/>
      <c r="F14" s="104" t="n"/>
      <c r="G14" s="104" t="n"/>
      <c r="H14" s="104" t="n"/>
      <c r="I14" s="104" t="n"/>
      <c r="J14" s="104" t="n"/>
      <c r="K14" s="104" t="n"/>
      <c r="L14" s="110" t="n"/>
    </row>
    <row r="15" ht="12" customHeight="1" s="105">
      <c r="A15" s="109" t="n"/>
      <c r="B15" s="104" t="n"/>
      <c r="C15" s="104" t="n"/>
      <c r="D15" s="104" t="n"/>
      <c r="E15" s="104" t="n"/>
      <c r="F15" s="104" t="n"/>
      <c r="G15" s="104" t="n"/>
      <c r="H15" s="104" t="n"/>
      <c r="I15" s="104" t="n"/>
      <c r="J15" s="104" t="n"/>
      <c r="K15" s="104" t="n"/>
      <c r="L15" s="110" t="n"/>
    </row>
    <row r="16" ht="15" customHeight="1" s="105">
      <c r="A16" s="109" t="n"/>
      <c r="C16" s="104" t="n"/>
      <c r="D16" s="104" t="n"/>
      <c r="E16" s="104" t="n"/>
      <c r="F16" s="104" t="n"/>
      <c r="G16" s="104" t="n"/>
      <c r="H16" s="104" t="n"/>
      <c r="I16" s="104" t="n"/>
      <c r="J16" s="104" t="n"/>
      <c r="K16" s="104" t="n"/>
      <c r="L16" s="110" t="n"/>
    </row>
    <row r="17" ht="12" customHeight="1" s="105">
      <c r="A17" s="109" t="n"/>
      <c r="C17" s="104" t="n"/>
      <c r="D17" s="104" t="n"/>
      <c r="E17" s="104" t="n"/>
      <c r="F17" s="104" t="n"/>
      <c r="G17" s="104" t="n"/>
      <c r="H17" s="104" t="n"/>
      <c r="I17" s="104" t="n"/>
      <c r="J17" s="104" t="n"/>
      <c r="K17" s="104" t="n"/>
      <c r="L17" s="110" t="n"/>
    </row>
    <row r="18" ht="12.75" customHeight="1" s="105">
      <c r="A18" s="109" t="n"/>
      <c r="C18" s="104" t="n"/>
      <c r="D18" s="104" t="n"/>
      <c r="E18" s="104" t="n"/>
      <c r="F18" s="104" t="n"/>
      <c r="G18" s="104" t="n"/>
      <c r="H18" s="104" t="n"/>
      <c r="I18" s="104" t="n"/>
      <c r="J18" s="104" t="n"/>
      <c r="K18" s="104" t="n"/>
      <c r="L18" s="110" t="n"/>
    </row>
    <row r="19" ht="12" customHeight="1" s="105">
      <c r="A19" s="109" t="n"/>
      <c r="C19" s="104" t="n"/>
      <c r="D19" s="104" t="n"/>
      <c r="E19" s="104" t="n"/>
      <c r="F19" s="104" t="n"/>
      <c r="G19" s="104" t="n"/>
      <c r="H19" s="104" t="n"/>
      <c r="I19" s="104" t="n"/>
      <c r="J19" s="104" t="n"/>
      <c r="K19" s="104" t="n"/>
      <c r="L19" s="110" t="n"/>
    </row>
    <row r="20" ht="12" customHeight="1" s="105">
      <c r="A20" s="109" t="n"/>
      <c r="C20" s="104" t="n"/>
      <c r="D20" s="104" t="n"/>
      <c r="E20" s="104" t="n"/>
      <c r="F20" s="104" t="n"/>
      <c r="G20" s="104" t="n"/>
      <c r="H20" s="104" t="n"/>
      <c r="I20" s="104" t="n"/>
      <c r="J20" s="104" t="n"/>
      <c r="K20" s="104" t="n"/>
      <c r="L20" s="110" t="n"/>
    </row>
    <row r="21" ht="12" customHeight="1" s="105">
      <c r="A21" s="109" t="n"/>
      <c r="B21" s="113" t="inlineStr">
        <is>
          <t>Contact</t>
        </is>
      </c>
      <c r="C21" s="104" t="n"/>
      <c r="D21" s="104" t="n"/>
      <c r="E21" s="104" t="n"/>
      <c r="F21" s="104" t="n"/>
      <c r="G21" s="104" t="n"/>
      <c r="H21" s="104" t="n"/>
      <c r="I21" s="104" t="n"/>
      <c r="J21" s="104" t="n"/>
      <c r="K21" s="104" t="n"/>
      <c r="L21" s="110" t="n"/>
    </row>
    <row r="22" ht="12" customHeight="1" s="105">
      <c r="A22" s="109" t="n"/>
      <c r="B22" s="104" t="inlineStr">
        <is>
          <t>Anil Bains</t>
        </is>
      </c>
      <c r="C22" s="104" t="n"/>
      <c r="D22" s="104" t="n"/>
      <c r="E22" s="104" t="n"/>
      <c r="F22" s="104" t="n"/>
      <c r="G22" s="104" t="n"/>
      <c r="H22" s="104" t="n"/>
      <c r="I22" s="104" t="n"/>
      <c r="J22" s="104" t="n"/>
      <c r="K22" s="104" t="n"/>
      <c r="L22" s="110" t="n"/>
    </row>
    <row r="23" ht="12" customHeight="1" s="105">
      <c r="A23" s="109" t="n"/>
      <c r="B23" s="114" t="inlineStr">
        <is>
          <t>anil@edupristine.com</t>
        </is>
      </c>
      <c r="C23" s="104" t="n"/>
      <c r="D23" s="104" t="n"/>
      <c r="E23" s="104" t="n"/>
      <c r="F23" s="104" t="n"/>
      <c r="G23" s="104" t="n"/>
      <c r="H23" s="104" t="n"/>
      <c r="I23" s="104" t="inlineStr">
        <is>
          <t>© Neev Knowledge Management - Pristine</t>
        </is>
      </c>
      <c r="J23" s="104" t="n"/>
      <c r="K23" s="104" t="n"/>
      <c r="L23" s="110" t="n"/>
    </row>
    <row r="24" ht="12" customHeight="1" s="105">
      <c r="A24" s="109" t="n"/>
      <c r="B24" s="104" t="inlineStr">
        <is>
          <t>+91 96196 73853</t>
        </is>
      </c>
      <c r="C24" s="104" t="n"/>
      <c r="D24" s="104" t="n"/>
      <c r="E24" s="104" t="n"/>
      <c r="F24" s="104" t="n"/>
      <c r="G24" s="104" t="n"/>
      <c r="H24" s="104" t="n"/>
      <c r="I24" s="114" t="inlineStr">
        <is>
          <t>www.edupristine.com</t>
        </is>
      </c>
      <c r="J24" s="104" t="n"/>
      <c r="K24" s="104" t="n"/>
      <c r="L24" s="110" t="n"/>
    </row>
    <row r="25" ht="12.75" customHeight="1" s="105">
      <c r="A25" s="109" t="n"/>
      <c r="C25" s="104" t="n"/>
      <c r="D25" s="104" t="n"/>
      <c r="E25" s="104" t="n"/>
      <c r="F25" s="104" t="n"/>
      <c r="G25" s="104" t="n"/>
      <c r="H25" s="104" t="n"/>
      <c r="I25" s="114" t="inlineStr">
        <is>
          <t>info@edupristine.com</t>
        </is>
      </c>
      <c r="J25" s="104" t="n"/>
      <c r="K25" s="104" t="n"/>
      <c r="L25" s="110" t="n"/>
    </row>
    <row r="26" ht="12.75" customHeight="1" s="105">
      <c r="A26" s="109" t="n"/>
      <c r="B26" s="104" t="inlineStr">
        <is>
          <t>Paramdeep Singh</t>
        </is>
      </c>
      <c r="C26" s="104" t="n"/>
      <c r="D26" s="104" t="n"/>
      <c r="E26" s="104" t="n"/>
      <c r="F26" s="104" t="n"/>
      <c r="G26" s="104" t="n"/>
      <c r="H26" s="104" t="n"/>
      <c r="J26" s="104" t="n"/>
      <c r="K26" s="104" t="n"/>
      <c r="L26" s="110" t="n"/>
    </row>
    <row r="27" ht="12.75" customHeight="1" s="105">
      <c r="A27" s="109" t="n"/>
      <c r="B27" s="114" t="inlineStr">
        <is>
          <t>paramdeep@edupristine.com</t>
        </is>
      </c>
      <c r="C27" s="104" t="n"/>
      <c r="D27" s="104" t="n"/>
      <c r="E27" s="104" t="n"/>
      <c r="F27" s="104" t="n"/>
      <c r="G27" s="104" t="n"/>
      <c r="H27" s="104" t="n"/>
      <c r="I27" s="104" t="inlineStr">
        <is>
          <t>+91 22 3215 6191</t>
        </is>
      </c>
      <c r="J27" s="104" t="n"/>
      <c r="K27" s="104" t="n"/>
      <c r="L27" s="110" t="n"/>
    </row>
    <row r="28" ht="12.75" customHeight="1" s="105">
      <c r="A28" s="109" t="n"/>
      <c r="B28" s="104" t="inlineStr">
        <is>
          <t>+91 98929 80608</t>
        </is>
      </c>
      <c r="C28" s="104" t="n"/>
      <c r="D28" s="104" t="n"/>
      <c r="E28" s="104" t="n"/>
      <c r="F28" s="104" t="n"/>
      <c r="G28" s="104" t="n"/>
      <c r="H28" s="104" t="n"/>
      <c r="I28" s="104" t="inlineStr">
        <is>
          <t>+91 8080 00 55 33</t>
        </is>
      </c>
      <c r="J28" s="104" t="n"/>
      <c r="K28" s="104" t="n"/>
      <c r="L28" s="110" t="n"/>
    </row>
    <row r="29" ht="12.75" customHeight="1" s="105">
      <c r="A29" s="109" t="n"/>
      <c r="C29" s="104" t="n"/>
      <c r="D29" s="104" t="n"/>
      <c r="E29" s="104" t="n"/>
      <c r="F29" s="104" t="n"/>
      <c r="G29" s="104" t="n"/>
      <c r="H29" s="104" t="n"/>
      <c r="I29" s="114" t="n"/>
      <c r="J29" s="104" t="n"/>
      <c r="K29" s="104" t="n"/>
      <c r="L29" s="110" t="n"/>
    </row>
    <row r="30" ht="12.75" customHeight="1" s="105">
      <c r="A30" s="115" t="inlineStr">
        <is>
          <t>Pristine is India's largest authorized training provider for CFA®, FRM®, PRM and Financial Modeling. It has conducted more than 300,000+ man-hours of finance trainings for individuals and corporates in all the major Indian cities and outside India.</t>
        </is>
      </c>
      <c r="L30" s="116" t="n"/>
    </row>
    <row r="31" ht="12.75" customHeight="1" s="105">
      <c r="A31" s="117" t="n"/>
      <c r="L31" s="116" t="n"/>
    </row>
    <row r="32" ht="13.5" customHeight="1" s="105">
      <c r="A32" s="118" t="n"/>
      <c r="B32" s="119" t="n"/>
      <c r="C32" s="119" t="n"/>
      <c r="D32" s="119" t="n"/>
      <c r="E32" s="119" t="n"/>
      <c r="F32" s="119" t="n"/>
      <c r="G32" s="119" t="n"/>
      <c r="H32" s="119" t="n"/>
      <c r="I32" s="119" t="n"/>
      <c r="J32" s="119" t="n"/>
      <c r="K32" s="119" t="n"/>
      <c r="L32" s="120" t="n"/>
    </row>
  </sheetData>
  <sheetProtection selectLockedCells="1" selectUnlockedCells="1" sheet="1" objects="0" insertRows="1" insertHyperlinks="1" autoFilter="1" scenarios="0" formatColumns="1" deleteColumns="1" insertColumns="1" pivotTables="1" deleteRows="1" formatCells="1" formatRows="1" sort="1" password="cf5a"/>
  <mergeCells count="1">
    <mergeCell ref="A30:L32"/>
  </mergeCells>
  <hyperlinks>
    <hyperlink xmlns:r="http://schemas.openxmlformats.org/officeDocument/2006/relationships" ref="B23" display="anil@edupristine.com" r:id="rId1"/>
    <hyperlink xmlns:r="http://schemas.openxmlformats.org/officeDocument/2006/relationships" ref="I24" display="www.edupristine.com" r:id="rId2"/>
    <hyperlink xmlns:r="http://schemas.openxmlformats.org/officeDocument/2006/relationships" ref="I25" display="info@edupristine.com" r:id="rId3"/>
    <hyperlink xmlns:r="http://schemas.openxmlformats.org/officeDocument/2006/relationships" ref="B27" display="paramdeep@edupristine.com" r:id="rId4"/>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3" activeCellId="0" sqref="A3:L21"/>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21" t="inlineStr">
        <is>
          <t>CIL is the largest IPO in India till date. It has generated enormous interest in the investor community (both retail and institutional). Many potential investors want a financial model in MS Excel© which can help them in a thorough analysis of the company. Creating such models have always been a time-taking and daunting exercise.  
Pristine has created an integrated valuation model based on publically available information. It is available as an open-source model for any user. Kindly note that this model is meant for information purpose only. 
The complete structure of the model and formulas, linkages etc. have been kept open to allow for any modification on the part of the user. Users can use the model freely but should make reference to Pristine while using the same.
Pristine conducts extensive trainings for financial modeling in MS Excel©. These trainings are targeted towards investors/ professionals who are looking for a career in finance (Investment Banking, PE, Broking, Equity Research, etc.). At the completion of the trainings, the participants should be able to create models like these.
For more information you can contact the authors or Pristine.</t>
        </is>
      </c>
      <c r="L3" s="116" t="n"/>
    </row>
    <row r="4" ht="20.25" customHeight="1" s="105">
      <c r="A4" s="117" t="n"/>
      <c r="L4" s="116" t="n"/>
    </row>
    <row r="5" ht="12.75" customHeight="1" s="105">
      <c r="A5" s="117" t="n"/>
      <c r="L5" s="116" t="n"/>
    </row>
    <row r="6" ht="12.75" customHeight="1" s="105">
      <c r="A6" s="117" t="n"/>
      <c r="L6" s="116" t="n"/>
    </row>
    <row r="7" ht="37.5" customHeight="1" s="105">
      <c r="A7" s="117" t="n"/>
      <c r="L7" s="116" t="n"/>
    </row>
    <row r="8" ht="30" customHeight="1" s="105">
      <c r="A8" s="117" t="n"/>
      <c r="L8" s="116" t="n"/>
    </row>
    <row r="9" ht="12.75" customHeight="1" s="105">
      <c r="A9" s="117" t="n"/>
      <c r="L9" s="116" t="n"/>
    </row>
    <row r="10" ht="12.75" customHeight="1" s="105">
      <c r="A10" s="117" t="n"/>
      <c r="L10" s="116" t="n"/>
    </row>
    <row r="11" ht="12.75" customHeight="1" s="105">
      <c r="A11" s="117" t="n"/>
      <c r="L11" s="116" t="n"/>
    </row>
    <row r="12" ht="3" customHeight="1" s="105">
      <c r="A12" s="117" t="n"/>
      <c r="L12" s="116" t="n"/>
    </row>
    <row r="13" ht="3" customHeight="1" s="105">
      <c r="A13" s="117" t="n"/>
      <c r="L13" s="116" t="n"/>
    </row>
    <row r="14" ht="3.75" customHeight="1" s="105">
      <c r="A14" s="117" t="n"/>
      <c r="L14" s="116" t="n"/>
    </row>
    <row r="15" ht="12" customHeight="1" s="105">
      <c r="A15" s="117" t="n"/>
      <c r="L15" s="116" t="n"/>
    </row>
    <row r="16" ht="12" customHeight="1" s="105">
      <c r="A16" s="117" t="n"/>
      <c r="L16" s="116" t="n"/>
    </row>
    <row r="17" ht="5.25" customHeight="1" s="105">
      <c r="A17" s="117" t="n"/>
      <c r="L17" s="116" t="n"/>
    </row>
    <row r="18" ht="19.5" customHeight="1" s="105">
      <c r="A18" s="117" t="n"/>
      <c r="L18" s="116" t="n"/>
    </row>
    <row r="19" ht="12" customHeight="1" s="105">
      <c r="A19" s="117" t="n"/>
      <c r="L19" s="116" t="n"/>
    </row>
    <row r="20" ht="7.5" customHeight="1" s="105">
      <c r="A20" s="117" t="n"/>
      <c r="L20" s="116" t="n"/>
    </row>
    <row r="21" ht="12" customHeight="1" s="105">
      <c r="A21" s="117" t="n"/>
      <c r="L21" s="116" t="n"/>
    </row>
    <row r="22" ht="12" customHeight="1" s="105">
      <c r="A22" s="109" t="n"/>
      <c r="B22" s="104" t="n"/>
      <c r="C22" s="104" t="n"/>
      <c r="D22" s="104" t="n"/>
      <c r="E22" s="104" t="n"/>
      <c r="F22" s="104" t="n"/>
      <c r="G22" s="104" t="n"/>
      <c r="H22" s="104" t="n"/>
      <c r="I22" s="104" t="n"/>
      <c r="J22" s="104" t="n"/>
      <c r="K22" s="104" t="n"/>
      <c r="L22" s="110" t="n"/>
    </row>
    <row r="23" ht="12" customHeight="1" s="105">
      <c r="A23" s="109" t="n"/>
      <c r="B23" s="104" t="n"/>
      <c r="C23" s="104" t="n"/>
      <c r="D23" s="104" t="n"/>
      <c r="E23" s="104" t="n"/>
      <c r="F23" s="104" t="n"/>
      <c r="G23" s="104" t="n"/>
      <c r="H23" s="104" t="n"/>
      <c r="I23" s="104" t="n"/>
      <c r="J23" s="104" t="n"/>
      <c r="K23" s="104" t="n"/>
      <c r="L23" s="110" t="n"/>
    </row>
    <row r="24" ht="12" customHeight="1" s="105">
      <c r="A24" s="109" t="n"/>
      <c r="B24" s="114" t="n"/>
      <c r="C24" s="104" t="n"/>
      <c r="D24" s="104" t="n"/>
      <c r="E24" s="104" t="n"/>
      <c r="F24" s="104" t="n"/>
      <c r="G24" s="104" t="n"/>
      <c r="H24" s="104" t="n"/>
      <c r="I24" s="104" t="n"/>
      <c r="J24" s="104" t="n"/>
      <c r="K24" s="104" t="n"/>
      <c r="L24" s="110" t="n"/>
    </row>
    <row r="25" ht="12.75" customHeight="1" s="105">
      <c r="A25" s="109" t="n"/>
      <c r="B25" s="104" t="n"/>
      <c r="C25" s="104" t="n"/>
      <c r="D25" s="104" t="n"/>
      <c r="E25" s="104" t="n"/>
      <c r="F25" s="104" t="n"/>
      <c r="G25" s="104" t="n"/>
      <c r="H25" s="104" t="n"/>
      <c r="I25" s="104" t="inlineStr">
        <is>
          <t>© Neev Knowledge Management - Pristine</t>
        </is>
      </c>
      <c r="J25" s="104" t="n"/>
      <c r="K25" s="104" t="n"/>
      <c r="L25" s="110" t="n"/>
    </row>
    <row r="26" ht="12.75" customHeight="1" s="105">
      <c r="A26" s="109" t="n"/>
      <c r="B26" s="104" t="n"/>
      <c r="C26" s="104" t="n"/>
      <c r="D26" s="104" t="n"/>
      <c r="E26" s="104" t="n"/>
      <c r="F26" s="104" t="n"/>
      <c r="G26" s="104" t="n"/>
      <c r="H26" s="104" t="n"/>
      <c r="I26" s="114" t="inlineStr">
        <is>
          <t>www.edupristine.com</t>
        </is>
      </c>
      <c r="J26" s="104" t="n"/>
      <c r="K26" s="104" t="n"/>
      <c r="L26" s="110" t="n"/>
    </row>
    <row r="27" ht="12.75" customHeight="1" s="105">
      <c r="A27" s="109" t="n"/>
      <c r="B27" s="104" t="n"/>
      <c r="C27" s="104" t="n"/>
      <c r="D27" s="104" t="n"/>
      <c r="E27" s="104" t="n"/>
      <c r="F27" s="104" t="n"/>
      <c r="G27" s="104" t="n"/>
      <c r="H27" s="104" t="n"/>
      <c r="I27" s="114" t="inlineStr">
        <is>
          <t>info@edupristine.com</t>
        </is>
      </c>
      <c r="J27" s="104" t="n"/>
      <c r="K27" s="104" t="n"/>
      <c r="L27" s="110" t="n"/>
    </row>
    <row r="28" ht="12.75" customHeight="1" s="105">
      <c r="A28" s="109" t="n"/>
      <c r="B28" s="114" t="n"/>
      <c r="C28" s="104" t="n"/>
      <c r="D28" s="104" t="n"/>
      <c r="E28" s="104" t="n"/>
      <c r="F28" s="104" t="n"/>
      <c r="G28" s="104" t="n"/>
      <c r="H28" s="104" t="n"/>
      <c r="J28" s="104" t="n"/>
      <c r="K28" s="104" t="n"/>
      <c r="L28" s="110" t="n"/>
    </row>
    <row r="29" ht="12.75" customHeight="1" s="105">
      <c r="A29" s="115" t="inlineStr">
        <is>
          <t>Pristine is India's largest authorized training provider for CFA®, FRM®, PRM and Financial Modeling. It has conducted more than 300,000+ man-hours of finance trainings for individuals and corporates in all the major Indian cities and outside India.</t>
        </is>
      </c>
      <c r="L29" s="116" t="n"/>
    </row>
    <row r="30" ht="12.75" customHeight="1" s="105">
      <c r="A30" s="117" t="n"/>
      <c r="L30" s="116" t="n"/>
    </row>
    <row r="31" ht="13.5" customHeight="1" s="105">
      <c r="A31" s="118" t="n"/>
      <c r="B31" s="119" t="n"/>
      <c r="C31" s="119" t="n"/>
      <c r="D31" s="119" t="n"/>
      <c r="E31" s="119" t="n"/>
      <c r="F31" s="119" t="n"/>
      <c r="G31" s="119" t="n"/>
      <c r="H31" s="119" t="n"/>
      <c r="I31" s="119" t="n"/>
      <c r="J31" s="119" t="n"/>
      <c r="K31" s="119" t="n"/>
      <c r="L31" s="120" t="n"/>
    </row>
    <row r="32" ht="13.5" customHeight="1" s="105">
      <c r="A32" s="122" t="n"/>
      <c r="B32" s="123" t="n"/>
      <c r="C32" s="123" t="n"/>
      <c r="D32" s="123" t="n"/>
      <c r="E32" s="123" t="n"/>
      <c r="F32" s="123" t="n"/>
      <c r="G32" s="123" t="n"/>
      <c r="H32" s="123" t="n"/>
      <c r="I32" s="123" t="n"/>
      <c r="J32" s="123" t="n"/>
      <c r="K32" s="123" t="n"/>
      <c r="L32" s="124" t="n"/>
    </row>
  </sheetData>
  <sheetProtection selectLockedCells="1" selectUnlockedCells="1" sheet="1" objects="1" insertRows="1" insertHyperlinks="1" autoFilter="1" scenarios="1" formatColumns="1" deleteColumns="1" insertColumns="1" pivotTables="1" deleteRows="1" formatCells="1" formatRows="1" sort="1" password="cf5a"/>
  <mergeCells count="2">
    <mergeCell ref="A29:L31"/>
    <mergeCell ref="A3:L21"/>
  </mergeCells>
  <hyperlinks>
    <hyperlink xmlns:r="http://schemas.openxmlformats.org/officeDocument/2006/relationships" ref="I26" display="www.edupristine.com" r:id="rId1"/>
    <hyperlink xmlns:r="http://schemas.openxmlformats.org/officeDocument/2006/relationships" ref="I27" display="info@edupristine.com" r:id="rId2"/>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L22"/>
    </sheetView>
  </sheetViews>
  <sheetFormatPr baseColWidth="8" defaultColWidth="11.53515625" defaultRowHeight="12.8" zeroHeight="1" outlineLevelRow="0"/>
  <cols>
    <col width="1.28" customWidth="1" style="104" min="1" max="2"/>
    <col width="12.55" customWidth="1" style="104" min="3" max="3"/>
    <col width="6.41" customWidth="1" style="104" min="4" max="7"/>
    <col width="14.83" customWidth="1" style="104" min="8" max="8"/>
    <col width="9.130000000000001" customWidth="1" style="104" min="9" max="12"/>
    <col hidden="1" width="11.52" customWidth="1" style="104" min="13" max="257"/>
  </cols>
  <sheetData>
    <row r="1" ht="8.25" customHeight="1" s="105">
      <c r="A1" s="106" t="n"/>
      <c r="B1" s="107" t="n"/>
      <c r="C1" s="107" t="n"/>
      <c r="D1" s="107" t="n"/>
      <c r="E1" s="107" t="n"/>
      <c r="F1" s="107" t="n"/>
      <c r="G1" s="107" t="n"/>
      <c r="H1" s="107" t="n"/>
      <c r="I1" s="107" t="n"/>
      <c r="J1" s="107" t="n"/>
      <c r="K1" s="107" t="n"/>
      <c r="L1" s="108" t="n"/>
    </row>
    <row r="2" ht="8.25" customHeight="1" s="105">
      <c r="A2" s="109" t="n"/>
      <c r="B2" s="104" t="n"/>
      <c r="C2" s="104" t="n"/>
      <c r="D2" s="104" t="n"/>
      <c r="E2" s="104" t="n"/>
      <c r="F2" s="104" t="n"/>
      <c r="G2" s="104" t="n"/>
      <c r="H2" s="104" t="n"/>
      <c r="I2" s="104" t="n"/>
      <c r="J2" s="104" t="n"/>
      <c r="K2" s="104" t="n"/>
      <c r="L2" s="110" t="n"/>
    </row>
    <row r="3" ht="8.25" customHeight="1" s="105">
      <c r="A3" s="109" t="n"/>
      <c r="B3" s="104" t="n"/>
      <c r="C3" s="104" t="n"/>
      <c r="D3" s="104" t="n"/>
      <c r="E3" s="104" t="n"/>
      <c r="F3" s="104" t="n"/>
      <c r="G3" s="104" t="n"/>
      <c r="H3" s="104" t="n"/>
      <c r="I3" s="104" t="n"/>
      <c r="J3" s="104" t="n"/>
      <c r="K3" s="104" t="n"/>
      <c r="L3" s="110" t="n"/>
    </row>
    <row r="4" ht="20.25" customHeight="1" s="105">
      <c r="A4" s="125" t="inlineStr">
        <is>
          <t xml:space="preserve">This open source financial model is for information purposes only. Due efforts have been taken by Pristine and its employees in preparation of this model to ensure that the information is accurate to the best of their knowledge and belief. The primary source of information contained in the report has been the DRHP filing of the company with SEBI. Pristine, makes no representations or warranties regarding the accuracy or completeness of such information and expressly disclaims any and all liabilities based on such information or on omissions there from.
The analysts who compiled this open source financial model hereby state that the contents in the document reflect his/her/their views and opinions on the subject matter. Pristine, and its employees/ analysts do conduct trainings and from time to time to seek establish business or financial relationships with companies covered in the open research models. As a result, investors should be aware that Pristine and/or such individuals may have conflicts of interests that could affect the objectivity of this report.
</t>
        </is>
      </c>
      <c r="L4" s="116" t="n"/>
    </row>
    <row r="5" ht="12.75" customHeight="1" s="105">
      <c r="A5" s="117" t="n"/>
      <c r="L5" s="116" t="n"/>
    </row>
    <row r="6" ht="12.75" customHeight="1" s="105">
      <c r="A6" s="117" t="n"/>
      <c r="L6" s="116" t="n"/>
    </row>
    <row r="7" ht="37.5" customHeight="1" s="105">
      <c r="A7" s="117" t="n"/>
      <c r="L7" s="116" t="n"/>
    </row>
    <row r="8" ht="30" customHeight="1" s="105">
      <c r="A8" s="117" t="n"/>
      <c r="L8" s="116" t="n"/>
    </row>
    <row r="9" ht="12.75" customHeight="1" s="105">
      <c r="A9" s="117" t="n"/>
      <c r="L9" s="116" t="n"/>
    </row>
    <row r="10" ht="12.75" customHeight="1" s="105">
      <c r="A10" s="117" t="n"/>
      <c r="L10" s="116" t="n"/>
    </row>
    <row r="11" ht="12.75" customHeight="1" s="105">
      <c r="A11" s="117" t="n"/>
      <c r="L11" s="116" t="n"/>
    </row>
    <row r="12" ht="3" customHeight="1" s="105">
      <c r="A12" s="117" t="n"/>
      <c r="L12" s="116" t="n"/>
    </row>
    <row r="13" ht="3" customHeight="1" s="105">
      <c r="A13" s="117" t="n"/>
      <c r="L13" s="116" t="n"/>
    </row>
    <row r="14" ht="3.75" customHeight="1" s="105">
      <c r="A14" s="117" t="n"/>
      <c r="L14" s="116" t="n"/>
    </row>
    <row r="15" ht="12" customHeight="1" s="105">
      <c r="A15" s="117" t="n"/>
      <c r="L15" s="116" t="n"/>
    </row>
    <row r="16" ht="12" customHeight="1" s="105">
      <c r="A16" s="117" t="n"/>
      <c r="L16" s="116" t="n"/>
    </row>
    <row r="17" ht="5.25" customHeight="1" s="105">
      <c r="A17" s="117" t="n"/>
      <c r="L17" s="116" t="n"/>
    </row>
    <row r="18" ht="19.5" customHeight="1" s="105">
      <c r="A18" s="117" t="n"/>
      <c r="L18" s="116" t="n"/>
    </row>
    <row r="19" ht="12" customHeight="1" s="105">
      <c r="A19" s="117" t="n"/>
      <c r="L19" s="116" t="n"/>
    </row>
    <row r="20" ht="12" customHeight="1" s="105">
      <c r="A20" s="117" t="n"/>
      <c r="L20" s="116" t="n"/>
    </row>
    <row r="21" ht="12" customHeight="1" s="105">
      <c r="A21" s="117" t="n"/>
      <c r="L21" s="116" t="n"/>
    </row>
    <row r="22" ht="12" customHeight="1" s="105">
      <c r="A22" s="117" t="n"/>
      <c r="L22" s="116" t="n"/>
    </row>
    <row r="23" ht="12" customHeight="1" s="105">
      <c r="A23" s="109" t="n"/>
      <c r="B23" s="104" t="n"/>
      <c r="C23" s="104" t="n"/>
      <c r="D23" s="104" t="n"/>
      <c r="E23" s="104" t="n"/>
      <c r="F23" s="104" t="n"/>
      <c r="G23" s="104" t="n"/>
      <c r="H23" s="104" t="n"/>
      <c r="I23" s="104" t="n"/>
      <c r="J23" s="104" t="n"/>
      <c r="K23" s="104" t="n"/>
      <c r="L23" s="110" t="n"/>
    </row>
    <row r="24" ht="12" customHeight="1" s="105">
      <c r="A24" s="109" t="n"/>
      <c r="B24" s="114" t="n"/>
      <c r="C24" s="104" t="n"/>
      <c r="D24" s="104" t="n"/>
      <c r="E24" s="104" t="n"/>
      <c r="F24" s="104" t="n"/>
      <c r="G24" s="104" t="n"/>
      <c r="H24" s="104" t="n"/>
      <c r="I24" s="104" t="n"/>
      <c r="J24" s="104" t="n"/>
      <c r="K24" s="104" t="n"/>
      <c r="L24" s="110" t="n"/>
    </row>
    <row r="25" ht="12.75" customHeight="1" s="105">
      <c r="A25" s="109" t="n"/>
      <c r="B25" s="104" t="n"/>
      <c r="C25" s="104" t="n"/>
      <c r="D25" s="104" t="n"/>
      <c r="E25" s="104" t="n"/>
      <c r="F25" s="104" t="n"/>
      <c r="G25" s="104" t="n"/>
      <c r="H25" s="104" t="n"/>
      <c r="I25" s="104" t="n"/>
      <c r="J25" s="104" t="n"/>
      <c r="K25" s="104" t="n"/>
      <c r="L25" s="110" t="n"/>
    </row>
    <row r="26" ht="12.75" customHeight="1" s="105">
      <c r="A26" s="109" t="n"/>
      <c r="B26" s="104" t="n"/>
      <c r="C26" s="104" t="n"/>
      <c r="D26" s="104" t="n"/>
      <c r="E26" s="104" t="n"/>
      <c r="F26" s="104" t="n"/>
      <c r="G26" s="104" t="n"/>
      <c r="H26" s="104" t="n"/>
      <c r="I26" s="104" t="inlineStr">
        <is>
          <t>© Neev Knowledge Management - Pristine</t>
        </is>
      </c>
      <c r="J26" s="104" t="n"/>
      <c r="K26" s="104" t="n"/>
      <c r="L26" s="110" t="n"/>
    </row>
    <row r="27" ht="12.75" customHeight="1" s="105">
      <c r="A27" s="109" t="n"/>
      <c r="B27" s="104" t="n"/>
      <c r="C27" s="104" t="n"/>
      <c r="D27" s="104" t="n"/>
      <c r="E27" s="104" t="n"/>
      <c r="F27" s="104" t="n"/>
      <c r="G27" s="104" t="n"/>
      <c r="H27" s="104" t="n"/>
      <c r="I27" s="114" t="inlineStr">
        <is>
          <t>www.edupristine.com</t>
        </is>
      </c>
      <c r="J27" s="104" t="n"/>
      <c r="K27" s="104" t="n"/>
      <c r="L27" s="110" t="n"/>
    </row>
    <row r="28" ht="12.75" customHeight="1" s="105">
      <c r="A28" s="109" t="n"/>
      <c r="B28" s="114" t="n"/>
      <c r="C28" s="104" t="n"/>
      <c r="D28" s="104" t="n"/>
      <c r="E28" s="104" t="n"/>
      <c r="F28" s="104" t="n"/>
      <c r="G28" s="104" t="n"/>
      <c r="H28" s="104" t="n"/>
      <c r="I28" s="114" t="inlineStr">
        <is>
          <t>info@edupristine.com</t>
        </is>
      </c>
      <c r="J28" s="104" t="n"/>
      <c r="K28" s="104" t="n"/>
      <c r="L28" s="110" t="n"/>
    </row>
    <row r="29" ht="12.75" customHeight="1" s="105">
      <c r="A29" s="109" t="n"/>
      <c r="B29" s="104" t="n"/>
      <c r="C29" s="104" t="n"/>
      <c r="D29" s="104" t="n"/>
      <c r="E29" s="104" t="n"/>
      <c r="F29" s="104" t="n"/>
      <c r="G29" s="104" t="n"/>
      <c r="H29" s="104" t="n"/>
      <c r="I29" s="114" t="n"/>
      <c r="J29" s="104" t="n"/>
      <c r="K29" s="104" t="n"/>
      <c r="L29" s="110" t="n"/>
    </row>
    <row r="30" ht="12.75" customHeight="1" s="105">
      <c r="A30" s="115" t="inlineStr">
        <is>
          <t>Pristine is India's largest authorized training provider for CFA®, FRM®, PRM and Financial Modeling. It has conducted more than 300,000+ man-hours of finance trainings for individuals and corporates in all the major Indian cities and outside India.</t>
        </is>
      </c>
      <c r="L30" s="116" t="n"/>
    </row>
    <row r="31" ht="12.75" customHeight="1" s="105">
      <c r="A31" s="117" t="n"/>
      <c r="L31" s="116" t="n"/>
    </row>
    <row r="32" ht="13.5" customHeight="1" s="105">
      <c r="A32" s="118" t="n"/>
      <c r="B32" s="119" t="n"/>
      <c r="C32" s="119" t="n"/>
      <c r="D32" s="119" t="n"/>
      <c r="E32" s="119" t="n"/>
      <c r="F32" s="119" t="n"/>
      <c r="G32" s="119" t="n"/>
      <c r="H32" s="119" t="n"/>
      <c r="I32" s="119" t="n"/>
      <c r="J32" s="119" t="n"/>
      <c r="K32" s="119" t="n"/>
      <c r="L32" s="120" t="n"/>
    </row>
  </sheetData>
  <sheetProtection selectLockedCells="1" selectUnlockedCells="1" sheet="1" objects="0" insertRows="1" insertHyperlinks="1" autoFilter="1" scenarios="0" formatColumns="1" deleteColumns="1" insertColumns="1" pivotTables="1" deleteRows="1" formatCells="1" formatRows="1" sort="1" password="cf5a"/>
  <mergeCells count="2">
    <mergeCell ref="A30:L32"/>
    <mergeCell ref="A4:L22"/>
  </mergeCells>
  <hyperlinks>
    <hyperlink xmlns:r="http://schemas.openxmlformats.org/officeDocument/2006/relationships" ref="I27" display="www.edupristine.com" r:id="rId1"/>
    <hyperlink xmlns:r="http://schemas.openxmlformats.org/officeDocument/2006/relationships" ref="I28" display="info@edupristine.com" r:id="rId2"/>
  </hyperlinks>
  <printOptions horizontalCentered="0" verticalCentered="0" headings="0" gridLines="0" gridLinesSet="1"/>
  <pageMargins left="0.75" right="0.75" top="1" bottom="1"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R109"/>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16" activeCellId="0" sqref="G16"/>
    </sheetView>
  </sheetViews>
  <sheetFormatPr baseColWidth="8" defaultColWidth="9.13671875" defaultRowHeight="12.75" zeroHeight="0" outlineLevelRow="0"/>
  <cols>
    <col width="3.7" customWidth="1" style="126" min="1" max="2"/>
    <col width="45.65" customWidth="1" style="126" min="3" max="3"/>
    <col width="6.69" customWidth="1" style="126" min="4" max="5"/>
    <col width="11.69" customWidth="1" style="126" min="6" max="26"/>
    <col width="9.130000000000001" customWidth="1" style="126" min="27" max="257"/>
  </cols>
  <sheetData>
    <row r="1" ht="12.75" customHeight="1" s="105">
      <c r="R1" s="127" t="inlineStr">
        <is>
          <t>CAGR</t>
        </is>
      </c>
    </row>
    <row r="2" ht="12.75" customHeight="1" s="105">
      <c r="R2" s="127" t="inlineStr">
        <is>
          <t>Scroll Bar</t>
        </is>
      </c>
    </row>
    <row r="4" ht="12.75" customHeight="1" s="105">
      <c r="A4" s="128" t="inlineStr">
        <is>
          <t>(Unless otherwise specified, all financials are in INR Million)</t>
        </is>
      </c>
      <c r="F4" s="129">
        <f>CF!F4</f>
        <v/>
      </c>
      <c r="G4" s="129">
        <f>CF!G4</f>
        <v/>
      </c>
      <c r="H4" s="129">
        <f>CF!H4</f>
        <v/>
      </c>
      <c r="I4" s="129">
        <f>CF!I4</f>
        <v/>
      </c>
      <c r="J4" s="129">
        <f>CF!J4</f>
        <v/>
      </c>
      <c r="K4" s="129">
        <f>CF!K4</f>
        <v/>
      </c>
      <c r="L4" s="129">
        <f>CF!L4</f>
        <v/>
      </c>
      <c r="M4" s="129">
        <f>CF!M4</f>
        <v/>
      </c>
      <c r="N4" s="129">
        <f>CF!N4</f>
        <v/>
      </c>
      <c r="O4" s="129">
        <f>CF!O4</f>
        <v/>
      </c>
    </row>
    <row r="5" ht="12.75" customHeight="1" s="105">
      <c r="A5" s="130" t="inlineStr">
        <is>
          <t>P&amp;L Assumptions</t>
        </is>
      </c>
    </row>
    <row r="6" ht="12.75" customHeight="1" s="105">
      <c r="K6" s="126" t="n">
        <v>21</v>
      </c>
      <c r="L6" s="126" t="n">
        <v>21</v>
      </c>
      <c r="M6" s="126" t="n">
        <v>21</v>
      </c>
      <c r="N6" s="126" t="n">
        <v>21</v>
      </c>
      <c r="O6" s="126" t="n">
        <v>21</v>
      </c>
    </row>
    <row r="7" ht="12.75" customHeight="1" s="105">
      <c r="B7" s="126" t="inlineStr">
        <is>
          <t>Sales Growth Rate</t>
        </is>
      </c>
      <c r="E7" s="126" t="inlineStr">
        <is>
          <t>Scroll Bar</t>
        </is>
      </c>
      <c r="F7" s="131" t="n"/>
      <c r="G7" s="132">
        <f>'P&amp;L'!G7/'P&amp;L'!F7-1</f>
        <v/>
      </c>
      <c r="H7" s="132">
        <f>'P&amp;L'!H7/'P&amp;L'!G7-1</f>
        <v/>
      </c>
      <c r="I7" s="132">
        <f>'P&amp;L'!I7/'P&amp;L'!H7-1</f>
        <v/>
      </c>
      <c r="J7" s="132">
        <f>'P&amp;L'!J7/'P&amp;L'!I7-1</f>
        <v/>
      </c>
      <c r="K7" s="132">
        <f>IF($E7="CAGR",AVERAGE(G7:J7),K6/100)</f>
        <v/>
      </c>
      <c r="L7" s="132">
        <f>IF($E7="CAGR",AVERAGE(H7:K7),L6/100)</f>
        <v/>
      </c>
      <c r="M7" s="132">
        <f>IF($E7="CAGR",AVERAGE(I7:L7),M6/100)</f>
        <v/>
      </c>
      <c r="N7" s="132">
        <f>IF($E7="CAGR",AVERAGE(J7:M7),N6/100)</f>
        <v/>
      </c>
      <c r="O7" s="132">
        <f>IF($E7="CAGR",AVERAGE(K7:N7),O6/100)</f>
        <v/>
      </c>
    </row>
    <row r="8" ht="12.75" customHeight="1" s="105">
      <c r="F8" s="131" t="n"/>
      <c r="G8" s="132" t="n"/>
      <c r="H8" s="132" t="n"/>
      <c r="I8" s="132" t="n"/>
      <c r="J8" s="132" t="n"/>
      <c r="K8" s="132" t="n"/>
      <c r="L8" s="132" t="n"/>
      <c r="M8" s="132" t="n"/>
      <c r="N8" s="132" t="n"/>
      <c r="O8" s="132" t="n"/>
    </row>
    <row r="9" ht="12.75" customHeight="1" s="105">
      <c r="F9" s="131" t="n"/>
      <c r="G9" s="132" t="n"/>
      <c r="H9" s="132" t="n"/>
      <c r="I9" s="132" t="n"/>
      <c r="J9" s="132" t="n"/>
      <c r="K9" s="132" t="n">
        <v>8</v>
      </c>
      <c r="L9" s="132" t="n">
        <v>19</v>
      </c>
      <c r="M9" s="132" t="n">
        <v>44</v>
      </c>
      <c r="N9" s="132" t="n">
        <v>44</v>
      </c>
      <c r="O9" s="132" t="n">
        <v>44</v>
      </c>
    </row>
    <row r="10" ht="12.75" customHeight="1" s="105">
      <c r="B10" s="126" t="inlineStr">
        <is>
          <t>Other Income Growth Rate</t>
        </is>
      </c>
      <c r="E10" s="126" t="inlineStr">
        <is>
          <t>CAGR</t>
        </is>
      </c>
      <c r="F10" s="131" t="n"/>
      <c r="G10" s="132">
        <f>'P&amp;L'!G10/'P&amp;L'!F10-1</f>
        <v/>
      </c>
      <c r="H10" s="132">
        <f>'P&amp;L'!H10/'P&amp;L'!G10-1</f>
        <v/>
      </c>
      <c r="I10" s="132">
        <f>'P&amp;L'!I10/'P&amp;L'!H10-1</f>
        <v/>
      </c>
      <c r="J10" s="132">
        <f>'P&amp;L'!J10/'P&amp;L'!I10-1</f>
        <v/>
      </c>
      <c r="K10" s="132">
        <f>IF($E10="CAGR",AVERAGE(G10:J10),K9/100)</f>
        <v/>
      </c>
      <c r="L10" s="132">
        <f>IF($E10="CAGR",AVERAGE(H10:K10),L9/100)</f>
        <v/>
      </c>
      <c r="M10" s="132">
        <f>IF($E10="CAGR",AVERAGE(I10:L10),M9/100)</f>
        <v/>
      </c>
      <c r="N10" s="132">
        <f>IF($E10="CAGR",AVERAGE(J10:M10),N9/100)</f>
        <v/>
      </c>
      <c r="O10" s="132">
        <f>IF($E10="CAGR",AVERAGE(K10:N10),O9/100)</f>
        <v/>
      </c>
    </row>
    <row r="11" ht="12.75" customHeight="1" s="105">
      <c r="F11" s="131" t="n"/>
      <c r="G11" s="132" t="n"/>
      <c r="H11" s="132" t="n"/>
      <c r="I11" s="132" t="n"/>
      <c r="J11" s="132" t="n"/>
      <c r="K11" s="132" t="n"/>
      <c r="L11" s="132" t="n"/>
      <c r="M11" s="132" t="n"/>
      <c r="N11" s="132" t="n"/>
      <c r="O11" s="132" t="n"/>
    </row>
    <row r="12" ht="12.75" customHeight="1" s="105">
      <c r="F12" s="131" t="n"/>
      <c r="G12" s="132" t="n"/>
      <c r="H12" s="132" t="n"/>
      <c r="I12" s="132" t="n"/>
      <c r="J12" s="132" t="n"/>
      <c r="K12" s="132" t="n">
        <v>8</v>
      </c>
      <c r="L12" s="132" t="n">
        <v>9</v>
      </c>
      <c r="M12" s="132" t="n">
        <v>44</v>
      </c>
      <c r="N12" s="132" t="n">
        <v>44</v>
      </c>
      <c r="O12" s="132" t="n">
        <v>44</v>
      </c>
    </row>
    <row r="13" ht="12.75" customHeight="1" s="105">
      <c r="B13" s="126" t="inlineStr">
        <is>
          <t>Internal consumption of coal Growth Rate</t>
        </is>
      </c>
      <c r="E13" s="126" t="inlineStr">
        <is>
          <t>CAGR</t>
        </is>
      </c>
      <c r="F13" s="131" t="n"/>
      <c r="G13" s="132">
        <f>'P&amp;L'!G14/'P&amp;L'!F14-1</f>
        <v/>
      </c>
      <c r="H13" s="132">
        <f>'P&amp;L'!H14/'P&amp;L'!G14-1</f>
        <v/>
      </c>
      <c r="I13" s="132">
        <f>'P&amp;L'!I14/'P&amp;L'!H14-1</f>
        <v/>
      </c>
      <c r="J13" s="132">
        <f>'P&amp;L'!J14/'P&amp;L'!I14-1</f>
        <v/>
      </c>
      <c r="K13" s="132">
        <f>IF($E13="CAGR",AVERAGE(G13:J13),K12/100)</f>
        <v/>
      </c>
      <c r="L13" s="132">
        <f>IF($E13="CAGR",AVERAGE(H13:K13),L12/100)</f>
        <v/>
      </c>
      <c r="M13" s="132">
        <f>IF($E13="CAGR",AVERAGE(I13:L13),M12/100)</f>
        <v/>
      </c>
      <c r="N13" s="132">
        <f>IF($E13="CAGR",AVERAGE(J13:M13),N12/100)</f>
        <v/>
      </c>
      <c r="O13" s="132">
        <f>IF($E13="CAGR",AVERAGE(K13:N13),O12/100)</f>
        <v/>
      </c>
    </row>
    <row r="14" ht="12.75" customHeight="1" s="105">
      <c r="F14" s="131" t="n"/>
      <c r="G14" s="132" t="n"/>
      <c r="H14" s="132" t="n"/>
      <c r="I14" s="132" t="n"/>
      <c r="J14" s="132" t="n"/>
      <c r="K14" s="132" t="n"/>
      <c r="L14" s="132" t="n"/>
      <c r="M14" s="132" t="n"/>
      <c r="N14" s="132" t="n"/>
      <c r="O14" s="132" t="n"/>
    </row>
    <row r="15" ht="12.75" customHeight="1" s="105">
      <c r="F15" s="131" t="n"/>
      <c r="G15" s="132" t="n"/>
      <c r="H15" s="132" t="n"/>
      <c r="I15" s="132" t="n"/>
      <c r="J15" s="132" t="n"/>
      <c r="K15" s="132" t="n">
        <v>8</v>
      </c>
      <c r="L15" s="132" t="n">
        <v>9</v>
      </c>
      <c r="M15" s="132" t="n">
        <v>44</v>
      </c>
      <c r="N15" s="132" t="n">
        <v>44</v>
      </c>
      <c r="O15" s="132" t="n">
        <v>44</v>
      </c>
    </row>
    <row r="16" ht="12.75" customHeight="1" s="105">
      <c r="B16" s="126" t="inlineStr">
        <is>
          <t>Consumption of Stores &amp; Spares as % of Sales</t>
        </is>
      </c>
      <c r="E16" s="126" t="inlineStr">
        <is>
          <t>CAGR</t>
        </is>
      </c>
      <c r="F16" s="131" t="n"/>
      <c r="G16" s="132">
        <f>'P&amp;L'!G15/'P&amp;L'!G7</f>
        <v/>
      </c>
      <c r="H16" s="132">
        <f>'P&amp;L'!H15/'P&amp;L'!H7</f>
        <v/>
      </c>
      <c r="I16" s="132">
        <f>'P&amp;L'!I15/'P&amp;L'!I7</f>
        <v/>
      </c>
      <c r="J16" s="132">
        <f>'P&amp;L'!J15/'P&amp;L'!J7</f>
        <v/>
      </c>
      <c r="K16" s="132">
        <f>IF($E16="CAGR",AVERAGE(G16:J16),K15/100)</f>
        <v/>
      </c>
      <c r="L16" s="132">
        <f>IF($E16="CAGR",AVERAGE(H16:K16),L15/100)</f>
        <v/>
      </c>
      <c r="M16" s="132">
        <f>IF($E16="CAGR",AVERAGE(I16:L16),M15/100)</f>
        <v/>
      </c>
      <c r="N16" s="132">
        <f>IF($E16="CAGR",AVERAGE(J16:M16),N15/100)</f>
        <v/>
      </c>
      <c r="O16" s="132">
        <f>IF($E16="CAGR",AVERAGE(K16:N16),O15/100)</f>
        <v/>
      </c>
    </row>
    <row r="17" ht="12.75" customHeight="1" s="105">
      <c r="F17" s="131" t="n"/>
      <c r="G17" s="132" t="n"/>
      <c r="H17" s="132" t="n"/>
      <c r="I17" s="132" t="n"/>
      <c r="J17" s="132" t="n"/>
      <c r="K17" s="132" t="n"/>
      <c r="L17" s="132" t="n"/>
      <c r="M17" s="132" t="n"/>
      <c r="N17" s="132" t="n"/>
      <c r="O17" s="132" t="n"/>
    </row>
    <row r="18" ht="12.75" customHeight="1" s="105">
      <c r="F18" s="131" t="n"/>
      <c r="G18" s="132" t="n"/>
      <c r="H18" s="132" t="n"/>
      <c r="I18" s="132" t="n"/>
      <c r="J18" s="132" t="n"/>
      <c r="K18" s="132" t="n">
        <v>36</v>
      </c>
      <c r="L18" s="132" t="n">
        <v>33</v>
      </c>
      <c r="M18" s="132" t="n">
        <v>44</v>
      </c>
      <c r="N18" s="132" t="n">
        <v>44</v>
      </c>
      <c r="O18" s="132" t="n">
        <v>44</v>
      </c>
    </row>
    <row r="19" ht="12.75" customHeight="1" s="105">
      <c r="B19" s="126" t="inlineStr">
        <is>
          <t>Employees remuneration &amp; Benefits Growth Rate</t>
        </is>
      </c>
      <c r="E19" s="126" t="inlineStr">
        <is>
          <t>CAGR</t>
        </is>
      </c>
      <c r="F19" s="131" t="n"/>
      <c r="G19" s="132">
        <f>'P&amp;L'!G16/'P&amp;L'!F16-1</f>
        <v/>
      </c>
      <c r="H19" s="132">
        <f>'P&amp;L'!H16/'P&amp;L'!G16-1</f>
        <v/>
      </c>
      <c r="I19" s="132">
        <f>'P&amp;L'!I16/'P&amp;L'!H16-1</f>
        <v/>
      </c>
      <c r="J19" s="132">
        <f>'P&amp;L'!J16/'P&amp;L'!I16-1</f>
        <v/>
      </c>
      <c r="K19" s="132">
        <f>IF($E19="CAGR",AVERAGE(G19:J19),K18/100)</f>
        <v/>
      </c>
      <c r="L19" s="132">
        <f>IF($E19="CAGR",AVERAGE(H19:K19),L18/100)</f>
        <v/>
      </c>
      <c r="M19" s="132">
        <f>IF($E19="CAGR",AVERAGE(I19:L19),M18/100)</f>
        <v/>
      </c>
      <c r="N19" s="132">
        <f>IF($E19="CAGR",AVERAGE(J19:M19),N18/100)</f>
        <v/>
      </c>
      <c r="O19" s="132">
        <f>IF($E19="CAGR",AVERAGE(K19:N19),O18/100)</f>
        <v/>
      </c>
    </row>
    <row r="20" ht="12.75" customHeight="1" s="105">
      <c r="F20" s="131" t="n"/>
      <c r="G20" s="132" t="n"/>
      <c r="H20" s="132" t="n"/>
      <c r="I20" s="132" t="n"/>
      <c r="J20" s="132" t="n"/>
      <c r="K20" s="132" t="n"/>
      <c r="L20" s="132" t="n"/>
      <c r="M20" s="132" t="n"/>
      <c r="N20" s="132" t="n"/>
      <c r="O20" s="132" t="n"/>
    </row>
    <row r="21" ht="12.75" customHeight="1" s="105">
      <c r="F21" s="131" t="n"/>
      <c r="G21" s="132" t="n"/>
      <c r="H21" s="132" t="n"/>
      <c r="I21" s="132" t="n"/>
      <c r="J21" s="132" t="n"/>
      <c r="K21" s="132" t="n">
        <v>26</v>
      </c>
      <c r="L21" s="132" t="n">
        <v>33</v>
      </c>
      <c r="M21" s="132" t="n">
        <v>44</v>
      </c>
      <c r="N21" s="132" t="n">
        <v>44</v>
      </c>
      <c r="O21" s="132" t="n">
        <v>44</v>
      </c>
    </row>
    <row r="22" ht="12.75" customHeight="1" s="105">
      <c r="B22" s="126" t="inlineStr">
        <is>
          <t>Power &amp; Fuel as % of Sales</t>
        </is>
      </c>
      <c r="E22" s="126" t="inlineStr">
        <is>
          <t>CAGR</t>
        </is>
      </c>
      <c r="F22" s="131" t="n"/>
      <c r="G22" s="132">
        <f>'P&amp;L'!G17/'P&amp;L'!G7</f>
        <v/>
      </c>
      <c r="H22" s="132">
        <f>'P&amp;L'!H17/'P&amp;L'!H7</f>
        <v/>
      </c>
      <c r="I22" s="132">
        <f>'P&amp;L'!I17/'P&amp;L'!I7</f>
        <v/>
      </c>
      <c r="J22" s="132">
        <f>'P&amp;L'!J17/'P&amp;L'!J7</f>
        <v/>
      </c>
      <c r="K22" s="132">
        <f>IF($E22="CAGR",AVERAGE(G22:J22),K21/100)</f>
        <v/>
      </c>
      <c r="L22" s="132">
        <f>IF($E22="CAGR",AVERAGE(H22:K22),L21/100)</f>
        <v/>
      </c>
      <c r="M22" s="132">
        <f>IF($E22="CAGR",AVERAGE(I22:L22),M21/100)</f>
        <v/>
      </c>
      <c r="N22" s="132">
        <f>IF($E22="CAGR",AVERAGE(J22:M22),N21/100)</f>
        <v/>
      </c>
      <c r="O22" s="132">
        <f>IF($E22="CAGR",AVERAGE(K22:N22),O21/100)</f>
        <v/>
      </c>
    </row>
    <row r="23" ht="12.75" customHeight="1" s="105">
      <c r="F23" s="131" t="n"/>
      <c r="G23" s="132" t="n"/>
      <c r="H23" s="132" t="n"/>
      <c r="I23" s="132" t="n"/>
      <c r="J23" s="132" t="n"/>
      <c r="K23" s="132" t="n"/>
      <c r="L23" s="132" t="n"/>
      <c r="M23" s="132" t="n"/>
      <c r="N23" s="132" t="n"/>
      <c r="O23" s="132" t="n"/>
    </row>
    <row r="24" ht="12.75" customHeight="1" s="105">
      <c r="F24" s="131" t="n"/>
      <c r="G24" s="132" t="n"/>
      <c r="H24" s="132" t="n"/>
      <c r="I24" s="132" t="n"/>
      <c r="J24" s="132" t="n"/>
      <c r="K24" s="132" t="n">
        <v>33</v>
      </c>
      <c r="L24" s="132" t="n"/>
      <c r="M24" s="132" t="n">
        <v>44</v>
      </c>
      <c r="N24" s="132" t="n">
        <v>44</v>
      </c>
      <c r="O24" s="132" t="n">
        <v>44</v>
      </c>
    </row>
    <row r="25" ht="12.75" customHeight="1" s="105">
      <c r="B25" s="126" t="inlineStr">
        <is>
          <t>Social Overhead as % of Sales</t>
        </is>
      </c>
      <c r="E25" s="126" t="inlineStr">
        <is>
          <t>CAGR</t>
        </is>
      </c>
      <c r="F25" s="131" t="n"/>
      <c r="G25" s="132">
        <f>'P&amp;L'!G18/'P&amp;L'!G7</f>
        <v/>
      </c>
      <c r="H25" s="132">
        <f>'P&amp;L'!H18/'P&amp;L'!H7</f>
        <v/>
      </c>
      <c r="I25" s="132">
        <f>'P&amp;L'!I18/'P&amp;L'!I7</f>
        <v/>
      </c>
      <c r="J25" s="132">
        <f>'P&amp;L'!J18/'P&amp;L'!J7</f>
        <v/>
      </c>
      <c r="K25" s="132">
        <f>IF($E25="CAGR",AVERAGE(G25:J25),K24/100)</f>
        <v/>
      </c>
      <c r="L25" s="132">
        <f>IF($E25="CAGR",AVERAGE(H25:K25),L24/100)</f>
        <v/>
      </c>
      <c r="M25" s="132">
        <f>IF($E25="CAGR",AVERAGE(I25:L25),M24/100)</f>
        <v/>
      </c>
      <c r="N25" s="132">
        <f>IF($E25="CAGR",AVERAGE(J25:M25),N24/100)</f>
        <v/>
      </c>
      <c r="O25" s="132">
        <f>IF($E25="CAGR",AVERAGE(K25:N25),O24/100)</f>
        <v/>
      </c>
    </row>
    <row r="26" ht="12.75" customHeight="1" s="105">
      <c r="F26" s="131" t="n"/>
      <c r="G26" s="132" t="n"/>
      <c r="H26" s="132" t="n"/>
      <c r="I26" s="132" t="n"/>
      <c r="J26" s="132" t="n"/>
      <c r="K26" s="132" t="n"/>
      <c r="L26" s="132" t="n"/>
      <c r="M26" s="132" t="n"/>
      <c r="N26" s="132" t="n"/>
      <c r="O26" s="132" t="n"/>
    </row>
    <row r="27" ht="12.75" customHeight="1" s="105">
      <c r="F27" s="131" t="n"/>
      <c r="G27" s="132" t="n"/>
      <c r="H27" s="132" t="n"/>
      <c r="I27" s="132" t="n"/>
      <c r="J27" s="132" t="n"/>
      <c r="K27" s="132" t="n">
        <v>36</v>
      </c>
      <c r="L27" s="132" t="n">
        <v>33</v>
      </c>
      <c r="M27" s="132" t="n">
        <v>44</v>
      </c>
      <c r="N27" s="132" t="n">
        <v>44</v>
      </c>
      <c r="O27" s="132" t="n">
        <v>44</v>
      </c>
    </row>
    <row r="28" ht="12.75" customHeight="1" s="105">
      <c r="B28" s="126" t="inlineStr">
        <is>
          <t>Repairs as % of Sales</t>
        </is>
      </c>
      <c r="E28" s="126" t="inlineStr">
        <is>
          <t>CAGR</t>
        </is>
      </c>
      <c r="F28" s="131" t="n"/>
      <c r="G28" s="132">
        <f>'P&amp;L'!G19/'P&amp;L'!G7</f>
        <v/>
      </c>
      <c r="H28" s="132">
        <f>'P&amp;L'!H19/'P&amp;L'!H7</f>
        <v/>
      </c>
      <c r="I28" s="132">
        <f>'P&amp;L'!I19/'P&amp;L'!I7</f>
        <v/>
      </c>
      <c r="J28" s="132">
        <f>'P&amp;L'!J19/'P&amp;L'!J7</f>
        <v/>
      </c>
      <c r="K28" s="132">
        <f>IF($E28="CAGR",AVERAGE(G28:J28),K27/100)</f>
        <v/>
      </c>
      <c r="L28" s="132">
        <f>IF($E28="CAGR",AVERAGE(H28:K28),L27/100)</f>
        <v/>
      </c>
      <c r="M28" s="132">
        <f>IF($E28="CAGR",AVERAGE(I28:L28),M27/100)</f>
        <v/>
      </c>
      <c r="N28" s="132">
        <f>IF($E28="CAGR",AVERAGE(J28:M28),N27/100)</f>
        <v/>
      </c>
      <c r="O28" s="132">
        <f>IF($E28="CAGR",AVERAGE(K28:N28),O27/100)</f>
        <v/>
      </c>
    </row>
    <row r="29" ht="12.75" customHeight="1" s="105">
      <c r="F29" s="131" t="n"/>
      <c r="G29" s="132" t="n"/>
      <c r="H29" s="132" t="n"/>
      <c r="I29" s="132" t="n"/>
      <c r="J29" s="132" t="n"/>
      <c r="K29" s="132" t="n"/>
      <c r="L29" s="132" t="n"/>
      <c r="M29" s="132" t="n"/>
      <c r="N29" s="132" t="n"/>
      <c r="O29" s="132" t="n"/>
    </row>
    <row r="30" ht="12.75" customHeight="1" s="105">
      <c r="F30" s="131" t="n"/>
      <c r="G30" s="132" t="n"/>
      <c r="H30" s="132" t="n"/>
      <c r="I30" s="132" t="n"/>
      <c r="J30" s="132" t="n"/>
      <c r="K30" s="132" t="n">
        <v>26</v>
      </c>
      <c r="L30" s="132" t="n">
        <v>33</v>
      </c>
      <c r="M30" s="132" t="n">
        <v>44</v>
      </c>
      <c r="N30" s="132" t="n">
        <v>54</v>
      </c>
      <c r="O30" s="132" t="n">
        <v>44</v>
      </c>
    </row>
    <row r="31" ht="12.75" customHeight="1" s="105">
      <c r="B31" s="126" t="inlineStr">
        <is>
          <t>Contractual Expenses as % of Sales</t>
        </is>
      </c>
      <c r="E31" s="126" t="inlineStr">
        <is>
          <t>CAGR</t>
        </is>
      </c>
      <c r="F31" s="131" t="n"/>
      <c r="G31" s="132">
        <f>'P&amp;L'!G20/'P&amp;L'!G7</f>
        <v/>
      </c>
      <c r="H31" s="132">
        <f>'P&amp;L'!H20/'P&amp;L'!H7</f>
        <v/>
      </c>
      <c r="I31" s="132">
        <f>'P&amp;L'!I20/'P&amp;L'!I7</f>
        <v/>
      </c>
      <c r="J31" s="132">
        <f>'P&amp;L'!J20/'P&amp;L'!J7</f>
        <v/>
      </c>
      <c r="K31" s="132">
        <f>IF($E31="CAGR",AVERAGE(G31:J31),K30/100)</f>
        <v/>
      </c>
      <c r="L31" s="132">
        <f>IF($E31="CAGR",AVERAGE(H31:K31),L30/100)</f>
        <v/>
      </c>
      <c r="M31" s="132">
        <f>IF($E31="CAGR",AVERAGE(I31:L31),M30/100)</f>
        <v/>
      </c>
      <c r="N31" s="132">
        <f>IF($E31="CAGR",AVERAGE(J31:M31),N30/100)</f>
        <v/>
      </c>
      <c r="O31" s="132">
        <f>IF($E31="CAGR",AVERAGE(K31:N31),O30/100)</f>
        <v/>
      </c>
    </row>
    <row r="32" ht="12.75" customHeight="1" s="105">
      <c r="F32" s="131" t="n"/>
      <c r="G32" s="132" t="n"/>
      <c r="H32" s="132" t="n"/>
      <c r="I32" s="132" t="n"/>
      <c r="J32" s="132" t="n"/>
      <c r="K32" s="132" t="n"/>
      <c r="L32" s="132" t="n"/>
      <c r="M32" s="132" t="n"/>
      <c r="N32" s="132" t="n"/>
      <c r="O32" s="132" t="n"/>
    </row>
    <row r="33" ht="12.75" customHeight="1" s="105">
      <c r="F33" s="131" t="n"/>
      <c r="G33" s="132" t="n"/>
      <c r="H33" s="132" t="n"/>
      <c r="I33" s="132" t="n"/>
      <c r="J33" s="132" t="n"/>
      <c r="K33" s="132" t="n">
        <v>26</v>
      </c>
      <c r="L33" s="132" t="n">
        <v>33</v>
      </c>
      <c r="M33" s="132" t="n">
        <v>44</v>
      </c>
      <c r="N33" s="132" t="n">
        <v>44</v>
      </c>
      <c r="O33" s="132" t="n">
        <v>44</v>
      </c>
    </row>
    <row r="34" ht="12.75" customHeight="1" s="105">
      <c r="B34" s="126" t="inlineStr">
        <is>
          <t>Other Expenditure as % of Sales</t>
        </is>
      </c>
      <c r="E34" s="126" t="inlineStr">
        <is>
          <t>CAGR</t>
        </is>
      </c>
      <c r="F34" s="131" t="n"/>
      <c r="G34" s="132">
        <f>'P&amp;L'!G21/'P&amp;L'!G7</f>
        <v/>
      </c>
      <c r="H34" s="132">
        <f>'P&amp;L'!H21/'P&amp;L'!H7</f>
        <v/>
      </c>
      <c r="I34" s="132">
        <f>'P&amp;L'!I21/'P&amp;L'!I7</f>
        <v/>
      </c>
      <c r="J34" s="132">
        <f>'P&amp;L'!J21/'P&amp;L'!J7</f>
        <v/>
      </c>
      <c r="K34" s="132">
        <f>IF($E34="CAGR",AVERAGE(G34:J34),K33/100)</f>
        <v/>
      </c>
      <c r="L34" s="132">
        <f>IF($E34="CAGR",AVERAGE(H34:K34),L33/100)</f>
        <v/>
      </c>
      <c r="M34" s="132">
        <f>IF($E34="CAGR",AVERAGE(I34:L34),M33/100)</f>
        <v/>
      </c>
      <c r="N34" s="132">
        <f>IF($E34="CAGR",AVERAGE(J34:M34),N33/100)</f>
        <v/>
      </c>
      <c r="O34" s="132">
        <f>IF($E34="CAGR",AVERAGE(K34:N34),O33/100)</f>
        <v/>
      </c>
    </row>
    <row r="35" ht="12.75" customHeight="1" s="105">
      <c r="F35" s="131" t="n"/>
      <c r="G35" s="132" t="n"/>
      <c r="H35" s="132" t="n"/>
      <c r="I35" s="132" t="n"/>
      <c r="J35" s="132" t="n"/>
      <c r="K35" s="132" t="n"/>
      <c r="L35" s="132" t="n"/>
      <c r="M35" s="132" t="n"/>
      <c r="N35" s="132" t="n"/>
      <c r="O35" s="132" t="n"/>
    </row>
    <row r="36" ht="12.75" customHeight="1" s="105">
      <c r="F36" s="131" t="n"/>
      <c r="G36" s="132" t="n"/>
      <c r="H36" s="132" t="n"/>
      <c r="I36" s="132" t="n"/>
      <c r="J36" s="132" t="n"/>
      <c r="K36" s="132" t="n">
        <v>26</v>
      </c>
      <c r="L36" s="132" t="n">
        <v>33</v>
      </c>
      <c r="M36" s="132" t="n">
        <v>44</v>
      </c>
      <c r="N36" s="132" t="n">
        <v>44</v>
      </c>
      <c r="O36" s="132" t="n">
        <v>44</v>
      </c>
    </row>
    <row r="37" ht="12.75" customHeight="1" s="105">
      <c r="B37" s="126" t="inlineStr">
        <is>
          <t>Overburden removal adjustment as % of Sales</t>
        </is>
      </c>
      <c r="E37" s="126" t="inlineStr">
        <is>
          <t>CAGR</t>
        </is>
      </c>
      <c r="F37" s="131" t="n"/>
      <c r="G37" s="132">
        <f>'P&amp;L'!G23/'P&amp;L'!G7</f>
        <v/>
      </c>
      <c r="H37" s="132">
        <f>'P&amp;L'!H23/'P&amp;L'!H7</f>
        <v/>
      </c>
      <c r="I37" s="132">
        <f>'P&amp;L'!I23/'P&amp;L'!I7</f>
        <v/>
      </c>
      <c r="J37" s="132">
        <f>'P&amp;L'!J23/'P&amp;L'!J7</f>
        <v/>
      </c>
      <c r="K37" s="132">
        <f>IF($E37="CAGR",AVERAGE(G37:J37),K36/100)</f>
        <v/>
      </c>
      <c r="L37" s="132">
        <f>IF($E37="CAGR",AVERAGE(H37:K37),L36/100)</f>
        <v/>
      </c>
      <c r="M37" s="132">
        <f>IF($E37="CAGR",AVERAGE(I37:L37),M36/100)</f>
        <v/>
      </c>
      <c r="N37" s="132">
        <f>IF($E37="CAGR",AVERAGE(J37:M37),N36/100)</f>
        <v/>
      </c>
      <c r="O37" s="132">
        <f>IF($E37="CAGR",AVERAGE(K37:N37),O36/100)</f>
        <v/>
      </c>
    </row>
    <row r="38" ht="12.75" customHeight="1" s="105">
      <c r="F38" s="131" t="n"/>
      <c r="G38" s="132" t="n"/>
      <c r="H38" s="132" t="n"/>
      <c r="I38" s="132" t="n"/>
      <c r="J38" s="132" t="n"/>
      <c r="K38" s="132" t="n"/>
      <c r="L38" s="132" t="n"/>
      <c r="M38" s="132" t="n"/>
      <c r="N38" s="132" t="n"/>
      <c r="O38" s="132" t="n"/>
    </row>
    <row r="39" ht="12.75" customHeight="1" s="105">
      <c r="F39" s="131" t="n"/>
      <c r="G39" s="132" t="n"/>
      <c r="H39" s="132" t="n"/>
      <c r="I39" s="132" t="n"/>
      <c r="J39" s="132" t="n"/>
      <c r="K39" s="132" t="n">
        <v>26</v>
      </c>
      <c r="L39" s="132" t="n">
        <v>33</v>
      </c>
      <c r="M39" s="132" t="n">
        <v>44</v>
      </c>
      <c r="N39" s="132" t="n">
        <v>44</v>
      </c>
      <c r="O39" s="132" t="n">
        <v>44</v>
      </c>
    </row>
    <row r="40" ht="12.75" customHeight="1" s="105">
      <c r="B40" s="126" t="inlineStr">
        <is>
          <t>Finance Charges/Commitment Charges</t>
        </is>
      </c>
      <c r="E40" s="126" t="inlineStr">
        <is>
          <t>CAGR</t>
        </is>
      </c>
      <c r="F40" s="131" t="n"/>
      <c r="G40" s="132">
        <f>'P&amp;L'!G24/'P&amp;L'!F24-1</f>
        <v/>
      </c>
      <c r="H40" s="132">
        <f>'P&amp;L'!H24/'P&amp;L'!G24-1</f>
        <v/>
      </c>
      <c r="I40" s="132">
        <f>'P&amp;L'!I24/'P&amp;L'!H24-1</f>
        <v/>
      </c>
      <c r="J40" s="132">
        <f>'P&amp;L'!J24/'P&amp;L'!I24-1</f>
        <v/>
      </c>
      <c r="K40" s="132">
        <f>IF($E40="CAGR",AVERAGE(G40:J40),K39/100)</f>
        <v/>
      </c>
      <c r="L40" s="132">
        <f>IF($E40="CAGR",AVERAGE(H40:K40),L39/100)</f>
        <v/>
      </c>
      <c r="M40" s="132">
        <f>IF($E40="CAGR",AVERAGE(I40:L40),M39/100)</f>
        <v/>
      </c>
      <c r="N40" s="132">
        <f>IF($E40="CAGR",AVERAGE(J40:M40),N39/100)</f>
        <v/>
      </c>
      <c r="O40" s="132">
        <f>IF($E40="CAGR",AVERAGE(K40:N40),O39/100)</f>
        <v/>
      </c>
    </row>
    <row r="41" ht="12.75" customHeight="1" s="105">
      <c r="F41" s="131" t="n"/>
      <c r="G41" s="132" t="n"/>
      <c r="H41" s="132" t="n"/>
      <c r="I41" s="132" t="n"/>
      <c r="J41" s="132" t="n"/>
      <c r="K41" s="132" t="n"/>
      <c r="L41" s="132" t="n"/>
      <c r="M41" s="132" t="n"/>
      <c r="N41" s="132" t="n"/>
      <c r="O41" s="132" t="n"/>
    </row>
    <row r="42" ht="12.75" customHeight="1" s="105">
      <c r="F42" s="131" t="n"/>
      <c r="G42" s="132" t="n"/>
      <c r="H42" s="132" t="n"/>
      <c r="I42" s="132" t="n"/>
      <c r="J42" s="132" t="n"/>
      <c r="K42" s="132" t="n">
        <v>0</v>
      </c>
      <c r="L42" s="132" t="n">
        <v>0</v>
      </c>
      <c r="M42" s="132" t="n">
        <v>0</v>
      </c>
      <c r="N42" s="132" t="n">
        <v>0</v>
      </c>
      <c r="O42" s="132" t="n">
        <v>0</v>
      </c>
    </row>
    <row r="43" ht="12.75" customHeight="1" s="105">
      <c r="B43" s="126" t="inlineStr">
        <is>
          <t>Impairment</t>
        </is>
      </c>
      <c r="E43" s="126" t="inlineStr">
        <is>
          <t>Scroll Bar</t>
        </is>
      </c>
      <c r="F43" s="131" t="n"/>
      <c r="G43" s="132">
        <f>'P&amp;L'!G26/'P&amp;L'!F26-1</f>
        <v/>
      </c>
      <c r="H43" s="132">
        <f>'P&amp;L'!H26/'P&amp;L'!G26-1</f>
        <v/>
      </c>
      <c r="I43" s="132">
        <f>'P&amp;L'!I26/'P&amp;L'!H26-1</f>
        <v/>
      </c>
      <c r="J43" s="132">
        <f>'P&amp;L'!J26/'P&amp;L'!I26-1</f>
        <v/>
      </c>
      <c r="K43" s="132">
        <f>IF($E43="CAGR",AVERAGE(G43:J43),K42/100)</f>
        <v/>
      </c>
      <c r="L43" s="132">
        <f>IF($E43="CAGR",AVERAGE(H43:K43),L42/100)</f>
        <v/>
      </c>
      <c r="M43" s="132">
        <f>IF($E43="CAGR",AVERAGE(I43:L43),M42/100)</f>
        <v/>
      </c>
      <c r="N43" s="132">
        <f>IF($E43="CAGR",AVERAGE(J43:M43),N42/100)</f>
        <v/>
      </c>
      <c r="O43" s="132">
        <f>IF($E43="CAGR",AVERAGE(K43:N43),O42/100)</f>
        <v/>
      </c>
    </row>
    <row r="44" ht="12.75" customHeight="1" s="105">
      <c r="F44" s="131" t="n"/>
      <c r="G44" s="132" t="n"/>
      <c r="H44" s="132" t="n"/>
      <c r="I44" s="132" t="n"/>
      <c r="J44" s="132" t="n"/>
      <c r="K44" s="132" t="n"/>
      <c r="L44" s="132" t="n"/>
      <c r="M44" s="132" t="n"/>
      <c r="N44" s="132" t="n"/>
      <c r="O44" s="132" t="n"/>
    </row>
    <row r="45" ht="12.75" customHeight="1" s="105">
      <c r="F45" s="131" t="n"/>
      <c r="G45" s="132" t="n"/>
      <c r="H45" s="132" t="n"/>
      <c r="I45" s="132" t="n"/>
      <c r="J45" s="132" t="n"/>
      <c r="K45" s="132" t="n">
        <v>26</v>
      </c>
      <c r="L45" s="132" t="n">
        <v>33</v>
      </c>
      <c r="M45" s="132" t="n">
        <v>44</v>
      </c>
      <c r="N45" s="132" t="n">
        <v>44</v>
      </c>
      <c r="O45" s="132" t="n">
        <v>44</v>
      </c>
    </row>
    <row r="46" ht="12.75" customHeight="1" s="105">
      <c r="B46" s="126" t="inlineStr">
        <is>
          <t>Write off as % of Provisions</t>
        </is>
      </c>
      <c r="E46" s="126" t="inlineStr">
        <is>
          <t>CAGR</t>
        </is>
      </c>
      <c r="F46" s="131" t="n"/>
      <c r="G46" s="132">
        <f>'P&amp;L'!G27/BS!G9</f>
        <v/>
      </c>
      <c r="H46" s="132">
        <f>'P&amp;L'!H27/BS!H9</f>
        <v/>
      </c>
      <c r="I46" s="132">
        <f>'P&amp;L'!I27/BS!I9</f>
        <v/>
      </c>
      <c r="J46" s="132">
        <f>'P&amp;L'!J27/BS!J9</f>
        <v/>
      </c>
      <c r="K46" s="132">
        <f>IF($E46="CAGR",AVERAGE(G46:J46),K45/100)</f>
        <v/>
      </c>
      <c r="L46" s="132">
        <f>IF($E46="CAGR",AVERAGE(H46:K46),L45/100)</f>
        <v/>
      </c>
      <c r="M46" s="132">
        <f>IF($E46="CAGR",AVERAGE(I46:L46),M45/100)</f>
        <v/>
      </c>
      <c r="N46" s="132">
        <f>IF($E46="CAGR",AVERAGE(J46:M46),N45/100)</f>
        <v/>
      </c>
      <c r="O46" s="132">
        <f>IF($E46="CAGR",AVERAGE(K46:N46),O45/100)</f>
        <v/>
      </c>
    </row>
    <row r="47" ht="12.75" customHeight="1" s="105">
      <c r="F47" s="131" t="n"/>
      <c r="G47" s="132" t="n"/>
      <c r="H47" s="132" t="n"/>
      <c r="I47" s="132" t="n"/>
      <c r="J47" s="132" t="n"/>
      <c r="K47" s="132" t="n"/>
      <c r="L47" s="132" t="n"/>
      <c r="M47" s="132" t="n"/>
      <c r="N47" s="132" t="n"/>
      <c r="O47" s="132" t="n"/>
    </row>
    <row r="48" ht="12.75" customHeight="1" s="105">
      <c r="F48" s="131" t="n"/>
      <c r="G48" s="132" t="n"/>
      <c r="H48" s="132" t="n"/>
      <c r="I48" s="132" t="n"/>
      <c r="J48" s="132" t="n"/>
      <c r="K48" s="132" t="n"/>
      <c r="L48" s="132" t="n"/>
      <c r="M48" s="132" t="n"/>
      <c r="N48" s="132" t="n"/>
      <c r="O48" s="132" t="n"/>
    </row>
    <row r="49" ht="12.75" customHeight="1" s="105">
      <c r="A49" s="130" t="inlineStr">
        <is>
          <t>Balance Sheet Assumptions</t>
        </is>
      </c>
      <c r="F49" s="131" t="n"/>
      <c r="G49" s="132" t="n"/>
      <c r="H49" s="132" t="n"/>
      <c r="I49" s="132" t="n"/>
      <c r="J49" s="132" t="n"/>
      <c r="K49" s="132" t="n"/>
      <c r="L49" s="132" t="n"/>
      <c r="M49" s="132" t="n"/>
      <c r="N49" s="132" t="n"/>
      <c r="O49" s="132" t="n"/>
    </row>
    <row r="50" ht="12.75" customHeight="1" s="105">
      <c r="F50" s="131" t="n"/>
      <c r="G50" s="132" t="n"/>
      <c r="H50" s="132" t="n"/>
      <c r="I50" s="132" t="n"/>
      <c r="J50" s="132" t="n"/>
      <c r="K50" s="132" t="n">
        <v>26</v>
      </c>
      <c r="L50" s="132" t="n">
        <v>33</v>
      </c>
      <c r="M50" s="132" t="n">
        <v>44</v>
      </c>
      <c r="N50" s="132" t="n">
        <v>44</v>
      </c>
      <c r="O50" s="132" t="n">
        <v>44</v>
      </c>
    </row>
    <row r="51" ht="12.75" customHeight="1" s="105">
      <c r="B51" s="126" t="inlineStr">
        <is>
          <t>Capital Work in Progress as % of Sales</t>
        </is>
      </c>
      <c r="E51" s="126" t="inlineStr">
        <is>
          <t>CAGR</t>
        </is>
      </c>
      <c r="F51" s="131" t="n"/>
      <c r="G51" s="132">
        <f>BS!G12/'P&amp;L'!G7</f>
        <v/>
      </c>
      <c r="H51" s="132">
        <f>BS!H12/'P&amp;L'!H7</f>
        <v/>
      </c>
      <c r="I51" s="132">
        <f>BS!I12/'P&amp;L'!I7</f>
        <v/>
      </c>
      <c r="J51" s="132">
        <f>BS!J12/'P&amp;L'!J7</f>
        <v/>
      </c>
      <c r="K51" s="132">
        <f>IF($E51="CAGR",AVERAGE(G51:J51),K50/100)</f>
        <v/>
      </c>
      <c r="L51" s="132">
        <f>IF($E51="CAGR",AVERAGE(H51:K51),L50/100)</f>
        <v/>
      </c>
      <c r="M51" s="132">
        <f>IF($E51="CAGR",AVERAGE(I51:L51),M50/100)</f>
        <v/>
      </c>
      <c r="N51" s="132">
        <f>IF($E51="CAGR",AVERAGE(J51:M51),N50/100)</f>
        <v/>
      </c>
      <c r="O51" s="132">
        <f>IF($E51="CAGR",AVERAGE(K51:N51),O50/100)</f>
        <v/>
      </c>
    </row>
    <row r="52" ht="12.75" customHeight="1" s="105">
      <c r="F52" s="131" t="n"/>
      <c r="G52" s="132" t="n"/>
      <c r="H52" s="132" t="n"/>
      <c r="I52" s="132" t="n"/>
      <c r="J52" s="132" t="n"/>
      <c r="K52" s="132" t="n"/>
      <c r="L52" s="132" t="n"/>
      <c r="M52" s="132" t="n"/>
      <c r="N52" s="132" t="n"/>
      <c r="O52" s="132" t="n"/>
    </row>
    <row r="53" ht="12.75" customHeight="1" s="105">
      <c r="F53" s="131" t="n"/>
      <c r="G53" s="132" t="n"/>
      <c r="H53" s="132" t="n"/>
      <c r="I53" s="132" t="n"/>
      <c r="J53" s="132" t="n"/>
      <c r="K53" s="132" t="n">
        <v>26</v>
      </c>
      <c r="L53" s="132" t="n">
        <v>33</v>
      </c>
      <c r="M53" s="132" t="n">
        <v>44</v>
      </c>
      <c r="N53" s="132" t="n">
        <v>44</v>
      </c>
      <c r="O53" s="132" t="n">
        <v>44</v>
      </c>
    </row>
    <row r="54" ht="12.75" customHeight="1" s="105">
      <c r="B54" s="126" t="inlineStr">
        <is>
          <t>Surveyed Off Assets as % of Net Block</t>
        </is>
      </c>
      <c r="E54" s="126" t="inlineStr">
        <is>
          <t>CAGR</t>
        </is>
      </c>
      <c r="F54" s="131" t="n"/>
      <c r="G54" s="132">
        <f>BS!F13/BS!F11</f>
        <v/>
      </c>
      <c r="H54" s="132">
        <f>BS!G13/BS!G11</f>
        <v/>
      </c>
      <c r="I54" s="132">
        <f>BS!H13/BS!H11</f>
        <v/>
      </c>
      <c r="J54" s="132">
        <f>BS!I13/BS!I11</f>
        <v/>
      </c>
      <c r="K54" s="132">
        <f>IF($E54="CAGR",AVERAGE(G54:J54),K53/100)</f>
        <v/>
      </c>
      <c r="L54" s="132">
        <f>IF($E54="CAGR",AVERAGE(H54:K54),L53/100)</f>
        <v/>
      </c>
      <c r="M54" s="132">
        <f>IF($E54="CAGR",AVERAGE(I54:L54),M53/100)</f>
        <v/>
      </c>
      <c r="N54" s="132">
        <f>IF($E54="CAGR",AVERAGE(J54:M54),N53/100)</f>
        <v/>
      </c>
      <c r="O54" s="132">
        <f>IF($E54="CAGR",AVERAGE(K54:N54),O53/100)</f>
        <v/>
      </c>
    </row>
    <row r="55" ht="12.75" customHeight="1" s="105">
      <c r="F55" s="131" t="n"/>
      <c r="G55" s="132" t="n"/>
      <c r="H55" s="132" t="n"/>
      <c r="I55" s="132" t="n"/>
      <c r="J55" s="132" t="n"/>
      <c r="K55" s="132" t="n"/>
      <c r="L55" s="132" t="n"/>
      <c r="M55" s="132" t="n"/>
      <c r="N55" s="132" t="n"/>
      <c r="O55" s="132" t="n"/>
    </row>
    <row r="56" ht="12.75" customHeight="1" s="105">
      <c r="F56" s="131" t="n"/>
      <c r="G56" s="132" t="n"/>
      <c r="H56" s="132" t="n"/>
      <c r="I56" s="132" t="n"/>
      <c r="J56" s="132" t="n"/>
      <c r="K56" s="132" t="n">
        <v>36</v>
      </c>
      <c r="L56" s="132" t="n">
        <v>33</v>
      </c>
      <c r="M56" s="132" t="n">
        <v>44</v>
      </c>
      <c r="N56" s="132" t="n">
        <v>44</v>
      </c>
      <c r="O56" s="132" t="n">
        <v>44</v>
      </c>
    </row>
    <row r="57" ht="12.75" customHeight="1" s="105">
      <c r="B57" s="126" t="inlineStr">
        <is>
          <t>Sundry Debtors as % of Gross Block</t>
        </is>
      </c>
      <c r="E57" s="126" t="inlineStr">
        <is>
          <t>CAGR</t>
        </is>
      </c>
      <c r="F57" s="131" t="n"/>
      <c r="G57" s="132">
        <f>BS!G21/BS!G7</f>
        <v/>
      </c>
      <c r="H57" s="132">
        <f>BS!H21/BS!H7</f>
        <v/>
      </c>
      <c r="I57" s="132">
        <f>BS!I21/BS!I7</f>
        <v/>
      </c>
      <c r="J57" s="132">
        <f>BS!J21/BS!J7</f>
        <v/>
      </c>
      <c r="K57" s="132">
        <f>IF($E57="CAGR",AVERAGE(G57:J57),K56/100)</f>
        <v/>
      </c>
      <c r="L57" s="132">
        <f>IF($E57="CAGR",AVERAGE(H57:K57),L56/100)</f>
        <v/>
      </c>
      <c r="M57" s="132">
        <f>IF($E57="CAGR",AVERAGE(I57:L57),M56/100)</f>
        <v/>
      </c>
      <c r="N57" s="132">
        <f>IF($E57="CAGR",AVERAGE(J57:M57),N56/100)</f>
        <v/>
      </c>
      <c r="O57" s="132">
        <f>IF($E57="CAGR",AVERAGE(K57:N57),O56/100)</f>
        <v/>
      </c>
    </row>
    <row r="58" ht="12.75" customHeight="1" s="105">
      <c r="F58" s="131" t="n"/>
      <c r="G58" s="132" t="n"/>
      <c r="H58" s="132" t="n"/>
      <c r="I58" s="132" t="n"/>
      <c r="J58" s="132" t="n"/>
      <c r="K58" s="132" t="n"/>
      <c r="L58" s="132" t="n"/>
      <c r="M58" s="132" t="n"/>
      <c r="N58" s="132" t="n"/>
      <c r="O58" s="132" t="n"/>
    </row>
    <row r="59" ht="12.75" customHeight="1" s="105">
      <c r="F59" s="131" t="n"/>
      <c r="G59" s="132" t="n"/>
      <c r="H59" s="132" t="n"/>
      <c r="I59" s="132" t="n"/>
      <c r="J59" s="132" t="n"/>
      <c r="K59" s="132" t="n">
        <v>180</v>
      </c>
      <c r="L59" s="132" t="n">
        <v>165</v>
      </c>
      <c r="M59" s="132" t="n">
        <v>160</v>
      </c>
      <c r="N59" s="132" t="n">
        <v>150</v>
      </c>
      <c r="O59" s="132" t="n">
        <v>150</v>
      </c>
    </row>
    <row r="60" ht="12.75" customHeight="1" s="105">
      <c r="B60" s="126" t="inlineStr">
        <is>
          <t>Inventory # of Days</t>
        </is>
      </c>
      <c r="E60" s="126" t="inlineStr">
        <is>
          <t>Scroll Bar</t>
        </is>
      </c>
      <c r="F60" s="131" t="n"/>
      <c r="G60" s="133">
        <f>AVERAGE(BS!F20:G20)/('P&amp;L'!G14+'P&amp;L'!G15)*365</f>
        <v/>
      </c>
      <c r="H60" s="133">
        <f>AVERAGE(BS!G20:H20)/('P&amp;L'!H14+'P&amp;L'!H15)*365</f>
        <v/>
      </c>
      <c r="I60" s="133">
        <f>AVERAGE(BS!H20:I20)/('P&amp;L'!I14+'P&amp;L'!I15)*365</f>
        <v/>
      </c>
      <c r="J60" s="133">
        <f>AVERAGE(BS!I20:J20)/('P&amp;L'!J14+'P&amp;L'!J15)*365</f>
        <v/>
      </c>
      <c r="K60" s="133">
        <f>IF($E60="CAGR",AVERAGE(G60:J60),K59)</f>
        <v/>
      </c>
      <c r="L60" s="133">
        <f>IF($E60="CAGR",AVERAGE(H60:K60),L59)</f>
        <v/>
      </c>
      <c r="M60" s="133">
        <f>IF($E60="CAGR",AVERAGE(I60:L60),M59)</f>
        <v/>
      </c>
      <c r="N60" s="133">
        <f>IF($E60="CAGR",AVERAGE(J60:M60),N59)</f>
        <v/>
      </c>
      <c r="O60" s="133">
        <f>IF($E60="CAGR",AVERAGE(K60:N60),O59)</f>
        <v/>
      </c>
    </row>
    <row r="61" ht="12.75" customHeight="1" s="105">
      <c r="F61" s="131" t="n"/>
      <c r="G61" s="132" t="n"/>
      <c r="H61" s="132" t="n"/>
      <c r="I61" s="132" t="n"/>
      <c r="J61" s="132" t="n"/>
      <c r="K61" s="132" t="n"/>
      <c r="L61" s="132" t="n"/>
      <c r="M61" s="132" t="n"/>
      <c r="N61" s="132" t="n"/>
      <c r="O61" s="132" t="n"/>
    </row>
    <row r="62" ht="12.75" customHeight="1" s="105">
      <c r="F62" s="131" t="n"/>
      <c r="G62" s="132" t="n"/>
      <c r="H62" s="132" t="n"/>
      <c r="I62" s="132" t="n"/>
      <c r="J62" s="132" t="n"/>
      <c r="K62" s="132" t="n">
        <v>3</v>
      </c>
      <c r="L62" s="132" t="n">
        <v>3</v>
      </c>
      <c r="M62" s="132" t="n">
        <v>3</v>
      </c>
      <c r="N62" s="132" t="n">
        <v>3</v>
      </c>
      <c r="O62" s="132" t="n">
        <v>3</v>
      </c>
    </row>
    <row r="63" ht="12.75" customHeight="1" s="105">
      <c r="B63" s="126" t="inlineStr">
        <is>
          <t>Loans &amp; Advances Growth Rate</t>
        </is>
      </c>
      <c r="E63" s="126" t="inlineStr">
        <is>
          <t>Scroll Bar</t>
        </is>
      </c>
      <c r="F63" s="131" t="n"/>
      <c r="G63" s="132">
        <f>BS!G23/BS!F23-1</f>
        <v/>
      </c>
      <c r="H63" s="132">
        <f>BS!H23/BS!G23-1</f>
        <v/>
      </c>
      <c r="I63" s="132">
        <f>BS!I23/BS!H23-1</f>
        <v/>
      </c>
      <c r="J63" s="132">
        <f>BS!J23/BS!I23-1</f>
        <v/>
      </c>
      <c r="K63" s="132">
        <f>IF($E63="CAGR",AVERAGE(G63:J63),K62/100)</f>
        <v/>
      </c>
      <c r="L63" s="132">
        <f>IF($E63="CAGR",AVERAGE(H63:K63),L62/100)</f>
        <v/>
      </c>
      <c r="M63" s="132">
        <f>IF($E63="CAGR",AVERAGE(I63:L63),M62/100)</f>
        <v/>
      </c>
      <c r="N63" s="132">
        <f>IF($E63="CAGR",AVERAGE(J63:M63),N62/100)</f>
        <v/>
      </c>
      <c r="O63" s="132">
        <f>IF($E63="CAGR",AVERAGE(K63:N63),O62/100)</f>
        <v/>
      </c>
    </row>
    <row r="64" ht="12.75" customHeight="1" s="105">
      <c r="F64" s="131" t="n"/>
      <c r="G64" s="132" t="n"/>
      <c r="H64" s="132" t="n"/>
      <c r="I64" s="132" t="n"/>
      <c r="J64" s="132" t="n"/>
      <c r="K64" s="132" t="n"/>
      <c r="L64" s="132" t="n"/>
      <c r="M64" s="132" t="n"/>
      <c r="N64" s="132" t="n"/>
      <c r="O64" s="132" t="n"/>
    </row>
    <row r="65" ht="12.75" customHeight="1" s="105">
      <c r="F65" s="131" t="n"/>
      <c r="G65" s="132" t="n"/>
      <c r="H65" s="132" t="n"/>
      <c r="I65" s="132" t="n"/>
      <c r="J65" s="132" t="n"/>
      <c r="K65" s="132" t="n">
        <v>26</v>
      </c>
      <c r="L65" s="132" t="n">
        <v>33</v>
      </c>
      <c r="M65" s="132" t="n">
        <v>54</v>
      </c>
      <c r="N65" s="132" t="n">
        <v>44</v>
      </c>
      <c r="O65" s="132" t="n">
        <v>44</v>
      </c>
    </row>
    <row r="66" ht="12.75" customHeight="1" s="105">
      <c r="B66" s="126" t="inlineStr">
        <is>
          <t>Current liabilities &amp; Provisions as % of Gross Block</t>
        </is>
      </c>
      <c r="E66" s="126" t="inlineStr">
        <is>
          <t>CAGR</t>
        </is>
      </c>
      <c r="F66" s="131" t="n"/>
      <c r="G66" s="132">
        <f>BS!G31/BS!G7</f>
        <v/>
      </c>
      <c r="H66" s="132">
        <f>BS!H31/BS!H7</f>
        <v/>
      </c>
      <c r="I66" s="132">
        <f>BS!I31/BS!I7</f>
        <v/>
      </c>
      <c r="J66" s="132">
        <f>BS!J31/BS!J7</f>
        <v/>
      </c>
      <c r="K66" s="132">
        <f>IF($E66="CAGR",AVERAGE(G66:J66),K65/100)</f>
        <v/>
      </c>
      <c r="L66" s="132">
        <f>IF($E66="CAGR",AVERAGE(H66:K66),L65/100)</f>
        <v/>
      </c>
      <c r="M66" s="132">
        <f>IF($E66="CAGR",AVERAGE(I66:L66),M65/100)</f>
        <v/>
      </c>
      <c r="N66" s="132">
        <f>IF($E66="CAGR",AVERAGE(J66:M66),N65/100)</f>
        <v/>
      </c>
      <c r="O66" s="132">
        <f>IF($E66="CAGR",AVERAGE(K66:N66),O65/100)</f>
        <v/>
      </c>
    </row>
    <row r="67" ht="12.75" customHeight="1" s="105">
      <c r="B67" s="126" t="n"/>
      <c r="F67" s="131" t="n"/>
      <c r="G67" s="132" t="n"/>
      <c r="H67" s="132" t="n"/>
      <c r="I67" s="132" t="n"/>
      <c r="J67" s="132" t="n"/>
      <c r="K67" s="132" t="n"/>
      <c r="L67" s="132" t="n"/>
      <c r="M67" s="132" t="n"/>
      <c r="N67" s="132" t="n"/>
      <c r="O67" s="132" t="n"/>
    </row>
    <row r="68" ht="12.75" customHeight="1" s="105">
      <c r="B68" s="126" t="n"/>
      <c r="F68" s="131" t="n"/>
      <c r="G68" s="132" t="n"/>
      <c r="H68" s="132" t="n"/>
      <c r="I68" s="132" t="n"/>
      <c r="J68" s="132" t="n"/>
      <c r="K68" s="132" t="n">
        <v>26</v>
      </c>
      <c r="L68" s="132" t="n">
        <v>33</v>
      </c>
      <c r="M68" s="132" t="n">
        <v>54</v>
      </c>
      <c r="N68" s="132" t="n">
        <v>44</v>
      </c>
      <c r="O68" s="132" t="n">
        <v>44</v>
      </c>
    </row>
    <row r="69" ht="12.75" customHeight="1" s="105">
      <c r="B69" s="126" t="inlineStr">
        <is>
          <t>Shifting &amp; Rehabilitation Fund</t>
        </is>
      </c>
      <c r="E69" s="126" t="inlineStr">
        <is>
          <t>CAGR</t>
        </is>
      </c>
      <c r="F69" s="131" t="n"/>
      <c r="G69" s="132">
        <f>BS!F33/BS!F7</f>
        <v/>
      </c>
      <c r="H69" s="132">
        <f>BS!G33/BS!G7</f>
        <v/>
      </c>
      <c r="I69" s="132">
        <f>BS!H33/BS!H7</f>
        <v/>
      </c>
      <c r="J69" s="132">
        <f>BS!I33/BS!I7</f>
        <v/>
      </c>
      <c r="K69" s="132">
        <f>IF($E69="CAGR",AVERAGE(G69:J69),K68/100)</f>
        <v/>
      </c>
      <c r="L69" s="132">
        <f>IF($E69="CAGR",AVERAGE(H69:K69),L68/100)</f>
        <v/>
      </c>
      <c r="M69" s="132">
        <f>IF($E69="CAGR",AVERAGE(I69:L69),M68/100)</f>
        <v/>
      </c>
      <c r="N69" s="132">
        <f>IF($E69="CAGR",AVERAGE(J69:M69),N68/100)</f>
        <v/>
      </c>
      <c r="O69" s="132">
        <f>IF($E69="CAGR",AVERAGE(K69:N69),O68/100)</f>
        <v/>
      </c>
    </row>
    <row r="70" ht="12.75" customHeight="1" s="105">
      <c r="F70" s="131" t="n"/>
      <c r="G70" s="132" t="n"/>
      <c r="H70" s="132" t="n"/>
      <c r="I70" s="132" t="n"/>
      <c r="J70" s="132" t="n"/>
      <c r="K70" s="132" t="n"/>
      <c r="L70" s="132" t="n"/>
      <c r="M70" s="132" t="n"/>
      <c r="N70" s="132" t="n"/>
      <c r="O70" s="132" t="n"/>
    </row>
    <row r="71" ht="12.75" customHeight="1" s="105">
      <c r="F71" s="131" t="n"/>
      <c r="G71" s="132" t="n"/>
      <c r="H71" s="132" t="n"/>
      <c r="I71" s="132" t="n"/>
      <c r="J71" s="132" t="n"/>
      <c r="K71" s="132" t="n"/>
      <c r="L71" s="132" t="n"/>
      <c r="M71" s="132" t="n"/>
      <c r="N71" s="132" t="n"/>
      <c r="O71" s="132" t="n"/>
    </row>
    <row r="72" ht="12.75" customHeight="1" s="105">
      <c r="F72" s="131" t="n"/>
      <c r="G72" s="131" t="n"/>
      <c r="H72" s="131" t="n"/>
      <c r="I72" s="131" t="n"/>
      <c r="J72" s="131" t="n"/>
      <c r="K72" s="131" t="n"/>
      <c r="L72" s="131" t="n"/>
      <c r="M72" s="131" t="n"/>
      <c r="N72" s="131" t="n"/>
      <c r="O72" s="131" t="n"/>
    </row>
    <row r="73" ht="12.75" customHeight="1" s="105">
      <c r="F73" s="131" t="n"/>
      <c r="G73" s="131" t="n"/>
      <c r="H73" s="131" t="n"/>
      <c r="I73" s="131" t="n"/>
      <c r="J73" s="131" t="n"/>
      <c r="K73" s="131" t="n"/>
      <c r="L73" s="131" t="n"/>
      <c r="M73" s="131" t="n"/>
      <c r="N73" s="131" t="n"/>
      <c r="O73" s="131" t="n"/>
    </row>
    <row r="74" ht="12.75" customHeight="1" s="105">
      <c r="F74" s="131" t="n"/>
      <c r="G74" s="131" t="n"/>
      <c r="H74" s="131" t="n"/>
      <c r="I74" s="131" t="n"/>
      <c r="J74" s="131" t="n"/>
      <c r="K74" s="131" t="n"/>
      <c r="L74" s="131" t="n"/>
      <c r="M74" s="131" t="n"/>
      <c r="N74" s="131" t="n"/>
      <c r="O74" s="131" t="n"/>
    </row>
    <row r="75" ht="12.75" customHeight="1" s="105">
      <c r="F75" s="131" t="n"/>
      <c r="G75" s="131" t="n"/>
      <c r="H75" s="131" t="n"/>
      <c r="I75" s="131" t="n"/>
      <c r="J75" s="131" t="n"/>
      <c r="K75" s="131" t="n"/>
      <c r="L75" s="131" t="n"/>
      <c r="M75" s="131" t="n"/>
      <c r="N75" s="131" t="n"/>
      <c r="O75" s="131" t="n"/>
    </row>
    <row r="76" ht="12.75" customHeight="1" s="105">
      <c r="F76" s="131" t="n"/>
      <c r="G76" s="131" t="n"/>
      <c r="H76" s="131" t="n"/>
      <c r="I76" s="131" t="n"/>
      <c r="J76" s="131" t="n"/>
      <c r="K76" s="131" t="n"/>
      <c r="L76" s="131" t="n"/>
      <c r="M76" s="131" t="n"/>
      <c r="N76" s="131" t="n"/>
      <c r="O76" s="131" t="n"/>
    </row>
    <row r="77" ht="12.75" customHeight="1" s="105">
      <c r="F77" s="131" t="n"/>
      <c r="G77" s="131" t="n"/>
      <c r="H77" s="131" t="n"/>
      <c r="I77" s="131" t="n"/>
      <c r="J77" s="131" t="n"/>
      <c r="K77" s="131" t="n"/>
      <c r="L77" s="131" t="n"/>
      <c r="M77" s="131" t="n"/>
      <c r="N77" s="131" t="n"/>
      <c r="O77" s="131" t="n"/>
    </row>
    <row r="78" ht="12.75" customHeight="1" s="105">
      <c r="F78" s="131" t="n"/>
      <c r="G78" s="131" t="n"/>
      <c r="H78" s="131" t="n"/>
      <c r="I78" s="131" t="n"/>
      <c r="J78" s="131" t="n"/>
      <c r="K78" s="131" t="n"/>
      <c r="L78" s="131" t="n"/>
      <c r="M78" s="131" t="n"/>
      <c r="N78" s="131" t="n"/>
      <c r="O78" s="131" t="n"/>
    </row>
    <row r="79" ht="12.75" customHeight="1" s="105">
      <c r="F79" s="131" t="n"/>
      <c r="G79" s="131" t="n"/>
      <c r="H79" s="131" t="n"/>
      <c r="I79" s="131" t="n"/>
      <c r="J79" s="131" t="n"/>
      <c r="K79" s="131" t="n"/>
      <c r="L79" s="131" t="n"/>
      <c r="M79" s="131" t="n"/>
      <c r="N79" s="131" t="n"/>
      <c r="O79" s="131" t="n"/>
    </row>
    <row r="80" ht="12.75" customHeight="1" s="105">
      <c r="F80" s="131" t="n"/>
      <c r="G80" s="131" t="n"/>
      <c r="H80" s="131" t="n"/>
      <c r="I80" s="131" t="n"/>
      <c r="J80" s="131" t="n"/>
      <c r="K80" s="131" t="n"/>
      <c r="L80" s="131" t="n"/>
      <c r="M80" s="131" t="n"/>
      <c r="N80" s="131" t="n"/>
      <c r="O80" s="131" t="n"/>
    </row>
    <row r="81" ht="12.75" customHeight="1" s="105">
      <c r="F81" s="131" t="n"/>
      <c r="G81" s="131" t="n"/>
      <c r="H81" s="131" t="n"/>
      <c r="I81" s="131" t="n"/>
      <c r="J81" s="131" t="n"/>
      <c r="K81" s="131" t="n"/>
      <c r="L81" s="131" t="n"/>
      <c r="M81" s="131" t="n"/>
      <c r="N81" s="131" t="n"/>
      <c r="O81" s="131" t="n"/>
    </row>
    <row r="82" ht="12.75" customHeight="1" s="105">
      <c r="F82" s="131" t="n"/>
      <c r="G82" s="131" t="n"/>
      <c r="H82" s="131" t="n"/>
      <c r="I82" s="131" t="n"/>
      <c r="J82" s="131" t="n"/>
      <c r="K82" s="131" t="n"/>
      <c r="L82" s="131" t="n"/>
      <c r="M82" s="131" t="n"/>
      <c r="N82" s="131" t="n"/>
      <c r="O82" s="131" t="n"/>
    </row>
    <row r="83" ht="12.75" customHeight="1" s="105">
      <c r="F83" s="131" t="n"/>
      <c r="G83" s="131" t="n"/>
      <c r="H83" s="131" t="n"/>
      <c r="I83" s="131" t="n"/>
      <c r="J83" s="131" t="n"/>
      <c r="K83" s="131" t="n"/>
      <c r="L83" s="131" t="n"/>
      <c r="M83" s="131" t="n"/>
      <c r="N83" s="131" t="n"/>
      <c r="O83" s="131" t="n"/>
    </row>
    <row r="84" ht="12.75" customHeight="1" s="105">
      <c r="F84" s="131" t="n"/>
      <c r="G84" s="131" t="n"/>
      <c r="H84" s="131" t="n"/>
      <c r="I84" s="131" t="n"/>
      <c r="J84" s="131" t="n"/>
      <c r="K84" s="131" t="n"/>
      <c r="L84" s="131" t="n"/>
      <c r="M84" s="131" t="n"/>
      <c r="N84" s="131" t="n"/>
      <c r="O84" s="131" t="n"/>
    </row>
    <row r="85" ht="12.75" customHeight="1" s="105">
      <c r="F85" s="131" t="n"/>
      <c r="G85" s="131" t="n"/>
      <c r="H85" s="131" t="n"/>
      <c r="I85" s="131" t="n"/>
      <c r="J85" s="131" t="n"/>
      <c r="K85" s="131" t="n"/>
      <c r="L85" s="131" t="n"/>
      <c r="M85" s="131" t="n"/>
      <c r="N85" s="131" t="n"/>
      <c r="O85" s="131" t="n"/>
    </row>
    <row r="86" ht="12.75" customHeight="1" s="105">
      <c r="F86" s="131" t="n"/>
      <c r="G86" s="131" t="n"/>
      <c r="H86" s="131" t="n"/>
      <c r="I86" s="131" t="n"/>
      <c r="J86" s="131" t="n"/>
      <c r="K86" s="131" t="n"/>
      <c r="L86" s="131" t="n"/>
      <c r="M86" s="131" t="n"/>
      <c r="N86" s="131" t="n"/>
      <c r="O86" s="131" t="n"/>
    </row>
    <row r="87" ht="12.75" customHeight="1" s="105">
      <c r="F87" s="131" t="n"/>
      <c r="G87" s="131" t="n"/>
      <c r="H87" s="131" t="n"/>
      <c r="I87" s="131" t="n"/>
      <c r="J87" s="131" t="n"/>
      <c r="K87" s="131" t="n"/>
      <c r="L87" s="131" t="n"/>
      <c r="M87" s="131" t="n"/>
      <c r="N87" s="131" t="n"/>
      <c r="O87" s="131" t="n"/>
    </row>
    <row r="88" ht="12.75" customHeight="1" s="105">
      <c r="F88" s="131" t="n"/>
      <c r="G88" s="131" t="n"/>
      <c r="H88" s="131" t="n"/>
      <c r="I88" s="131" t="n"/>
      <c r="J88" s="131" t="n"/>
      <c r="K88" s="131" t="n"/>
      <c r="L88" s="131" t="n"/>
      <c r="M88" s="131" t="n"/>
      <c r="N88" s="131" t="n"/>
      <c r="O88" s="131" t="n"/>
    </row>
    <row r="89" ht="12.75" customHeight="1" s="105">
      <c r="F89" s="131" t="n"/>
      <c r="G89" s="131" t="n"/>
      <c r="H89" s="131" t="n"/>
      <c r="I89" s="131" t="n"/>
      <c r="J89" s="131" t="n"/>
      <c r="K89" s="131" t="n"/>
      <c r="L89" s="131" t="n"/>
      <c r="M89" s="131" t="n"/>
      <c r="N89" s="131" t="n"/>
      <c r="O89" s="131" t="n"/>
    </row>
    <row r="90" ht="12.75" customHeight="1" s="105">
      <c r="F90" s="131" t="n"/>
      <c r="G90" s="131" t="n"/>
      <c r="H90" s="131" t="n"/>
      <c r="I90" s="131" t="n"/>
      <c r="J90" s="131" t="n"/>
      <c r="K90" s="131" t="n"/>
      <c r="L90" s="131" t="n"/>
      <c r="M90" s="131" t="n"/>
      <c r="N90" s="131" t="n"/>
      <c r="O90" s="131" t="n"/>
    </row>
    <row r="91" ht="12.75" customHeight="1" s="105">
      <c r="F91" s="131" t="n"/>
      <c r="G91" s="131" t="n"/>
      <c r="H91" s="131" t="n"/>
      <c r="I91" s="131" t="n"/>
      <c r="J91" s="131" t="n"/>
      <c r="K91" s="131" t="n"/>
      <c r="L91" s="131" t="n"/>
      <c r="M91" s="131" t="n"/>
      <c r="N91" s="131" t="n"/>
      <c r="O91" s="131" t="n"/>
    </row>
    <row r="92" ht="12.75" customHeight="1" s="105">
      <c r="F92" s="131" t="n"/>
      <c r="G92" s="131" t="n"/>
      <c r="H92" s="131" t="n"/>
      <c r="I92" s="131" t="n"/>
      <c r="J92" s="131" t="n"/>
      <c r="K92" s="131" t="n"/>
      <c r="L92" s="131" t="n"/>
      <c r="M92" s="131" t="n"/>
      <c r="N92" s="131" t="n"/>
      <c r="O92" s="131" t="n"/>
    </row>
    <row r="93" ht="12.75" customHeight="1" s="105">
      <c r="F93" s="131" t="n"/>
      <c r="G93" s="131" t="n"/>
      <c r="H93" s="131" t="n"/>
      <c r="I93" s="131" t="n"/>
      <c r="J93" s="131" t="n"/>
      <c r="K93" s="131" t="n"/>
      <c r="L93" s="131" t="n"/>
      <c r="M93" s="131" t="n"/>
      <c r="N93" s="131" t="n"/>
      <c r="O93" s="131" t="n"/>
    </row>
    <row r="94" ht="12.75" customHeight="1" s="105">
      <c r="F94" s="131" t="n"/>
      <c r="G94" s="131" t="n"/>
      <c r="H94" s="131" t="n"/>
      <c r="I94" s="131" t="n"/>
      <c r="J94" s="131" t="n"/>
      <c r="K94" s="131" t="n"/>
      <c r="L94" s="131" t="n"/>
      <c r="M94" s="131" t="n"/>
      <c r="N94" s="131" t="n"/>
      <c r="O94" s="131" t="n"/>
    </row>
    <row r="95" ht="12.75" customHeight="1" s="105">
      <c r="F95" s="131" t="n"/>
      <c r="G95" s="131" t="n"/>
      <c r="H95" s="131" t="n"/>
      <c r="I95" s="131" t="n"/>
      <c r="J95" s="131" t="n"/>
      <c r="K95" s="131" t="n"/>
      <c r="L95" s="131" t="n"/>
      <c r="M95" s="131" t="n"/>
      <c r="N95" s="131" t="n"/>
      <c r="O95" s="131" t="n"/>
    </row>
    <row r="96" ht="12.75" customHeight="1" s="105">
      <c r="F96" s="131" t="n"/>
      <c r="G96" s="131" t="n"/>
      <c r="H96" s="131" t="n"/>
      <c r="I96" s="131" t="n"/>
      <c r="J96" s="131" t="n"/>
      <c r="K96" s="131" t="n"/>
      <c r="L96" s="131" t="n"/>
      <c r="M96" s="131" t="n"/>
      <c r="N96" s="131" t="n"/>
      <c r="O96" s="131" t="n"/>
    </row>
    <row r="97" ht="12.75" customHeight="1" s="105">
      <c r="F97" s="131" t="n"/>
      <c r="G97" s="131" t="n"/>
      <c r="H97" s="131" t="n"/>
      <c r="I97" s="131" t="n"/>
      <c r="J97" s="131" t="n"/>
      <c r="K97" s="131" t="n"/>
      <c r="L97" s="131" t="n"/>
      <c r="M97" s="131" t="n"/>
      <c r="N97" s="131" t="n"/>
      <c r="O97" s="131" t="n"/>
    </row>
    <row r="98" ht="12.75" customHeight="1" s="105">
      <c r="F98" s="131" t="n"/>
      <c r="G98" s="131" t="n"/>
      <c r="H98" s="131" t="n"/>
      <c r="I98" s="131" t="n"/>
      <c r="J98" s="131" t="n"/>
      <c r="K98" s="131" t="n"/>
      <c r="L98" s="131" t="n"/>
      <c r="M98" s="131" t="n"/>
      <c r="N98" s="131" t="n"/>
      <c r="O98" s="131" t="n"/>
    </row>
    <row r="99" ht="12.75" customHeight="1" s="105">
      <c r="F99" s="131" t="n"/>
      <c r="G99" s="131" t="n"/>
      <c r="H99" s="131" t="n"/>
      <c r="I99" s="131" t="n"/>
      <c r="J99" s="131" t="n"/>
      <c r="K99" s="131" t="n"/>
      <c r="L99" s="131" t="n"/>
      <c r="M99" s="131" t="n"/>
      <c r="N99" s="131" t="n"/>
      <c r="O99" s="131" t="n"/>
    </row>
    <row r="100" ht="12.75" customHeight="1" s="105">
      <c r="F100" s="131" t="n"/>
      <c r="G100" s="131" t="n"/>
      <c r="H100" s="131" t="n"/>
      <c r="I100" s="131" t="n"/>
      <c r="J100" s="131" t="n"/>
      <c r="K100" s="131" t="n"/>
      <c r="L100" s="131" t="n"/>
      <c r="M100" s="131" t="n"/>
      <c r="N100" s="131" t="n"/>
      <c r="O100" s="131" t="n"/>
    </row>
    <row r="101" ht="12.75" customHeight="1" s="105">
      <c r="F101" s="131" t="n"/>
      <c r="G101" s="131" t="n"/>
      <c r="H101" s="131" t="n"/>
      <c r="I101" s="131" t="n"/>
      <c r="J101" s="131" t="n"/>
      <c r="K101" s="131" t="n"/>
      <c r="L101" s="131" t="n"/>
      <c r="M101" s="131" t="n"/>
      <c r="N101" s="131" t="n"/>
      <c r="O101" s="131" t="n"/>
    </row>
    <row r="102" ht="12.75" customHeight="1" s="105">
      <c r="F102" s="131" t="n"/>
      <c r="G102" s="131" t="n"/>
      <c r="H102" s="131" t="n"/>
      <c r="I102" s="131" t="n"/>
      <c r="J102" s="131" t="n"/>
      <c r="K102" s="131" t="n"/>
      <c r="L102" s="131" t="n"/>
      <c r="M102" s="131" t="n"/>
      <c r="N102" s="131" t="n"/>
      <c r="O102" s="131" t="n"/>
    </row>
    <row r="103" ht="12.75" customHeight="1" s="105">
      <c r="F103" s="131" t="n"/>
      <c r="G103" s="131" t="n"/>
      <c r="H103" s="131" t="n"/>
      <c r="I103" s="131" t="n"/>
      <c r="J103" s="131" t="n"/>
      <c r="K103" s="131" t="n"/>
      <c r="L103" s="131" t="n"/>
      <c r="M103" s="131" t="n"/>
      <c r="N103" s="131" t="n"/>
      <c r="O103" s="131" t="n"/>
    </row>
    <row r="104" ht="12.75" customHeight="1" s="105">
      <c r="F104" s="131" t="n"/>
      <c r="G104" s="131" t="n"/>
      <c r="H104" s="131" t="n"/>
      <c r="I104" s="131" t="n"/>
      <c r="J104" s="131" t="n"/>
      <c r="K104" s="131" t="n"/>
      <c r="L104" s="131" t="n"/>
      <c r="M104" s="131" t="n"/>
      <c r="N104" s="131" t="n"/>
      <c r="O104" s="131" t="n"/>
    </row>
    <row r="105" ht="12.75" customHeight="1" s="105">
      <c r="F105" s="131" t="n"/>
      <c r="G105" s="131" t="n"/>
      <c r="H105" s="131" t="n"/>
      <c r="I105" s="131" t="n"/>
      <c r="J105" s="131" t="n"/>
      <c r="K105" s="131" t="n"/>
      <c r="L105" s="131" t="n"/>
      <c r="M105" s="131" t="n"/>
      <c r="N105" s="131" t="n"/>
      <c r="O105" s="131" t="n"/>
    </row>
    <row r="106" ht="12.75" customHeight="1" s="105">
      <c r="F106" s="131" t="n"/>
      <c r="G106" s="131" t="n"/>
      <c r="H106" s="131" t="n"/>
      <c r="I106" s="131" t="n"/>
      <c r="J106" s="131" t="n"/>
      <c r="K106" s="131" t="n"/>
      <c r="L106" s="131" t="n"/>
      <c r="M106" s="131" t="n"/>
      <c r="N106" s="131" t="n"/>
      <c r="O106" s="131" t="n"/>
    </row>
    <row r="107" ht="12.75" customHeight="1" s="105">
      <c r="F107" s="131" t="n"/>
      <c r="G107" s="131" t="n"/>
      <c r="H107" s="131" t="n"/>
      <c r="I107" s="131" t="n"/>
      <c r="J107" s="131" t="n"/>
      <c r="K107" s="131" t="n"/>
      <c r="L107" s="131" t="n"/>
      <c r="M107" s="131" t="n"/>
      <c r="N107" s="131" t="n"/>
      <c r="O107" s="131" t="n"/>
    </row>
    <row r="108" ht="12.75" customHeight="1" s="105">
      <c r="F108" s="131" t="n"/>
      <c r="G108" s="131" t="n"/>
      <c r="H108" s="131" t="n"/>
      <c r="I108" s="131" t="n"/>
      <c r="J108" s="131" t="n"/>
      <c r="K108" s="131" t="n"/>
      <c r="L108" s="131" t="n"/>
      <c r="M108" s="131" t="n"/>
      <c r="N108" s="131" t="n"/>
      <c r="O108" s="131" t="n"/>
    </row>
    <row r="109" ht="12.75" customHeight="1" s="105">
      <c r="F109" s="131" t="n"/>
      <c r="G109" s="131" t="n"/>
      <c r="H109" s="131" t="n"/>
      <c r="I109" s="131" t="n"/>
      <c r="J109" s="131" t="n"/>
      <c r="K109" s="131" t="n"/>
      <c r="L109" s="131" t="n"/>
      <c r="M109" s="131" t="n"/>
      <c r="N109" s="131" t="n"/>
      <c r="O109" s="131" t="n"/>
    </row>
  </sheetData>
  <dataValidations count="1">
    <dataValidation sqref="E7 E10 E13 E16 E19 E22 E25 E28 E31 E34 E37 E40 E43 E46 E51 E54 E57 E60 E63 E66:E67 E69" showDropDown="0" showInputMessage="0" showErrorMessage="1" allowBlank="1" type="list" operator="between">
      <formula1>$R$1:$R$2</formula1>
      <formula2>0</formula2>
    </dataValidation>
  </dataValidations>
  <printOptions horizontalCentered="0" verticalCentered="0" headings="0" gridLines="0" gridLinesSet="1"/>
  <pageMargins left="0.7" right="0.7" top="0.75" bottom="0.75"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T73"/>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J19" activeCellId="0" sqref="J19"/>
    </sheetView>
  </sheetViews>
  <sheetFormatPr baseColWidth="8" defaultColWidth="9.13671875" defaultRowHeight="12.75" zeroHeight="0" outlineLevelRow="1"/>
  <cols>
    <col width="3.7" customWidth="1" style="126" min="1" max="2"/>
    <col width="45.65" customWidth="1" style="126" min="3" max="3"/>
    <col width="6.69" customWidth="1" style="126" min="4" max="5"/>
    <col width="11.69" customWidth="1" style="134" min="6" max="11"/>
    <col width="11.69" customWidth="1" style="126" min="12" max="26"/>
    <col width="9.130000000000001" customWidth="1" style="126" min="27" max="257"/>
  </cols>
  <sheetData>
    <row r="1" ht="12.75" customHeight="1" s="105">
      <c r="A1" s="130" t="inlineStr">
        <is>
          <t>Profit &amp; Loss Statement</t>
        </is>
      </c>
    </row>
    <row r="3" ht="12.75" customHeight="1" s="105">
      <c r="A3" s="134" t="n"/>
    </row>
    <row r="4" ht="12.75" customHeight="1" s="105">
      <c r="A4" s="128" t="inlineStr">
        <is>
          <t>(Unless otherwise specified, all financials are in INR Million)</t>
        </is>
      </c>
      <c r="F4" s="135" t="inlineStr">
        <is>
          <t>FY06A</t>
        </is>
      </c>
      <c r="G4" s="135" t="inlineStr">
        <is>
          <t>FY07A</t>
        </is>
      </c>
      <c r="H4" s="135" t="inlineStr">
        <is>
          <t>FY08A</t>
        </is>
      </c>
      <c r="I4" s="135" t="inlineStr">
        <is>
          <t>FY09A</t>
        </is>
      </c>
      <c r="J4" s="135" t="inlineStr">
        <is>
          <t>FY10A</t>
        </is>
      </c>
      <c r="K4" s="135" t="inlineStr">
        <is>
          <t>FY11E</t>
        </is>
      </c>
      <c r="L4" s="135" t="inlineStr">
        <is>
          <t>FY12E</t>
        </is>
      </c>
      <c r="M4" s="135" t="inlineStr">
        <is>
          <t>FY13E</t>
        </is>
      </c>
      <c r="N4" s="135" t="inlineStr">
        <is>
          <t>FY14E</t>
        </is>
      </c>
      <c r="O4" s="136" t="inlineStr">
        <is>
          <t>FY15E</t>
        </is>
      </c>
    </row>
    <row r="5" ht="12.75" customHeight="1" s="105">
      <c r="A5" s="128" t="n"/>
      <c r="H5" s="137" t="n"/>
      <c r="I5" s="137" t="n"/>
      <c r="J5" s="137" t="n"/>
      <c r="K5" s="137" t="n"/>
      <c r="L5" s="135" t="n"/>
      <c r="M5" s="135" t="n"/>
      <c r="N5" s="135" t="n"/>
    </row>
    <row r="6" ht="12.75" customHeight="1" s="105">
      <c r="A6" s="130" t="inlineStr">
        <is>
          <t>Income</t>
        </is>
      </c>
      <c r="L6" s="134" t="n"/>
      <c r="M6" s="134" t="n"/>
      <c r="N6" s="134" t="n"/>
      <c r="O6" s="134" t="n"/>
    </row>
    <row r="7" ht="12.75" customHeight="1" s="105">
      <c r="B7" s="126" t="inlineStr">
        <is>
          <t>Sales</t>
        </is>
      </c>
      <c r="F7" s="138" t="n">
        <v>287018.31</v>
      </c>
      <c r="G7" s="138" t="n">
        <v>296021.85</v>
      </c>
      <c r="H7" s="138" t="n">
        <v>326338.6</v>
      </c>
      <c r="I7" s="138" t="n">
        <v>387888.3</v>
      </c>
      <c r="J7" s="138" t="n">
        <v>446152.51</v>
      </c>
      <c r="K7" s="131">
        <f>J7*(1+Assumptions!K7)</f>
        <v/>
      </c>
      <c r="L7" s="131">
        <f>K7*(1+Assumptions!L7)</f>
        <v/>
      </c>
      <c r="M7" s="131">
        <f>L7*(1+Assumptions!M7)</f>
        <v/>
      </c>
      <c r="N7" s="131">
        <f>M7*(1+Assumptions!N7)</f>
        <v/>
      </c>
      <c r="O7" s="131">
        <f>N7*(1+Assumptions!O7)</f>
        <v/>
      </c>
      <c r="P7" s="139" t="n"/>
      <c r="Q7" s="126" t="n"/>
      <c r="R7" s="126" t="n"/>
      <c r="S7" s="126" t="n"/>
      <c r="T7" s="126" t="n"/>
    </row>
    <row r="8" ht="12.75" customHeight="1" s="105">
      <c r="B8" s="126" t="inlineStr">
        <is>
          <t>Coal used for other purposes</t>
        </is>
      </c>
      <c r="F8" s="138" t="n">
        <v>20540.47</v>
      </c>
      <c r="G8" s="138" t="n">
        <v>19404.7</v>
      </c>
      <c r="H8" s="138" t="n">
        <v>19745.42</v>
      </c>
      <c r="I8" s="138" t="n">
        <v>20219.81</v>
      </c>
      <c r="J8" s="138" t="n">
        <v>20690.44</v>
      </c>
      <c r="K8" s="131">
        <f>J8</f>
        <v/>
      </c>
      <c r="L8" s="131">
        <f>K8</f>
        <v/>
      </c>
      <c r="M8" s="131">
        <f>L8</f>
        <v/>
      </c>
      <c r="N8" s="131">
        <f>M8</f>
        <v/>
      </c>
      <c r="O8" s="131">
        <f>N8</f>
        <v/>
      </c>
      <c r="P8" s="139" t="n"/>
      <c r="Q8" s="126" t="n"/>
      <c r="R8" s="126" t="n"/>
      <c r="S8" s="126" t="n"/>
      <c r="T8" s="126" t="n"/>
    </row>
    <row r="9" ht="12.75" customHeight="1" s="105">
      <c r="B9" s="126" t="inlineStr">
        <is>
          <t>Accretion(+)/Decretion(-) of stock</t>
        </is>
      </c>
      <c r="F9" s="138" t="n">
        <v>4837.76</v>
      </c>
      <c r="G9" s="138" t="n">
        <v>2475.52</v>
      </c>
      <c r="H9" s="138" t="n">
        <v>2441.95</v>
      </c>
      <c r="I9" s="138" t="n">
        <v>1336.07</v>
      </c>
      <c r="J9" s="138" t="n">
        <v>6671.58</v>
      </c>
      <c r="K9" s="131">
        <f>J9</f>
        <v/>
      </c>
      <c r="L9" s="131">
        <f>K9</f>
        <v/>
      </c>
      <c r="M9" s="131">
        <f>L9</f>
        <v/>
      </c>
      <c r="N9" s="131">
        <f>M9</f>
        <v/>
      </c>
      <c r="O9" s="131">
        <f>N9</f>
        <v/>
      </c>
      <c r="P9" s="139" t="n"/>
      <c r="Q9" s="126" t="n"/>
      <c r="R9" s="126" t="n"/>
      <c r="S9" s="126" t="n"/>
      <c r="T9" s="126" t="n"/>
    </row>
    <row r="10" ht="12.75" customHeight="1" s="105">
      <c r="B10" s="126" t="inlineStr">
        <is>
          <t>Other Income</t>
        </is>
      </c>
      <c r="F10" s="138" t="n">
        <v>27691.45</v>
      </c>
      <c r="G10" s="138" t="n">
        <v>32152</v>
      </c>
      <c r="H10" s="138" t="n">
        <v>37641</v>
      </c>
      <c r="I10" s="138" t="n">
        <v>51196.47</v>
      </c>
      <c r="J10" s="138" t="n">
        <v>52408.39</v>
      </c>
      <c r="K10" s="131">
        <f>J10*(1+Assumptions!K10)</f>
        <v/>
      </c>
      <c r="L10" s="131">
        <f>K10*(1+Assumptions!L10)</f>
        <v/>
      </c>
      <c r="M10" s="131">
        <f>L10*(1+Assumptions!M10)</f>
        <v/>
      </c>
      <c r="N10" s="131">
        <f>M10*(1+Assumptions!N10)</f>
        <v/>
      </c>
      <c r="O10" s="131">
        <f>N10*(1+Assumptions!O10)</f>
        <v/>
      </c>
      <c r="P10" s="139" t="n"/>
      <c r="Q10" s="126" t="n"/>
      <c r="R10" s="126" t="n"/>
      <c r="S10" s="126" t="n"/>
      <c r="T10" s="126" t="n"/>
    </row>
    <row r="11" ht="12.75" customHeight="1" s="105">
      <c r="A11" s="130" t="inlineStr">
        <is>
          <t>Total</t>
        </is>
      </c>
      <c r="F11" s="140">
        <f>SUM(F7:F10)</f>
        <v/>
      </c>
      <c r="G11" s="140">
        <f>SUM(G7:G10)</f>
        <v/>
      </c>
      <c r="H11" s="140">
        <f>SUM(H7:H10)</f>
        <v/>
      </c>
      <c r="I11" s="140">
        <f>SUM(I7:I10)</f>
        <v/>
      </c>
      <c r="J11" s="140">
        <f>SUM(J7:J10)</f>
        <v/>
      </c>
      <c r="K11" s="140">
        <f>SUM(K7:K10)</f>
        <v/>
      </c>
      <c r="L11" s="140">
        <f>SUM(L7:L10)</f>
        <v/>
      </c>
      <c r="M11" s="140">
        <f>SUM(M7:M10)</f>
        <v/>
      </c>
      <c r="N11" s="140">
        <f>SUM(N7:N10)</f>
        <v/>
      </c>
      <c r="O11" s="140">
        <f>SUM(O7:O10)</f>
        <v/>
      </c>
      <c r="P11" s="139" t="n"/>
      <c r="Q11" s="126" t="n"/>
      <c r="R11" s="126" t="n"/>
      <c r="S11" s="126" t="n"/>
      <c r="T11" s="126" t="n"/>
    </row>
    <row r="12" ht="12.75" customHeight="1" s="105">
      <c r="F12" s="141" t="n"/>
      <c r="G12" s="141" t="n"/>
      <c r="H12" s="141" t="n"/>
      <c r="I12" s="141" t="n"/>
      <c r="J12" s="141" t="n"/>
      <c r="K12" s="131" t="n"/>
      <c r="L12" s="131" t="n"/>
      <c r="M12" s="131" t="n"/>
      <c r="N12" s="131" t="n"/>
      <c r="O12" s="131" t="n"/>
      <c r="P12" s="139" t="n"/>
      <c r="Q12" s="126" t="n"/>
      <c r="R12" s="126" t="n"/>
      <c r="S12" s="126" t="n"/>
      <c r="T12" s="126" t="n"/>
    </row>
    <row r="13" ht="12.75" customHeight="1" s="105">
      <c r="A13" s="130" t="inlineStr">
        <is>
          <t>Expenditure</t>
        </is>
      </c>
      <c r="F13" s="142" t="n"/>
      <c r="G13" s="142" t="n"/>
      <c r="H13" s="142" t="n"/>
      <c r="I13" s="142" t="n"/>
      <c r="J13" s="142" t="n"/>
      <c r="K13" s="142" t="n"/>
      <c r="L13" s="142" t="n"/>
      <c r="M13" s="142" t="n"/>
      <c r="N13" s="142" t="n"/>
      <c r="O13" s="131" t="n"/>
      <c r="P13" s="139" t="n"/>
      <c r="Q13" s="126" t="n"/>
      <c r="R13" s="126" t="n"/>
      <c r="S13" s="126" t="n"/>
      <c r="T13" s="126" t="n"/>
    </row>
    <row r="14" ht="12.75" customHeight="1" s="105">
      <c r="B14" s="126" t="inlineStr">
        <is>
          <t>Internal consumption of coal</t>
        </is>
      </c>
      <c r="F14" s="138" t="n">
        <v>20136.65</v>
      </c>
      <c r="G14" s="138" t="n">
        <v>18480.49</v>
      </c>
      <c r="H14" s="138" t="n">
        <v>19508.61</v>
      </c>
      <c r="I14" s="138" t="n">
        <v>19921.53</v>
      </c>
      <c r="J14" s="138" t="n">
        <v>19721.13</v>
      </c>
      <c r="K14" s="131">
        <f>J14*(1+Assumptions!K13)</f>
        <v/>
      </c>
      <c r="L14" s="131">
        <f>K14*(1+Assumptions!L13)</f>
        <v/>
      </c>
      <c r="M14" s="131">
        <f>L14*(1+Assumptions!M13)</f>
        <v/>
      </c>
      <c r="N14" s="131">
        <f>M14*(1+Assumptions!N13)</f>
        <v/>
      </c>
      <c r="O14" s="131">
        <f>N14*(1+Assumptions!O13)</f>
        <v/>
      </c>
      <c r="P14" s="139" t="n"/>
      <c r="Q14" s="126" t="n"/>
      <c r="R14" s="126" t="n"/>
      <c r="S14" s="126" t="n"/>
      <c r="T14" s="126" t="n"/>
    </row>
    <row r="15" ht="12.75" customHeight="1" s="105">
      <c r="B15" s="126" t="inlineStr">
        <is>
          <t>Consumption of Stores &amp; Spares</t>
        </is>
      </c>
      <c r="F15" s="138" t="n">
        <v>38887.5</v>
      </c>
      <c r="G15" s="138" t="n">
        <v>41255.92</v>
      </c>
      <c r="H15" s="138" t="n">
        <v>43785.55</v>
      </c>
      <c r="I15" s="138" t="n">
        <v>48613.01</v>
      </c>
      <c r="J15" s="138" t="n">
        <v>49269.18</v>
      </c>
      <c r="K15" s="131">
        <f>Assumptions!K16*K7</f>
        <v/>
      </c>
      <c r="L15" s="131">
        <f>Assumptions!L16*L7</f>
        <v/>
      </c>
      <c r="M15" s="131">
        <f>Assumptions!M16*M7</f>
        <v/>
      </c>
      <c r="N15" s="131">
        <f>Assumptions!N16*N7</f>
        <v/>
      </c>
      <c r="O15" s="131">
        <f>Assumptions!O16*O7</f>
        <v/>
      </c>
      <c r="P15" s="139" t="n"/>
      <c r="Q15" s="126" t="n"/>
      <c r="R15" s="126" t="n"/>
      <c r="S15" s="126" t="n"/>
      <c r="T15" s="126" t="n"/>
    </row>
    <row r="16" ht="12.75" customHeight="1" s="105">
      <c r="B16" s="126" t="inlineStr">
        <is>
          <t>Employees remuneration &amp; Benefits</t>
        </is>
      </c>
      <c r="F16" s="138" t="n">
        <v>97879.94</v>
      </c>
      <c r="G16" s="138" t="n">
        <v>100975.32</v>
      </c>
      <c r="H16" s="138" t="n">
        <v>126351.59</v>
      </c>
      <c r="I16" s="138" t="n">
        <v>197420.85</v>
      </c>
      <c r="J16" s="138" t="n">
        <v>166555.22</v>
      </c>
      <c r="K16" s="131">
        <f>J16*(1+Assumptions!K19)</f>
        <v/>
      </c>
      <c r="L16" s="131">
        <f>K16*(1+Assumptions!L19)</f>
        <v/>
      </c>
      <c r="M16" s="131">
        <f>L16*(1+Assumptions!M19)</f>
        <v/>
      </c>
      <c r="N16" s="131">
        <f>M16*(1+Assumptions!N19)</f>
        <v/>
      </c>
      <c r="O16" s="131">
        <f>N16*(1+Assumptions!O19)</f>
        <v/>
      </c>
      <c r="P16" s="139" t="n"/>
      <c r="Q16" s="126" t="n"/>
      <c r="R16" s="126" t="n"/>
      <c r="S16" s="126" t="n"/>
      <c r="T16" s="126" t="n"/>
    </row>
    <row r="17" ht="12.75" customHeight="1" s="105">
      <c r="B17" s="126" t="inlineStr">
        <is>
          <t>Power &amp; Fuel</t>
        </is>
      </c>
      <c r="F17" s="138" t="n">
        <v>15513.33</v>
      </c>
      <c r="G17" s="138" t="n">
        <v>16003.48</v>
      </c>
      <c r="H17" s="138" t="n">
        <v>15937</v>
      </c>
      <c r="I17" s="138" t="n">
        <v>15950.52</v>
      </c>
      <c r="J17" s="138" t="n">
        <v>17395.95</v>
      </c>
      <c r="K17" s="131">
        <f>Assumptions!K22*K7</f>
        <v/>
      </c>
      <c r="L17" s="131">
        <f>Assumptions!L22*L7</f>
        <v/>
      </c>
      <c r="M17" s="131">
        <f>Assumptions!M22*M7</f>
        <v/>
      </c>
      <c r="N17" s="131">
        <f>Assumptions!N22*N7</f>
        <v/>
      </c>
      <c r="O17" s="131">
        <f>Assumptions!O22*O7</f>
        <v/>
      </c>
      <c r="P17" s="139" t="n"/>
      <c r="Q17" s="126" t="n"/>
      <c r="R17" s="126" t="n"/>
      <c r="S17" s="126" t="n"/>
      <c r="T17" s="126" t="n"/>
    </row>
    <row r="18" ht="12.75" customHeight="1" s="105">
      <c r="B18" s="126" t="inlineStr">
        <is>
          <t>Social Overhead</t>
        </is>
      </c>
      <c r="F18" s="138" t="n">
        <v>13677.35</v>
      </c>
      <c r="G18" s="138" t="n">
        <v>14780.48</v>
      </c>
      <c r="H18" s="138" t="n">
        <v>16228.57</v>
      </c>
      <c r="I18" s="138" t="n">
        <v>18851.22</v>
      </c>
      <c r="J18" s="138" t="n">
        <v>20174.87</v>
      </c>
      <c r="K18" s="131">
        <f>Assumptions!K25*K7</f>
        <v/>
      </c>
      <c r="L18" s="131">
        <f>Assumptions!L25*L7</f>
        <v/>
      </c>
      <c r="M18" s="131">
        <f>Assumptions!M25*M7</f>
        <v/>
      </c>
      <c r="N18" s="131">
        <f>Assumptions!N25*N7</f>
        <v/>
      </c>
      <c r="O18" s="131">
        <f>Assumptions!O25*O7</f>
        <v/>
      </c>
      <c r="P18" s="139" t="n"/>
      <c r="Q18" s="126" t="n"/>
      <c r="R18" s="126" t="n"/>
      <c r="S18" s="126" t="n"/>
      <c r="T18" s="126" t="n"/>
    </row>
    <row r="19" ht="12.75" customHeight="1" s="105">
      <c r="B19" s="126" t="inlineStr">
        <is>
          <t>Repairs</t>
        </is>
      </c>
      <c r="F19" s="138" t="n">
        <v>6501.78</v>
      </c>
      <c r="G19" s="138" t="n">
        <v>6649.14</v>
      </c>
      <c r="H19" s="138" t="n">
        <v>7096.92</v>
      </c>
      <c r="I19" s="138" t="n">
        <v>7860.61</v>
      </c>
      <c r="J19" s="138" t="n">
        <v>8479.389999999999</v>
      </c>
      <c r="K19" s="131">
        <f>Assumptions!K28*K7</f>
        <v/>
      </c>
      <c r="L19" s="131">
        <f>Assumptions!L28*L7</f>
        <v/>
      </c>
      <c r="M19" s="131">
        <f>Assumptions!M28*M7</f>
        <v/>
      </c>
      <c r="N19" s="131">
        <f>Assumptions!N28*N7</f>
        <v/>
      </c>
      <c r="O19" s="131">
        <f>Assumptions!O28*O7</f>
        <v/>
      </c>
      <c r="P19" s="139" t="n"/>
      <c r="Q19" s="126" t="n"/>
      <c r="R19" s="126" t="n"/>
      <c r="S19" s="126" t="n"/>
      <c r="T19" s="126" t="n"/>
    </row>
    <row r="20" ht="12.75" customHeight="1" s="105">
      <c r="B20" s="126" t="inlineStr">
        <is>
          <t>Contractual Expenses</t>
        </is>
      </c>
      <c r="F20" s="138" t="n">
        <v>19745.03</v>
      </c>
      <c r="G20" s="138" t="n">
        <v>20934.03</v>
      </c>
      <c r="H20" s="138" t="n">
        <v>26332.58</v>
      </c>
      <c r="I20" s="138" t="n">
        <v>33398.54</v>
      </c>
      <c r="J20" s="138" t="n">
        <v>37318.37</v>
      </c>
      <c r="K20" s="131">
        <f>Assumptions!K31*K7</f>
        <v/>
      </c>
      <c r="L20" s="131">
        <f>Assumptions!L31*L7</f>
        <v/>
      </c>
      <c r="M20" s="131">
        <f>Assumptions!M31*M7</f>
        <v/>
      </c>
      <c r="N20" s="131">
        <f>Assumptions!N31*N7</f>
        <v/>
      </c>
      <c r="O20" s="131">
        <f>Assumptions!O31*O7</f>
        <v/>
      </c>
      <c r="P20" s="139" t="n"/>
      <c r="Q20" s="126" t="n"/>
      <c r="R20" s="126" t="n"/>
      <c r="S20" s="126" t="n"/>
      <c r="T20" s="126" t="n"/>
    </row>
    <row r="21" ht="12.75" customHeight="1" s="105">
      <c r="B21" s="126" t="inlineStr">
        <is>
          <t>Other Expenditure</t>
        </is>
      </c>
      <c r="F21" s="138" t="n">
        <v>13280.94</v>
      </c>
      <c r="G21" s="138" t="n">
        <v>12639.82</v>
      </c>
      <c r="H21" s="138" t="n">
        <v>14873.47</v>
      </c>
      <c r="I21" s="138" t="n">
        <v>19285.19</v>
      </c>
      <c r="J21" s="138" t="n">
        <v>19335.99</v>
      </c>
      <c r="K21" s="131">
        <f>Assumptions!K34*K7</f>
        <v/>
      </c>
      <c r="L21" s="131">
        <f>Assumptions!L34*L7</f>
        <v/>
      </c>
      <c r="M21" s="131">
        <f>Assumptions!M34*M7</f>
        <v/>
      </c>
      <c r="N21" s="131">
        <f>Assumptions!N34*N7</f>
        <v/>
      </c>
      <c r="O21" s="131">
        <f>Assumptions!O34*O7</f>
        <v/>
      </c>
      <c r="P21" s="139" t="n"/>
      <c r="Q21" s="126" t="n"/>
      <c r="R21" s="126" t="n"/>
      <c r="S21" s="126" t="n"/>
      <c r="T21" s="126" t="n"/>
    </row>
    <row r="22" ht="12.75" customHeight="1" s="105">
      <c r="B22" s="126" t="inlineStr">
        <is>
          <t>Interest</t>
        </is>
      </c>
      <c r="F22" s="138" t="n">
        <v>909.04</v>
      </c>
      <c r="G22" s="131">
        <f>'Debt Schedule'!G20</f>
        <v/>
      </c>
      <c r="H22" s="131">
        <f>'Debt Schedule'!H20</f>
        <v/>
      </c>
      <c r="I22" s="131">
        <f>'Debt Schedule'!I20</f>
        <v/>
      </c>
      <c r="J22" s="131">
        <f>'Debt Schedule'!J20</f>
        <v/>
      </c>
      <c r="K22" s="131">
        <f>'Debt Schedule'!K20</f>
        <v/>
      </c>
      <c r="L22" s="131">
        <f>'Debt Schedule'!L20</f>
        <v/>
      </c>
      <c r="M22" s="131">
        <f>'Debt Schedule'!M20</f>
        <v/>
      </c>
      <c r="N22" s="131">
        <f>'Debt Schedule'!N20</f>
        <v/>
      </c>
      <c r="O22" s="131">
        <f>'Debt Schedule'!O20</f>
        <v/>
      </c>
      <c r="P22" s="139" t="n"/>
      <c r="Q22" s="126" t="n"/>
      <c r="R22" s="126" t="n"/>
      <c r="S22" s="126" t="n"/>
      <c r="T22" s="126" t="n"/>
    </row>
    <row r="23" ht="12.75" customHeight="1" s="105">
      <c r="B23" s="126" t="inlineStr">
        <is>
          <t>Overburden removal adjustment</t>
        </is>
      </c>
      <c r="F23" s="138" t="n">
        <v>12098.88</v>
      </c>
      <c r="G23" s="138" t="n">
        <v>16865.82</v>
      </c>
      <c r="H23" s="138" t="n">
        <v>15640.33</v>
      </c>
      <c r="I23" s="138" t="n">
        <v>21771.86</v>
      </c>
      <c r="J23" s="138" t="n">
        <v>30539.18</v>
      </c>
      <c r="K23" s="131">
        <f>Assumptions!K37*K7</f>
        <v/>
      </c>
      <c r="L23" s="131">
        <f>Assumptions!L37*L7</f>
        <v/>
      </c>
      <c r="M23" s="131">
        <f>Assumptions!M37*M7</f>
        <v/>
      </c>
      <c r="N23" s="131">
        <f>Assumptions!N37*N7</f>
        <v/>
      </c>
      <c r="O23" s="131">
        <f>Assumptions!O37*O7</f>
        <v/>
      </c>
      <c r="P23" s="139" t="n"/>
      <c r="Q23" s="126" t="n"/>
      <c r="R23" s="126" t="n"/>
      <c r="S23" s="126" t="n"/>
      <c r="T23" s="126" t="n"/>
    </row>
    <row r="24" ht="12.75" customHeight="1" s="105">
      <c r="B24" s="126" t="inlineStr">
        <is>
          <t>Finance Charges/Commitment Charges</t>
        </is>
      </c>
      <c r="F24" s="138" t="n">
        <v>283.06</v>
      </c>
      <c r="G24" s="138" t="n">
        <v>231.8</v>
      </c>
      <c r="H24" s="138" t="n">
        <v>193.56</v>
      </c>
      <c r="I24" s="138" t="n">
        <v>223.83</v>
      </c>
      <c r="J24" s="138" t="n">
        <v>194.95</v>
      </c>
      <c r="K24" s="131">
        <f>J24</f>
        <v/>
      </c>
      <c r="L24" s="131">
        <f>K24</f>
        <v/>
      </c>
      <c r="M24" s="131">
        <f>L24</f>
        <v/>
      </c>
      <c r="N24" s="131">
        <f>M24</f>
        <v/>
      </c>
      <c r="O24" s="131">
        <f>N24</f>
        <v/>
      </c>
      <c r="P24" s="139" t="n"/>
      <c r="Q24" s="126" t="n"/>
      <c r="R24" s="126" t="n"/>
      <c r="S24" s="126" t="n"/>
      <c r="T24" s="126" t="n"/>
    </row>
    <row r="25" ht="12.75" customHeight="1" s="105">
      <c r="B25" s="126" t="inlineStr">
        <is>
          <t>Depreciation</t>
        </is>
      </c>
      <c r="F25" s="138" t="n">
        <v>13154.11</v>
      </c>
      <c r="G25" s="138" t="n">
        <v>13116.35</v>
      </c>
      <c r="H25" s="138" t="n">
        <v>15299.45</v>
      </c>
      <c r="I25" s="138" t="n">
        <v>16629.29</v>
      </c>
      <c r="J25" s="138" t="n">
        <v>13138.41</v>
      </c>
      <c r="K25" s="131">
        <f>J25/BS!J7*BS!K7</f>
        <v/>
      </c>
      <c r="L25" s="131">
        <f>K25/BS!K7*BS!L7</f>
        <v/>
      </c>
      <c r="M25" s="131">
        <f>L25/BS!L7*BS!M7</f>
        <v/>
      </c>
      <c r="N25" s="131">
        <f>M25/BS!M7*BS!N7</f>
        <v/>
      </c>
      <c r="O25" s="131">
        <f>N25/BS!N7*BS!O7</f>
        <v/>
      </c>
      <c r="P25" s="139" t="n"/>
      <c r="Q25" s="126" t="n"/>
      <c r="R25" s="126" t="n"/>
      <c r="S25" s="126" t="n"/>
      <c r="T25" s="126" t="n"/>
    </row>
    <row r="26" ht="12.75" customHeight="1" s="105">
      <c r="B26" s="126" t="inlineStr">
        <is>
          <t>Impairment</t>
        </is>
      </c>
      <c r="F26" s="138" t="n">
        <v>318.84</v>
      </c>
      <c r="G26" s="138" t="n">
        <v>461.8</v>
      </c>
      <c r="H26" s="138" t="n">
        <v>307.02</v>
      </c>
      <c r="I26" s="138" t="n">
        <v>279.74</v>
      </c>
      <c r="J26" s="138" t="n">
        <v>156.12</v>
      </c>
      <c r="K26" s="131">
        <f>J26*(1+Assumptions!K43)</f>
        <v/>
      </c>
      <c r="L26" s="131">
        <f>K26*(1+Assumptions!L43)</f>
        <v/>
      </c>
      <c r="M26" s="131">
        <f>L26*(1+Assumptions!M43)</f>
        <v/>
      </c>
      <c r="N26" s="131">
        <f>M26*(1+Assumptions!N43)</f>
        <v/>
      </c>
      <c r="O26" s="131">
        <f>N26*(1+Assumptions!O43)</f>
        <v/>
      </c>
      <c r="P26" s="139" t="n"/>
      <c r="Q26" s="126" t="n"/>
      <c r="R26" s="126" t="n"/>
      <c r="S26" s="126" t="n"/>
      <c r="T26" s="126" t="n"/>
    </row>
    <row r="27" ht="12.75" customHeight="1" s="105">
      <c r="B27" s="126" t="inlineStr">
        <is>
          <t>Provisions/Write off</t>
        </is>
      </c>
      <c r="F27" s="138" t="n">
        <v>444.88</v>
      </c>
      <c r="G27" s="138" t="n">
        <v>1168.55</v>
      </c>
      <c r="H27" s="138" t="n">
        <v>2320.09</v>
      </c>
      <c r="I27" s="138" t="n">
        <v>1759.96</v>
      </c>
      <c r="J27" s="138" t="n">
        <v>2093.69</v>
      </c>
      <c r="K27" s="131">
        <f>Assumptions!K46*BS!K9</f>
        <v/>
      </c>
      <c r="L27" s="131">
        <f>Assumptions!L46*BS!L9</f>
        <v/>
      </c>
      <c r="M27" s="131">
        <f>Assumptions!M46*BS!M9</f>
        <v/>
      </c>
      <c r="N27" s="131">
        <f>Assumptions!N46*BS!N9</f>
        <v/>
      </c>
      <c r="O27" s="131">
        <f>Assumptions!O46*BS!O9</f>
        <v/>
      </c>
      <c r="P27" s="139" t="n"/>
      <c r="Q27" s="126" t="n"/>
      <c r="R27" s="126" t="n"/>
      <c r="S27" s="126" t="n"/>
      <c r="T27" s="126" t="n"/>
    </row>
    <row r="28" ht="12.75" customHeight="1" s="105">
      <c r="A28" s="130" t="inlineStr">
        <is>
          <t>Total Operating Costs</t>
        </is>
      </c>
      <c r="F28" s="140">
        <f>SUM(F14:F27)</f>
        <v/>
      </c>
      <c r="G28" s="140">
        <f>SUM(G14:G27)</f>
        <v/>
      </c>
      <c r="H28" s="140">
        <f>SUM(H14:H27)</f>
        <v/>
      </c>
      <c r="I28" s="140">
        <f>SUM(I14:I27)</f>
        <v/>
      </c>
      <c r="J28" s="140">
        <f>SUM(J14:J27)</f>
        <v/>
      </c>
      <c r="K28" s="140">
        <f>SUM(K14:K27)</f>
        <v/>
      </c>
      <c r="L28" s="140">
        <f>SUM(L14:L27)</f>
        <v/>
      </c>
      <c r="M28" s="140">
        <f>SUM(M14:M27)</f>
        <v/>
      </c>
      <c r="N28" s="140">
        <f>SUM(N14:N27)</f>
        <v/>
      </c>
      <c r="O28" s="140">
        <f>SUM(O14:O27)</f>
        <v/>
      </c>
      <c r="P28" s="139" t="n"/>
      <c r="Q28" s="126" t="n"/>
      <c r="R28" s="126" t="n"/>
      <c r="S28" s="126" t="n"/>
      <c r="T28" s="126" t="n"/>
    </row>
    <row r="29" ht="12.75" customHeight="1" s="105">
      <c r="F29" s="142" t="n"/>
      <c r="G29" s="142" t="n"/>
      <c r="H29" s="142" t="n"/>
      <c r="I29" s="142" t="n"/>
      <c r="J29" s="142" t="n"/>
      <c r="K29" s="131" t="n"/>
      <c r="L29" s="131" t="n"/>
      <c r="M29" s="131" t="n"/>
      <c r="N29" s="131" t="n"/>
      <c r="O29" s="131" t="n"/>
      <c r="P29" s="139" t="n"/>
      <c r="Q29" s="126" t="n"/>
      <c r="R29" s="126" t="n"/>
      <c r="S29" s="126" t="n"/>
      <c r="T29" s="126" t="n"/>
    </row>
    <row r="30" ht="12.75" customHeight="1" s="105">
      <c r="A30" s="130" t="inlineStr">
        <is>
          <t>Profit for the year</t>
        </is>
      </c>
      <c r="F30" s="140">
        <f>F11-F28</f>
        <v/>
      </c>
      <c r="G30" s="140">
        <f>G11-G28</f>
        <v/>
      </c>
      <c r="H30" s="140">
        <f>H11-H28</f>
        <v/>
      </c>
      <c r="I30" s="140">
        <f>I11-I28</f>
        <v/>
      </c>
      <c r="J30" s="140">
        <f>J11-J28</f>
        <v/>
      </c>
      <c r="K30" s="140">
        <f>K11-K28</f>
        <v/>
      </c>
      <c r="L30" s="140">
        <f>L11-L28</f>
        <v/>
      </c>
      <c r="M30" s="140">
        <f>M11-M28</f>
        <v/>
      </c>
      <c r="N30" s="140">
        <f>N11-N28</f>
        <v/>
      </c>
      <c r="O30" s="140">
        <f>O11-O28</f>
        <v/>
      </c>
      <c r="P30" s="139" t="n"/>
      <c r="Q30" s="126" t="n"/>
      <c r="R30" s="126" t="n"/>
      <c r="S30" s="126" t="n"/>
      <c r="T30" s="126" t="n"/>
    </row>
    <row r="31" ht="12.75" customHeight="1" s="105">
      <c r="B31" s="126" t="inlineStr">
        <is>
          <t>Prior period Adjustment</t>
        </is>
      </c>
      <c r="F31" s="138" t="n">
        <v>284.96</v>
      </c>
      <c r="G31" s="138" t="n">
        <v>220.56</v>
      </c>
      <c r="H31" s="138" t="n">
        <v>1111.28</v>
      </c>
      <c r="I31" s="138" t="n">
        <v>277.18</v>
      </c>
      <c r="J31" s="138" t="n">
        <v>-536.6</v>
      </c>
      <c r="K31" s="131" t="n">
        <v>0</v>
      </c>
      <c r="L31" s="131" t="n">
        <v>0</v>
      </c>
      <c r="M31" s="131" t="n">
        <v>0</v>
      </c>
      <c r="N31" s="131" t="n">
        <v>0</v>
      </c>
      <c r="O31" s="131" t="n">
        <v>0</v>
      </c>
      <c r="P31" s="139" t="n"/>
      <c r="Q31" s="126" t="n"/>
      <c r="R31" s="126" t="n"/>
      <c r="S31" s="126" t="n"/>
      <c r="T31" s="126" t="n"/>
    </row>
    <row r="32" ht="12.75" customHeight="1" s="105">
      <c r="F32" s="138" t="n"/>
      <c r="G32" s="138" t="n"/>
      <c r="H32" s="138" t="n"/>
      <c r="I32" s="138" t="n"/>
      <c r="J32" s="143" t="n"/>
      <c r="K32" s="131" t="n"/>
      <c r="L32" s="131" t="n"/>
      <c r="M32" s="131" t="n"/>
      <c r="N32" s="131" t="n"/>
      <c r="O32" s="131" t="n"/>
      <c r="P32" s="139" t="n"/>
      <c r="Q32" s="126" t="n"/>
      <c r="R32" s="126" t="n"/>
      <c r="S32" s="126" t="n"/>
      <c r="T32" s="126" t="n"/>
    </row>
    <row r="33" ht="12.75" customHeight="1" s="105">
      <c r="A33" s="126" t="inlineStr">
        <is>
          <t>Profit Before Tax &amp; Extra-Ordinary Items</t>
        </is>
      </c>
      <c r="F33" s="144">
        <f>F30+F31</f>
        <v/>
      </c>
      <c r="G33" s="144">
        <f>G30+G31</f>
        <v/>
      </c>
      <c r="H33" s="144">
        <f>H30+H31</f>
        <v/>
      </c>
      <c r="I33" s="144">
        <f>I30+I31</f>
        <v/>
      </c>
      <c r="J33" s="144">
        <f>J30+J31</f>
        <v/>
      </c>
      <c r="K33" s="144">
        <f>K30+K31</f>
        <v/>
      </c>
      <c r="L33" s="144">
        <f>L30+L31</f>
        <v/>
      </c>
      <c r="M33" s="144">
        <f>M30+M31</f>
        <v/>
      </c>
      <c r="N33" s="144">
        <f>N30+N31</f>
        <v/>
      </c>
      <c r="O33" s="144">
        <f>O30+O31</f>
        <v/>
      </c>
      <c r="P33" s="139" t="n"/>
      <c r="Q33" s="126" t="n"/>
      <c r="R33" s="126" t="n"/>
      <c r="S33" s="126" t="n"/>
      <c r="T33" s="126" t="n"/>
    </row>
    <row r="34" ht="12.75" customHeight="1" s="105">
      <c r="B34" s="126" t="inlineStr">
        <is>
          <t>Provision for Income Tax</t>
        </is>
      </c>
      <c r="F34" s="138" t="n">
        <v>28708.43</v>
      </c>
      <c r="G34" s="138" t="n">
        <v>31684.92</v>
      </c>
      <c r="H34" s="138" t="n">
        <v>35985.88</v>
      </c>
      <c r="I34" s="138" t="n">
        <v>36839.42</v>
      </c>
      <c r="J34" s="138" t="n">
        <v>44332.47</v>
      </c>
      <c r="K34" s="131">
        <f>AVERAGE(F34/F33,G34/G33,H34/H33,I34/I33,J34/J33)*K33</f>
        <v/>
      </c>
      <c r="L34" s="131">
        <f>AVERAGE(G34/G33,H34/H33,I34/I33,J34/J33,K34/K33)*L33</f>
        <v/>
      </c>
      <c r="M34" s="131">
        <f>AVERAGE(H34/H33,I34/I33,J34/J33,K34/K33,L34/L33)*M33</f>
        <v/>
      </c>
      <c r="N34" s="131">
        <f>AVERAGE(I34/I33,J34/J33,K34/K33,L34/L33,M34/M33)*N33</f>
        <v/>
      </c>
      <c r="O34" s="131">
        <f>AVERAGE(J34/J33,K34/K33,L34/L33,M34/M33,N34/N33)*O33</f>
        <v/>
      </c>
      <c r="P34" s="139" t="n"/>
      <c r="Q34" s="126" t="n"/>
      <c r="R34" s="126" t="n"/>
      <c r="S34" s="126" t="n"/>
      <c r="T34" s="126" t="n"/>
    </row>
    <row r="35" ht="12.75" customHeight="1" s="105">
      <c r="B35" s="126" t="inlineStr">
        <is>
          <t>Provision for Deferred Tax ( written back )</t>
        </is>
      </c>
      <c r="F35" s="138" t="n">
        <v>-1876.4</v>
      </c>
      <c r="G35" s="138" t="n">
        <v>-2779.81</v>
      </c>
      <c r="H35" s="138" t="n">
        <v>-2488.39</v>
      </c>
      <c r="I35" s="138" t="n">
        <v>-1032.34</v>
      </c>
      <c r="J35" s="138" t="n">
        <v>-336.23</v>
      </c>
      <c r="K35" s="131" t="n">
        <v>0</v>
      </c>
      <c r="L35" s="131" t="n">
        <v>0</v>
      </c>
      <c r="M35" s="131" t="n">
        <v>0</v>
      </c>
      <c r="N35" s="131" t="n">
        <v>0</v>
      </c>
      <c r="O35" s="131" t="n">
        <v>0</v>
      </c>
      <c r="P35" s="139" t="n"/>
      <c r="Q35" s="126" t="n"/>
      <c r="R35" s="126" t="n"/>
      <c r="S35" s="126" t="n"/>
      <c r="T35" s="126" t="n"/>
    </row>
    <row r="36" ht="12.75" customHeight="1" s="105">
      <c r="B36" s="126" t="inlineStr">
        <is>
          <t>Provision for Income Tax for earlier year</t>
        </is>
      </c>
      <c r="F36" s="138" t="n">
        <v>1920.81</v>
      </c>
      <c r="G36" s="138" t="n">
        <v>-355.89</v>
      </c>
      <c r="H36" s="138" t="n">
        <v>764.61</v>
      </c>
      <c r="I36" s="138" t="n">
        <v>460.3</v>
      </c>
      <c r="J36" s="138" t="n">
        <v>576.02</v>
      </c>
      <c r="K36" s="131" t="n">
        <v>0</v>
      </c>
      <c r="L36" s="131" t="n">
        <v>0</v>
      </c>
      <c r="M36" s="131" t="n">
        <v>0</v>
      </c>
      <c r="N36" s="131" t="n">
        <v>0</v>
      </c>
      <c r="O36" s="131" t="n">
        <v>0</v>
      </c>
      <c r="P36" s="139" t="n"/>
      <c r="Q36" s="126" t="n"/>
      <c r="R36" s="126" t="n"/>
      <c r="S36" s="126" t="n"/>
      <c r="T36" s="126" t="n"/>
    </row>
    <row r="37" ht="12.75" customHeight="1" s="105">
      <c r="B37" s="126" t="inlineStr">
        <is>
          <t>Excess Prov. For income tax written back (earlier period)</t>
        </is>
      </c>
      <c r="F37" s="138" t="n">
        <v>-128</v>
      </c>
      <c r="G37" s="138" t="n"/>
      <c r="H37" s="138" t="n">
        <v>-0.33</v>
      </c>
      <c r="I37" s="138" t="n">
        <v>-141.87</v>
      </c>
      <c r="J37" s="138" t="n">
        <v>-1147.45</v>
      </c>
      <c r="K37" s="131" t="n">
        <v>0</v>
      </c>
      <c r="L37" s="131" t="n">
        <v>0</v>
      </c>
      <c r="M37" s="131" t="n">
        <v>0</v>
      </c>
      <c r="N37" s="131" t="n">
        <v>0</v>
      </c>
      <c r="O37" s="131" t="n">
        <v>0</v>
      </c>
      <c r="P37" s="139" t="n"/>
      <c r="Q37" s="126" t="n"/>
      <c r="R37" s="126" t="n"/>
      <c r="S37" s="126" t="n"/>
      <c r="T37" s="126" t="n"/>
    </row>
    <row r="38" ht="12.75" customHeight="1" s="105">
      <c r="B38" s="126" t="inlineStr">
        <is>
          <t>Fringe benefit Tax</t>
        </is>
      </c>
      <c r="F38" s="138" t="n">
        <v>344.72</v>
      </c>
      <c r="G38" s="138" t="n">
        <v>388.06</v>
      </c>
      <c r="H38" s="138" t="n">
        <v>483.7</v>
      </c>
      <c r="I38" s="138" t="n">
        <v>506.91</v>
      </c>
      <c r="J38" s="138" t="n">
        <v>0</v>
      </c>
      <c r="K38" s="131">
        <f>AVERAGE(F38/F16,G38/G16,H38/H16,I38/I16,J38/J16)*K16</f>
        <v/>
      </c>
      <c r="L38" s="131">
        <f>AVERAGE(G38/G16,H38/H16,I38/I16,J38/J16,K38/K16)*L16</f>
        <v/>
      </c>
      <c r="M38" s="131">
        <f>AVERAGE(H38/H16,I38/I16,J38/J16,K38/K16,L38/L16)*M16</f>
        <v/>
      </c>
      <c r="N38" s="131">
        <f>AVERAGE(I38/I16,J38/J16,K38/K16,L38/L16,M38/M16)*N16</f>
        <v/>
      </c>
      <c r="O38" s="131">
        <f>AVERAGE(J38/J16,K38/K16,L38/L16,M38/M16,N38/N16)*O16</f>
        <v/>
      </c>
      <c r="P38" s="145" t="n"/>
      <c r="Q38" s="145" t="n"/>
      <c r="R38" s="145" t="n"/>
      <c r="S38" s="145" t="n"/>
      <c r="T38" s="126" t="n"/>
    </row>
    <row r="39" ht="12.75" customHeight="1" s="105">
      <c r="C39" s="146" t="n"/>
      <c r="F39" s="143" t="n"/>
      <c r="G39" s="143" t="n"/>
      <c r="H39" s="143" t="n"/>
      <c r="I39" s="143" t="n"/>
      <c r="J39" s="143" t="n"/>
      <c r="K39" s="131" t="n"/>
      <c r="L39" s="131" t="n"/>
      <c r="M39" s="131" t="n"/>
      <c r="N39" s="131" t="n"/>
      <c r="O39" s="131" t="n"/>
      <c r="P39" s="139" t="n"/>
      <c r="Q39" s="126" t="n"/>
      <c r="R39" s="126" t="n"/>
      <c r="S39" s="126" t="n"/>
      <c r="T39" s="126" t="n"/>
    </row>
    <row r="40" ht="12.75" customHeight="1" s="105">
      <c r="A40" s="126" t="inlineStr">
        <is>
          <t>Profit After Tax, Before Extra Ordinary Items</t>
        </is>
      </c>
      <c r="F40" s="144">
        <f>F33-SUM(F34:F38)</f>
        <v/>
      </c>
      <c r="G40" s="144">
        <f>G33-SUM(G34:G38)</f>
        <v/>
      </c>
      <c r="H40" s="144">
        <f>H33-SUM(H34:H38)</f>
        <v/>
      </c>
      <c r="I40" s="144">
        <f>I33-SUM(I34:I38)</f>
        <v/>
      </c>
      <c r="J40" s="144">
        <f>J33-SUM(J34:J38)</f>
        <v/>
      </c>
      <c r="K40" s="144">
        <f>K33-SUM(K34:K38)</f>
        <v/>
      </c>
      <c r="L40" s="144">
        <f>L33-SUM(L34:L38)</f>
        <v/>
      </c>
      <c r="M40" s="144">
        <f>M33-SUM(M34:M38)</f>
        <v/>
      </c>
      <c r="N40" s="144">
        <f>N33-SUM(N34:N38)</f>
        <v/>
      </c>
      <c r="O40" s="144">
        <f>O33-SUM(O34:O38)</f>
        <v/>
      </c>
      <c r="P40" s="139" t="n"/>
      <c r="Q40" s="126" t="n"/>
      <c r="R40" s="126" t="n"/>
      <c r="S40" s="126" t="n"/>
      <c r="T40" s="126" t="n"/>
    </row>
    <row r="41" ht="12.75" customHeight="1" s="105">
      <c r="B41" s="126" t="inlineStr">
        <is>
          <t>Extra ordinary item</t>
        </is>
      </c>
      <c r="F41" s="138" t="n">
        <v>343.19</v>
      </c>
      <c r="G41" s="138" t="n">
        <v>162.21</v>
      </c>
      <c r="H41" s="138" t="n">
        <v>5274.01</v>
      </c>
      <c r="I41" s="138" t="n">
        <v>32.63</v>
      </c>
      <c r="J41" s="147" t="n">
        <v>0</v>
      </c>
      <c r="K41" s="147" t="n">
        <v>0</v>
      </c>
      <c r="L41" s="147" t="n">
        <v>0</v>
      </c>
      <c r="M41" s="147" t="n">
        <v>0</v>
      </c>
      <c r="N41" s="147" t="n">
        <v>0</v>
      </c>
      <c r="O41" s="131" t="n"/>
      <c r="P41" s="139" t="n"/>
      <c r="Q41" s="126" t="n"/>
      <c r="R41" s="126" t="n"/>
      <c r="S41" s="126" t="n"/>
      <c r="T41" s="126" t="n"/>
    </row>
    <row r="42" ht="12.75" customHeight="1" s="105">
      <c r="A42" s="130" t="inlineStr">
        <is>
          <t>Profit after Tax</t>
        </is>
      </c>
      <c r="F42" s="144">
        <f>F40+F41</f>
        <v/>
      </c>
      <c r="G42" s="144">
        <f>G40+G41</f>
        <v/>
      </c>
      <c r="H42" s="144">
        <f>H40+H41</f>
        <v/>
      </c>
      <c r="I42" s="144">
        <f>I40+I41</f>
        <v/>
      </c>
      <c r="J42" s="144">
        <f>J40+J41</f>
        <v/>
      </c>
      <c r="K42" s="144">
        <f>K40+K41</f>
        <v/>
      </c>
      <c r="L42" s="144">
        <f>L40+L41</f>
        <v/>
      </c>
      <c r="M42" s="144">
        <f>M40+M41</f>
        <v/>
      </c>
      <c r="N42" s="144">
        <f>N40+N41</f>
        <v/>
      </c>
      <c r="O42" s="144">
        <f>O40+O41</f>
        <v/>
      </c>
      <c r="P42" s="139" t="n"/>
      <c r="Q42" s="126" t="n"/>
      <c r="R42" s="126" t="n"/>
      <c r="S42" s="126" t="n"/>
      <c r="T42" s="126" t="n"/>
    </row>
    <row r="43" ht="12.75" customHeight="1" s="105">
      <c r="F43" s="138" t="n"/>
      <c r="G43" s="138" t="n"/>
      <c r="H43" s="138" t="n"/>
      <c r="I43" s="138" t="n"/>
      <c r="J43" s="138" t="n"/>
      <c r="K43" s="131" t="n"/>
      <c r="L43" s="131" t="n"/>
      <c r="M43" s="131" t="n"/>
      <c r="N43" s="131" t="n"/>
      <c r="O43" s="131" t="n"/>
      <c r="P43" s="139" t="n"/>
      <c r="Q43" s="126" t="n"/>
      <c r="R43" s="126" t="n"/>
      <c r="S43" s="126" t="n"/>
      <c r="T43" s="126" t="n"/>
    </row>
    <row r="44" hidden="1" outlineLevel="1" ht="12.75" customHeight="1" s="105">
      <c r="A44" s="130" t="inlineStr">
        <is>
          <t>Adjustment for Restatement</t>
        </is>
      </c>
      <c r="B44" s="126" t="n"/>
      <c r="C44" s="126" t="n"/>
      <c r="D44" s="126" t="n"/>
      <c r="E44" s="126" t="n"/>
      <c r="F44" s="144" t="n"/>
      <c r="G44" s="144" t="n"/>
      <c r="H44" s="144" t="n"/>
      <c r="I44" s="144" t="n"/>
      <c r="J44" s="144" t="n"/>
      <c r="K44" s="131" t="n"/>
      <c r="L44" s="131" t="n"/>
      <c r="M44" s="131" t="n"/>
      <c r="N44" s="131" t="n"/>
      <c r="O44" s="131" t="n"/>
      <c r="P44" s="139" t="n"/>
      <c r="Q44" s="126" t="n"/>
      <c r="R44" s="126" t="n"/>
      <c r="S44" s="126" t="n"/>
      <c r="T44" s="126" t="n"/>
    </row>
    <row r="45" hidden="1" outlineLevel="1" ht="12.75" customHeight="1" s="105">
      <c r="A45" s="126" t="n"/>
      <c r="B45" s="126" t="inlineStr">
        <is>
          <t>Change in Accounting Policies</t>
        </is>
      </c>
      <c r="C45" s="126" t="n"/>
      <c r="D45" s="126" t="n"/>
      <c r="E45" s="126" t="n"/>
      <c r="F45" s="138" t="n">
        <v>-841.4299999999999</v>
      </c>
      <c r="G45" s="138" t="n">
        <v>-272.42</v>
      </c>
      <c r="H45" s="138" t="n">
        <v>779.71</v>
      </c>
      <c r="I45" s="138" t="n">
        <v>533.27</v>
      </c>
      <c r="J45" s="138" t="n">
        <v>58.49</v>
      </c>
      <c r="K45" s="131" t="n">
        <v>0</v>
      </c>
      <c r="L45" s="131" t="n">
        <v>0</v>
      </c>
      <c r="M45" s="131" t="n">
        <v>0</v>
      </c>
      <c r="N45" s="131" t="n">
        <v>0</v>
      </c>
      <c r="O45" s="131" t="n">
        <v>0</v>
      </c>
      <c r="P45" s="139" t="n"/>
      <c r="Q45" s="126" t="n"/>
      <c r="R45" s="126" t="n"/>
      <c r="S45" s="126" t="n"/>
      <c r="T45" s="126" t="n"/>
    </row>
    <row r="46" hidden="1" outlineLevel="1" ht="12.75" customHeight="1" s="105">
      <c r="A46" s="126" t="n"/>
      <c r="B46" s="126" t="inlineStr">
        <is>
          <t>Other adjustments &amp; prior period items</t>
        </is>
      </c>
      <c r="C46" s="126" t="n"/>
      <c r="D46" s="126" t="n"/>
      <c r="E46" s="126" t="n"/>
      <c r="F46" s="138" t="n">
        <v>3218.52</v>
      </c>
      <c r="G46" s="138" t="n">
        <v>-1493.56</v>
      </c>
      <c r="H46" s="138" t="n">
        <v>-5523.34</v>
      </c>
      <c r="I46" s="138" t="n">
        <v>-766.36</v>
      </c>
      <c r="J46" s="138" t="n">
        <v>2372.31</v>
      </c>
      <c r="K46" s="131" t="n">
        <v>0</v>
      </c>
      <c r="L46" s="131" t="n">
        <v>0</v>
      </c>
      <c r="M46" s="131" t="n">
        <v>0</v>
      </c>
      <c r="N46" s="131" t="n">
        <v>0</v>
      </c>
      <c r="O46" s="131" t="n">
        <v>0</v>
      </c>
      <c r="P46" s="139" t="n"/>
      <c r="Q46" s="126" t="n"/>
      <c r="R46" s="126" t="n"/>
      <c r="S46" s="126" t="n"/>
      <c r="T46" s="126" t="n"/>
    </row>
    <row r="47" hidden="1" outlineLevel="1" ht="12.75" customHeight="1" s="105">
      <c r="A47" s="126" t="n"/>
      <c r="B47" s="126" t="inlineStr">
        <is>
          <t>Current Tax impact on adjustments</t>
        </is>
      </c>
      <c r="C47" s="126" t="n"/>
      <c r="D47" s="126" t="n"/>
      <c r="E47" s="126" t="n"/>
      <c r="F47" s="138" t="n">
        <v>-685.6900000000001</v>
      </c>
      <c r="G47" s="138" t="n">
        <v>2654.07</v>
      </c>
      <c r="H47" s="138" t="n">
        <v>5208.64</v>
      </c>
      <c r="I47" s="138" t="n">
        <v>-2881.55</v>
      </c>
      <c r="J47" s="138" t="n">
        <v>-2319.69</v>
      </c>
      <c r="K47" s="131" t="n">
        <v>0</v>
      </c>
      <c r="L47" s="131" t="n">
        <v>0</v>
      </c>
      <c r="M47" s="131" t="n">
        <v>0</v>
      </c>
      <c r="N47" s="131" t="n">
        <v>0</v>
      </c>
      <c r="O47" s="131" t="n">
        <v>0</v>
      </c>
      <c r="P47" s="139" t="n"/>
      <c r="Q47" s="126" t="n"/>
      <c r="R47" s="126" t="n"/>
      <c r="S47" s="126" t="n"/>
      <c r="T47" s="126" t="n"/>
    </row>
    <row r="48" hidden="1" outlineLevel="1" ht="12.75" customHeight="1" s="105">
      <c r="A48" s="130" t="n"/>
      <c r="B48" s="126" t="inlineStr">
        <is>
          <t>Deferred tax impact on adjustments</t>
        </is>
      </c>
      <c r="C48" s="126" t="n"/>
      <c r="D48" s="126" t="n"/>
      <c r="E48" s="126" t="n"/>
      <c r="F48" s="138" t="n">
        <v>529.36</v>
      </c>
      <c r="G48" s="138" t="n">
        <v>-1320.96</v>
      </c>
      <c r="H48" s="138" t="n">
        <v>-1512.62</v>
      </c>
      <c r="I48" s="138" t="n">
        <v>2004.49</v>
      </c>
      <c r="J48" s="138" t="n">
        <v>-226.97</v>
      </c>
      <c r="K48" s="131" t="n">
        <v>0</v>
      </c>
      <c r="L48" s="131" t="n">
        <v>0</v>
      </c>
      <c r="M48" s="131" t="n">
        <v>0</v>
      </c>
      <c r="N48" s="131" t="n">
        <v>0</v>
      </c>
      <c r="O48" s="131" t="n">
        <v>0</v>
      </c>
      <c r="P48" s="139" t="n"/>
      <c r="Q48" s="126" t="n"/>
      <c r="R48" s="126" t="n"/>
      <c r="S48" s="126" t="n"/>
      <c r="T48" s="126" t="n"/>
    </row>
    <row r="49" hidden="1" outlineLevel="1" ht="12.75" customHeight="1" s="105">
      <c r="A49" s="126" t="n"/>
      <c r="B49" s="126" t="inlineStr">
        <is>
          <t>Arrear Salary &amp; Wages</t>
        </is>
      </c>
      <c r="C49" s="126" t="n"/>
      <c r="D49" s="126" t="n"/>
      <c r="E49" s="126" t="n"/>
      <c r="F49" s="138" t="n"/>
      <c r="G49" s="138" t="n">
        <v>-14601.72</v>
      </c>
      <c r="H49" s="138" t="n">
        <v>-8535.040000000001</v>
      </c>
      <c r="I49" s="138" t="n">
        <v>20951.28</v>
      </c>
      <c r="J49" s="138" t="n">
        <v>2185.48</v>
      </c>
      <c r="K49" s="131" t="n">
        <v>0</v>
      </c>
      <c r="L49" s="131" t="n">
        <v>0</v>
      </c>
      <c r="M49" s="131" t="n">
        <v>0</v>
      </c>
      <c r="N49" s="131" t="n">
        <v>0</v>
      </c>
      <c r="O49" s="131" t="n">
        <v>0</v>
      </c>
      <c r="P49" s="139" t="n"/>
      <c r="Q49" s="126" t="n"/>
      <c r="R49" s="126" t="n"/>
      <c r="S49" s="126" t="n"/>
      <c r="T49" s="126" t="n"/>
    </row>
    <row r="50" hidden="1" outlineLevel="1" ht="12.75" customHeight="1" s="105">
      <c r="B50" s="126" t="inlineStr">
        <is>
          <t>Total of adjustments after tax impact</t>
        </is>
      </c>
      <c r="C50" s="126" t="n"/>
      <c r="D50" s="126" t="n"/>
      <c r="E50" s="126" t="n"/>
      <c r="F50" s="144">
        <f>SUM(F45:F49)</f>
        <v/>
      </c>
      <c r="G50" s="144">
        <f>SUM(G45:G49)</f>
        <v/>
      </c>
      <c r="H50" s="144">
        <f>SUM(H45:H49)</f>
        <v/>
      </c>
      <c r="I50" s="144">
        <f>SUM(I45:I49)</f>
        <v/>
      </c>
      <c r="J50" s="144">
        <f>SUM(J45:J49)</f>
        <v/>
      </c>
      <c r="K50" s="144">
        <f>SUM(K45:K49)</f>
        <v/>
      </c>
      <c r="L50" s="144">
        <f>SUM(L45:L49)</f>
        <v/>
      </c>
      <c r="M50" s="144">
        <f>SUM(M45:M49)</f>
        <v/>
      </c>
      <c r="N50" s="144">
        <f>SUM(N45:N49)</f>
        <v/>
      </c>
      <c r="O50" s="144">
        <f>SUM(O45:O49)</f>
        <v/>
      </c>
      <c r="P50" s="139" t="n"/>
      <c r="Q50" s="126" t="n"/>
      <c r="R50" s="126" t="n"/>
      <c r="S50" s="126" t="n"/>
      <c r="T50" s="126" t="n"/>
    </row>
    <row r="51" hidden="1" outlineLevel="1" ht="12.75" customHeight="1" s="105">
      <c r="A51" s="126" t="n"/>
      <c r="B51" s="126" t="n"/>
      <c r="C51" s="126" t="n"/>
      <c r="D51" s="126" t="n"/>
      <c r="E51" s="126" t="n"/>
      <c r="F51" s="138" t="n"/>
      <c r="G51" s="138" t="n"/>
      <c r="H51" s="138" t="n"/>
      <c r="I51" s="138" t="n"/>
      <c r="J51" s="138" t="n"/>
      <c r="K51" s="131" t="n"/>
      <c r="L51" s="131" t="n"/>
      <c r="M51" s="131" t="n"/>
      <c r="N51" s="131" t="n"/>
      <c r="O51" s="131" t="n"/>
      <c r="P51" s="139" t="n"/>
      <c r="Q51" s="126" t="n"/>
      <c r="R51" s="126" t="n"/>
      <c r="S51" s="126" t="n"/>
      <c r="T51" s="126" t="n"/>
    </row>
    <row r="52" ht="12.75" customHeight="1" s="105">
      <c r="A52" s="130" t="inlineStr">
        <is>
          <t>Profit After Tax (Restated)</t>
        </is>
      </c>
      <c r="B52" s="126" t="n"/>
      <c r="C52" s="126" t="n"/>
      <c r="D52" s="126" t="n"/>
      <c r="E52" s="126" t="n"/>
      <c r="F52" s="140">
        <f>F42+F50</f>
        <v/>
      </c>
      <c r="G52" s="140">
        <f>G42+G50</f>
        <v/>
      </c>
      <c r="H52" s="140">
        <f>H42+H50</f>
        <v/>
      </c>
      <c r="I52" s="140">
        <f>I42+I50</f>
        <v/>
      </c>
      <c r="J52" s="140">
        <f>J42+J50</f>
        <v/>
      </c>
      <c r="K52" s="140">
        <f>K42+K50</f>
        <v/>
      </c>
      <c r="L52" s="140">
        <f>L42+L50</f>
        <v/>
      </c>
      <c r="M52" s="140">
        <f>M42+M50</f>
        <v/>
      </c>
      <c r="N52" s="140">
        <f>N42+N50</f>
        <v/>
      </c>
      <c r="O52" s="140">
        <f>O42+O50</f>
        <v/>
      </c>
      <c r="P52" s="139" t="n"/>
      <c r="Q52" s="126" t="n"/>
      <c r="R52" s="126" t="n"/>
      <c r="S52" s="126" t="n"/>
      <c r="T52" s="126" t="n"/>
    </row>
    <row r="53" ht="12.75" customHeight="1" s="105">
      <c r="A53" s="126" t="n"/>
      <c r="B53" s="126" t="n"/>
      <c r="C53" s="126" t="n"/>
      <c r="D53" s="126" t="n"/>
      <c r="E53" s="126" t="n"/>
      <c r="F53" s="138" t="n"/>
      <c r="G53" s="138" t="n"/>
      <c r="H53" s="138" t="n"/>
      <c r="I53" s="138" t="n"/>
      <c r="J53" s="138" t="n"/>
      <c r="K53" s="131" t="n"/>
      <c r="L53" s="131" t="n"/>
      <c r="M53" s="131" t="n"/>
      <c r="N53" s="131" t="n"/>
      <c r="O53" s="131" t="n"/>
      <c r="P53" s="139" t="n"/>
      <c r="Q53" s="126" t="n"/>
      <c r="R53" s="126" t="n"/>
      <c r="S53" s="126" t="n"/>
      <c r="T53" s="126" t="n"/>
    </row>
    <row r="54" ht="12.75" customHeight="1" s="105">
      <c r="A54" s="126" t="n"/>
      <c r="B54" s="126" t="inlineStr">
        <is>
          <t>Profit (Loss) brought forward from previous year</t>
        </is>
      </c>
      <c r="C54" s="126" t="n"/>
      <c r="D54" s="126" t="n"/>
      <c r="E54" s="126" t="n"/>
      <c r="F54" s="138" t="n">
        <v>-17515.8</v>
      </c>
      <c r="G54" s="131">
        <f>F66</f>
        <v/>
      </c>
      <c r="H54" s="131">
        <f>G66</f>
        <v/>
      </c>
      <c r="I54" s="131">
        <f>H66</f>
        <v/>
      </c>
      <c r="J54" s="131">
        <f>I66</f>
        <v/>
      </c>
      <c r="K54" s="131">
        <f>J66</f>
        <v/>
      </c>
      <c r="L54" s="131">
        <f>K66</f>
        <v/>
      </c>
      <c r="M54" s="131">
        <f>L66</f>
        <v/>
      </c>
      <c r="N54" s="131">
        <f>M66</f>
        <v/>
      </c>
      <c r="O54" s="131">
        <f>N66</f>
        <v/>
      </c>
      <c r="P54" s="139" t="n"/>
      <c r="Q54" s="126" t="n"/>
      <c r="R54" s="126" t="n"/>
      <c r="S54" s="126" t="n"/>
      <c r="T54" s="126" t="n"/>
    </row>
    <row r="55" ht="12.75" customHeight="1" s="105">
      <c r="A55" s="126" t="n"/>
      <c r="B55" s="126" t="inlineStr">
        <is>
          <t>Less: Transitional provision for Employee Benefits</t>
        </is>
      </c>
      <c r="C55" s="126" t="n"/>
      <c r="D55" s="126" t="n"/>
      <c r="E55" s="126" t="n"/>
      <c r="F55" s="138" t="n"/>
      <c r="G55" s="138" t="n"/>
      <c r="H55" s="138" t="n">
        <v>-6877.61</v>
      </c>
      <c r="I55" s="138" t="n"/>
      <c r="J55" s="138" t="n">
        <v>-4.27</v>
      </c>
      <c r="K55" s="131" t="n"/>
      <c r="L55" s="131" t="n"/>
      <c r="M55" s="131" t="n"/>
      <c r="N55" s="131" t="n"/>
      <c r="O55" s="131" t="n"/>
      <c r="P55" s="139" t="n"/>
      <c r="Q55" s="126" t="n"/>
      <c r="R55" s="126" t="n"/>
      <c r="S55" s="126" t="n"/>
      <c r="T55" s="126" t="n"/>
    </row>
    <row r="56" ht="12.75" customHeight="1" s="105">
      <c r="A56" s="130" t="inlineStr">
        <is>
          <t>Profit/(Loss) available for appropriation</t>
        </is>
      </c>
      <c r="B56" s="134" t="n"/>
      <c r="C56" s="126" t="n"/>
      <c r="D56" s="126" t="n"/>
      <c r="E56" s="126" t="n"/>
      <c r="F56" s="140">
        <f>F52+F54+F55</f>
        <v/>
      </c>
      <c r="G56" s="140">
        <f>G52+G54+G55</f>
        <v/>
      </c>
      <c r="H56" s="140">
        <f>H52+H54+H55</f>
        <v/>
      </c>
      <c r="I56" s="140">
        <f>I52+I54+I55</f>
        <v/>
      </c>
      <c r="J56" s="140">
        <f>J52+J54+J55</f>
        <v/>
      </c>
      <c r="K56" s="140">
        <f>K52+K54+K55</f>
        <v/>
      </c>
      <c r="L56" s="140">
        <f>L52+L54+L55</f>
        <v/>
      </c>
      <c r="M56" s="140">
        <f>M52+M54+M55</f>
        <v/>
      </c>
      <c r="N56" s="140">
        <f>N52+N54+N55</f>
        <v/>
      </c>
      <c r="O56" s="140">
        <f>O52+O54+O55</f>
        <v/>
      </c>
      <c r="P56" s="139" t="n"/>
      <c r="Q56" s="126" t="n"/>
      <c r="R56" s="126" t="n"/>
      <c r="S56" s="126" t="n"/>
      <c r="T56" s="126" t="n"/>
    </row>
    <row r="57" ht="12.75" customHeight="1" s="105">
      <c r="A57" s="126" t="n"/>
      <c r="B57" s="134" t="n"/>
      <c r="C57" s="126" t="n"/>
      <c r="D57" s="126" t="n"/>
      <c r="E57" s="126" t="n"/>
      <c r="F57" s="138" t="n"/>
      <c r="G57" s="138" t="n"/>
      <c r="H57" s="138" t="n"/>
      <c r="I57" s="138" t="n"/>
      <c r="J57" s="138" t="n"/>
      <c r="K57" s="131" t="n"/>
      <c r="L57" s="131" t="n"/>
      <c r="M57" s="131" t="n"/>
      <c r="N57" s="131" t="n"/>
      <c r="O57" s="131" t="n"/>
      <c r="P57" s="139" t="n"/>
      <c r="Q57" s="126" t="n"/>
      <c r="R57" s="126" t="n"/>
      <c r="S57" s="126" t="n"/>
      <c r="T57" s="126" t="n"/>
    </row>
    <row r="58" ht="12.75" customHeight="1" s="105">
      <c r="A58" s="130" t="inlineStr">
        <is>
          <t>Appropriation</t>
        </is>
      </c>
      <c r="C58" s="126" t="n"/>
      <c r="D58" s="126" t="n"/>
      <c r="E58" s="126" t="n"/>
      <c r="F58" s="143" t="n"/>
      <c r="G58" s="143" t="n"/>
      <c r="H58" s="143" t="n"/>
      <c r="I58" s="143" t="n"/>
      <c r="J58" s="143" t="n"/>
      <c r="K58" s="131" t="n"/>
      <c r="L58" s="131" t="n"/>
      <c r="M58" s="131" t="n"/>
      <c r="N58" s="131" t="n"/>
      <c r="O58" s="131" t="n"/>
      <c r="P58" s="139" t="n"/>
      <c r="Q58" s="126" t="n"/>
      <c r="R58" s="126" t="n"/>
      <c r="S58" s="126" t="n"/>
      <c r="T58" s="126" t="n"/>
    </row>
    <row r="59" ht="12.75" customHeight="1" s="105">
      <c r="A59" s="126" t="n"/>
      <c r="C59" s="126" t="inlineStr">
        <is>
          <t>Transfer to Reserve for Foreign Exchange Transaction</t>
        </is>
      </c>
      <c r="D59" s="126" t="n"/>
      <c r="E59" s="126" t="n"/>
      <c r="F59" s="138" t="n">
        <v>30.95</v>
      </c>
      <c r="G59" s="138" t="n">
        <v>138.03</v>
      </c>
      <c r="H59" s="138" t="n">
        <v>67.39</v>
      </c>
      <c r="I59" s="138" t="n">
        <v>69.88</v>
      </c>
      <c r="J59" s="138" t="n">
        <v>72.62</v>
      </c>
      <c r="K59" s="131">
        <f>J59</f>
        <v/>
      </c>
      <c r="L59" s="131">
        <f>K59</f>
        <v/>
      </c>
      <c r="M59" s="131">
        <f>L59</f>
        <v/>
      </c>
      <c r="N59" s="131">
        <f>M59</f>
        <v/>
      </c>
      <c r="O59" s="131">
        <f>N59</f>
        <v/>
      </c>
      <c r="P59" s="139" t="n"/>
      <c r="Q59" s="126" t="n"/>
      <c r="R59" s="126" t="n"/>
      <c r="S59" s="126" t="n"/>
      <c r="T59" s="126" t="n"/>
    </row>
    <row r="60" ht="12.75" customHeight="1" s="105">
      <c r="A60" s="130" t="n"/>
      <c r="C60" s="126" t="inlineStr">
        <is>
          <t>Transfer to General reserve(Incl. Bond Redemption Reserve)</t>
        </is>
      </c>
      <c r="D60" s="126" t="n"/>
      <c r="E60" s="126" t="n"/>
      <c r="F60" s="138" t="n">
        <v>7876.46</v>
      </c>
      <c r="G60" s="138" t="n">
        <v>8906.139999999999</v>
      </c>
      <c r="H60" s="138" t="n">
        <v>8897.440000000001</v>
      </c>
      <c r="I60" s="138" t="n">
        <v>9338.85</v>
      </c>
      <c r="J60" s="138" t="n">
        <v>12671.22</v>
      </c>
      <c r="K60" s="131">
        <f>J60/J56*K56</f>
        <v/>
      </c>
      <c r="L60" s="131">
        <f>K60/K56*L56</f>
        <v/>
      </c>
      <c r="M60" s="131">
        <f>L60/L56*M56</f>
        <v/>
      </c>
      <c r="N60" s="131">
        <f>M60/M56*N56</f>
        <v/>
      </c>
      <c r="O60" s="131">
        <f>N60/N56*O56</f>
        <v/>
      </c>
      <c r="P60" s="139" t="n"/>
      <c r="Q60" s="126" t="n"/>
      <c r="R60" s="126" t="n"/>
      <c r="S60" s="126" t="n"/>
      <c r="T60" s="126" t="n"/>
    </row>
    <row r="61" ht="12.75" customHeight="1" s="105">
      <c r="A61" s="126" t="n"/>
      <c r="C61" s="126" t="inlineStr">
        <is>
          <t>Transfer to CSR Reserve</t>
        </is>
      </c>
      <c r="D61" s="126" t="n"/>
      <c r="E61" s="126" t="n"/>
      <c r="F61" s="138" t="n"/>
      <c r="G61" s="138" t="n"/>
      <c r="H61" s="138" t="n"/>
      <c r="I61" s="138" t="n"/>
      <c r="J61" s="138" t="n">
        <v>1591.93</v>
      </c>
      <c r="K61" s="131" t="n">
        <v>0</v>
      </c>
      <c r="L61" s="131" t="n">
        <v>0</v>
      </c>
      <c r="M61" s="131" t="n">
        <v>0</v>
      </c>
      <c r="N61" s="131" t="n">
        <v>0</v>
      </c>
      <c r="O61" s="131" t="n">
        <v>0</v>
      </c>
      <c r="P61" s="139" t="n"/>
      <c r="Q61" s="126" t="n"/>
      <c r="R61" s="126" t="n"/>
      <c r="S61" s="126" t="n"/>
      <c r="T61" s="126" t="n"/>
    </row>
    <row r="62" ht="12.75" customHeight="1" s="105">
      <c r="A62" s="126" t="n"/>
      <c r="C62" s="126" t="inlineStr">
        <is>
          <t>Interim dividend</t>
        </is>
      </c>
      <c r="D62" s="126" t="n"/>
      <c r="E62" s="126" t="n"/>
      <c r="F62" s="138" t="n">
        <v>12632.73</v>
      </c>
      <c r="G62" s="138" t="n">
        <v>15000</v>
      </c>
      <c r="H62" s="138" t="n">
        <v>17054.2</v>
      </c>
      <c r="I62" s="138" t="n">
        <v>17054.2</v>
      </c>
      <c r="J62" s="138" t="n">
        <v>22100</v>
      </c>
      <c r="K62" s="131">
        <f>AVERAGE(J62/J52,I62/I52,H62/H52,G62/G52,F62/F52)*K52</f>
        <v/>
      </c>
      <c r="L62" s="131">
        <f>AVERAGE(K62/K52,J62/J52,I62/I52,H62/H52,G62/G52)*L52</f>
        <v/>
      </c>
      <c r="M62" s="131">
        <f>AVERAGE(L62/L52,K62/K52,J62/J52,I62/I52,H62/H52)*M52</f>
        <v/>
      </c>
      <c r="N62" s="131">
        <f>AVERAGE(M62/M52,L62/L52,K62/K52,J62/J52,I62/I52)*N52</f>
        <v/>
      </c>
      <c r="O62" s="131">
        <f>AVERAGE(N62/N52,M62/M52,L62/L52,K62/K52,J62/J52)*O52</f>
        <v/>
      </c>
      <c r="P62" s="139" t="n"/>
      <c r="Q62" s="126" t="n"/>
      <c r="R62" s="126" t="n"/>
      <c r="S62" s="126" t="n"/>
      <c r="T62" s="126" t="n"/>
    </row>
    <row r="63" ht="12.75" customHeight="1" s="105">
      <c r="C63" s="126" t="inlineStr">
        <is>
          <t>Tax on Dividend</t>
        </is>
      </c>
      <c r="F63" s="138" t="n">
        <v>4756.4</v>
      </c>
      <c r="G63" s="138" t="n">
        <v>5344.31</v>
      </c>
      <c r="H63" s="138" t="n">
        <v>8853.42</v>
      </c>
      <c r="I63" s="138" t="n">
        <v>5493.57</v>
      </c>
      <c r="J63" s="138" t="n">
        <v>7771.32</v>
      </c>
      <c r="K63" s="131">
        <f>AVERAGE(J63/J62,I63/I62,H63/H62,G63/G62,F63/F62)*K62</f>
        <v/>
      </c>
      <c r="L63" s="131">
        <f>AVERAGE(K63/K62,J63/J62,I63/I62,H63/H62,G63/G62)*L62</f>
        <v/>
      </c>
      <c r="M63" s="131">
        <f>AVERAGE(L63/L62,K63/K62,J63/J62,I63/I62,H63/H62)*M62</f>
        <v/>
      </c>
      <c r="N63" s="131">
        <f>AVERAGE(M63/M62,L63/L62,K63/K62,J63/J62,I63/I62)*N62</f>
        <v/>
      </c>
      <c r="O63" s="131">
        <f>AVERAGE(N63/N62,M63/M62,L63/L62,K63/K62,J63/J62)*O62</f>
        <v/>
      </c>
      <c r="P63" s="139" t="n"/>
      <c r="Q63" s="126" t="n"/>
      <c r="R63" s="126" t="n"/>
      <c r="S63" s="126" t="n"/>
      <c r="T63" s="126" t="n"/>
    </row>
    <row r="64" ht="12.75" customHeight="1" s="105">
      <c r="B64" s="130" t="inlineStr">
        <is>
          <t>Total Appropriations</t>
        </is>
      </c>
      <c r="F64" s="144">
        <f>SUM(F59:F63)</f>
        <v/>
      </c>
      <c r="G64" s="144">
        <f>SUM(G59:G63)</f>
        <v/>
      </c>
      <c r="H64" s="144">
        <f>SUM(H59:H63)</f>
        <v/>
      </c>
      <c r="I64" s="144">
        <f>SUM(I59:I63)</f>
        <v/>
      </c>
      <c r="J64" s="144">
        <f>SUM(J59:J63)</f>
        <v/>
      </c>
      <c r="K64" s="144">
        <f>SUM(K59:K63)</f>
        <v/>
      </c>
      <c r="L64" s="144">
        <f>SUM(L59:L63)</f>
        <v/>
      </c>
      <c r="M64" s="144">
        <f>SUM(M59:M63)</f>
        <v/>
      </c>
      <c r="N64" s="144">
        <f>SUM(N59:N63)</f>
        <v/>
      </c>
      <c r="O64" s="144">
        <f>SUM(O59:O63)</f>
        <v/>
      </c>
      <c r="P64" s="139" t="n"/>
      <c r="Q64" s="126" t="n"/>
      <c r="R64" s="126" t="n"/>
      <c r="S64" s="126" t="n"/>
      <c r="T64" s="126" t="n"/>
    </row>
    <row r="65" ht="12.75" customHeight="1" s="105">
      <c r="F65" s="141" t="n"/>
      <c r="G65" s="141" t="n"/>
      <c r="H65" s="141" t="n"/>
      <c r="I65" s="141" t="n"/>
      <c r="J65" s="141" t="n"/>
      <c r="K65" s="131" t="n"/>
      <c r="L65" s="131" t="n"/>
      <c r="M65" s="131" t="n"/>
      <c r="N65" s="131" t="n"/>
      <c r="O65" s="131" t="n"/>
      <c r="P65" s="139" t="n"/>
      <c r="Q65" s="126" t="n"/>
      <c r="R65" s="126" t="n"/>
      <c r="S65" s="126" t="n"/>
      <c r="T65" s="126" t="n"/>
    </row>
    <row r="66" ht="12.75" customHeight="1" s="105">
      <c r="A66" s="130" t="inlineStr">
        <is>
          <t>Balance Carried to Balance Sheet</t>
        </is>
      </c>
      <c r="F66" s="144">
        <f>F56-F64</f>
        <v/>
      </c>
      <c r="G66" s="144">
        <f>G56-G64</f>
        <v/>
      </c>
      <c r="H66" s="144">
        <f>H56-H64</f>
        <v/>
      </c>
      <c r="I66" s="144">
        <f>I56-I64</f>
        <v/>
      </c>
      <c r="J66" s="144">
        <f>J56-J64</f>
        <v/>
      </c>
      <c r="K66" s="144">
        <f>K56-K64</f>
        <v/>
      </c>
      <c r="L66" s="144">
        <f>L56-L64</f>
        <v/>
      </c>
      <c r="M66" s="144">
        <f>M56-M64</f>
        <v/>
      </c>
      <c r="N66" s="144">
        <f>N56-N64</f>
        <v/>
      </c>
      <c r="O66" s="144">
        <f>O56-O64</f>
        <v/>
      </c>
      <c r="P66" s="139" t="n"/>
      <c r="Q66" s="126" t="n"/>
      <c r="R66" s="126" t="n"/>
      <c r="S66" s="126" t="n"/>
      <c r="T66" s="126" t="n"/>
    </row>
    <row r="67" ht="12.75" customHeight="1" s="105">
      <c r="F67" s="148" t="n"/>
      <c r="G67" s="148" t="n"/>
      <c r="H67" s="148" t="n"/>
      <c r="I67" s="148" t="n"/>
      <c r="J67" s="148" t="n"/>
      <c r="K67" s="131" t="n"/>
      <c r="L67" s="131" t="n"/>
      <c r="M67" s="131" t="n"/>
      <c r="N67" s="131" t="n"/>
      <c r="O67" s="131" t="n"/>
      <c r="P67" s="139" t="n"/>
    </row>
    <row r="68" ht="12.75" customHeight="1" s="105">
      <c r="F68" s="141" t="n"/>
      <c r="G68" s="141" t="n"/>
      <c r="H68" s="141" t="n"/>
      <c r="I68" s="141" t="n"/>
      <c r="J68" s="141" t="n"/>
      <c r="K68" s="141" t="n"/>
      <c r="L68" s="141" t="n"/>
      <c r="M68" s="141" t="n"/>
      <c r="N68" s="141" t="n"/>
      <c r="O68" s="141" t="n"/>
    </row>
    <row r="70" ht="12.75" customHeight="1" s="105">
      <c r="G70" s="149" t="n"/>
      <c r="H70" s="149" t="n"/>
      <c r="I70" s="149" t="n"/>
      <c r="J70" s="149" t="n"/>
      <c r="K70" s="149" t="n"/>
      <c r="L70" s="149" t="n"/>
      <c r="M70" s="149" t="n"/>
      <c r="N70" s="149" t="n"/>
      <c r="O70" s="149" t="n"/>
    </row>
    <row r="71" ht="12.75" customHeight="1" s="105">
      <c r="G71" s="149" t="n"/>
      <c r="H71" s="149" t="n"/>
      <c r="I71" s="149" t="n"/>
      <c r="J71" s="149" t="n"/>
      <c r="K71" s="149" t="n"/>
      <c r="L71" s="149" t="n"/>
      <c r="M71" s="149" t="n"/>
      <c r="N71" s="149" t="n"/>
      <c r="O71" s="149" t="n"/>
    </row>
    <row r="72" ht="12.75" customHeight="1" s="105">
      <c r="G72" s="150" t="n"/>
      <c r="H72" s="150" t="n"/>
      <c r="I72" s="150" t="n"/>
      <c r="J72" s="150" t="n"/>
      <c r="K72" s="150" t="n"/>
      <c r="L72" s="150" t="n"/>
      <c r="M72" s="150" t="n"/>
      <c r="N72" s="150" t="n"/>
      <c r="O72" s="150" t="n"/>
    </row>
    <row r="73" ht="12.75" customHeight="1" s="105">
      <c r="G73" s="149" t="n"/>
      <c r="H73" s="149" t="n"/>
      <c r="I73" s="149" t="n"/>
      <c r="J73" s="149" t="n"/>
      <c r="K73" s="149" t="n"/>
      <c r="L73" s="149" t="n"/>
      <c r="M73" s="149" t="n"/>
      <c r="N73" s="149" t="n"/>
      <c r="O73" s="149"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O59"/>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K31" activeCellId="0" sqref="K31"/>
    </sheetView>
  </sheetViews>
  <sheetFormatPr baseColWidth="8" defaultColWidth="9.13671875" defaultRowHeight="12.75" zeroHeight="0" outlineLevelRow="0"/>
  <cols>
    <col width="3.7" customWidth="1" style="126" min="1" max="2"/>
    <col width="45.65" customWidth="1" style="126" min="3" max="3"/>
    <col width="6.69" customWidth="1" style="126" min="4" max="5"/>
    <col width="11.69" customWidth="1" style="134" min="6" max="10"/>
    <col width="11.69" customWidth="1" style="126" min="11" max="26"/>
    <col width="9.130000000000001" customWidth="1" style="126" min="27" max="257"/>
  </cols>
  <sheetData>
    <row r="1" ht="12.75" customHeight="1" s="105">
      <c r="A1" s="130" t="inlineStr">
        <is>
          <t>Balance Sheet</t>
        </is>
      </c>
    </row>
    <row r="2" ht="12.75" customHeight="1" s="105">
      <c r="F2" s="149" t="n"/>
      <c r="G2" s="149" t="n"/>
      <c r="H2" s="149" t="n"/>
      <c r="I2" s="149" t="n"/>
      <c r="J2" s="149" t="n"/>
    </row>
    <row r="3" ht="12.75" customHeight="1" s="105">
      <c r="A3" s="134" t="n"/>
    </row>
    <row r="4" ht="12.75" customHeight="1" s="105">
      <c r="A4" s="151" t="inlineStr">
        <is>
          <t>(Unless otherwise specified, all financials are in INR Million)</t>
        </is>
      </c>
      <c r="F4" s="135">
        <f>'P&amp;L'!F4</f>
        <v/>
      </c>
      <c r="G4" s="135">
        <f>'P&amp;L'!G4</f>
        <v/>
      </c>
      <c r="H4" s="135">
        <f>'P&amp;L'!H4</f>
        <v/>
      </c>
      <c r="I4" s="135">
        <f>'P&amp;L'!I4</f>
        <v/>
      </c>
      <c r="J4" s="135">
        <f>'P&amp;L'!J4</f>
        <v/>
      </c>
      <c r="K4" s="135">
        <f>'P&amp;L'!K4</f>
        <v/>
      </c>
      <c r="L4" s="135">
        <f>'P&amp;L'!L4</f>
        <v/>
      </c>
      <c r="M4" s="135">
        <f>'P&amp;L'!M4</f>
        <v/>
      </c>
      <c r="N4" s="135">
        <f>'P&amp;L'!N4</f>
        <v/>
      </c>
      <c r="O4" s="135">
        <f>'P&amp;L'!O4</f>
        <v/>
      </c>
    </row>
    <row r="5" ht="12.75" customHeight="1" s="105">
      <c r="A5" s="128" t="n"/>
      <c r="G5" s="149" t="n"/>
      <c r="H5" s="149" t="n"/>
      <c r="I5" s="149" t="n"/>
      <c r="J5" s="149" t="n"/>
    </row>
    <row r="6" ht="12.75" customHeight="1" s="105">
      <c r="A6" s="130" t="inlineStr">
        <is>
          <t>Fixed Assets</t>
        </is>
      </c>
      <c r="B6" s="126" t="n"/>
      <c r="C6" s="126" t="n"/>
      <c r="D6" s="126" t="n"/>
      <c r="E6" s="126" t="n"/>
      <c r="F6" s="134" t="n"/>
      <c r="G6" s="134" t="n"/>
      <c r="H6" s="134" t="n"/>
      <c r="I6" s="134" t="n"/>
      <c r="J6" s="134" t="n"/>
    </row>
    <row r="7" ht="12.75" customHeight="1" s="105">
      <c r="A7" s="126" t="n"/>
      <c r="B7" s="126" t="inlineStr">
        <is>
          <t>Gross Block</t>
        </is>
      </c>
      <c r="D7" s="126" t="n"/>
      <c r="E7" s="126" t="n"/>
      <c r="F7" s="131">
        <f>'Asset Schedule'!F8</f>
        <v/>
      </c>
      <c r="G7" s="131">
        <f>'Asset Schedule'!G8</f>
        <v/>
      </c>
      <c r="H7" s="131">
        <f>'Asset Schedule'!H8</f>
        <v/>
      </c>
      <c r="I7" s="131">
        <f>'Asset Schedule'!I8</f>
        <v/>
      </c>
      <c r="J7" s="131">
        <f>'Asset Schedule'!J8</f>
        <v/>
      </c>
      <c r="K7" s="131">
        <f>'Asset Schedule'!K8</f>
        <v/>
      </c>
      <c r="L7" s="131">
        <f>'Asset Schedule'!L8</f>
        <v/>
      </c>
      <c r="M7" s="131">
        <f>'Asset Schedule'!M8</f>
        <v/>
      </c>
      <c r="N7" s="131">
        <f>'Asset Schedule'!N8</f>
        <v/>
      </c>
      <c r="O7" s="131">
        <f>'Asset Schedule'!O8</f>
        <v/>
      </c>
    </row>
    <row r="8" ht="12.75" customHeight="1" s="105">
      <c r="A8" s="126" t="n"/>
      <c r="B8" s="126" t="inlineStr">
        <is>
          <t>Less: Accumulated depreciation</t>
        </is>
      </c>
      <c r="D8" s="126" t="n"/>
      <c r="E8" s="126" t="n"/>
      <c r="F8" s="131">
        <f>'Asset Schedule'!F13</f>
        <v/>
      </c>
      <c r="G8" s="131">
        <f>'Asset Schedule'!G13</f>
        <v/>
      </c>
      <c r="H8" s="131">
        <f>'Asset Schedule'!H13</f>
        <v/>
      </c>
      <c r="I8" s="131">
        <f>'Asset Schedule'!I13</f>
        <v/>
      </c>
      <c r="J8" s="131">
        <f>'Asset Schedule'!J13</f>
        <v/>
      </c>
      <c r="K8" s="131">
        <f>'Asset Schedule'!K13</f>
        <v/>
      </c>
      <c r="L8" s="131">
        <f>'Asset Schedule'!L13</f>
        <v/>
      </c>
      <c r="M8" s="131">
        <f>'Asset Schedule'!M13</f>
        <v/>
      </c>
      <c r="N8" s="131">
        <f>'Asset Schedule'!N13</f>
        <v/>
      </c>
      <c r="O8" s="131">
        <f>'Asset Schedule'!O13</f>
        <v/>
      </c>
    </row>
    <row r="9" ht="12.75" customHeight="1" s="105">
      <c r="A9" s="126" t="n"/>
      <c r="B9" s="126" t="inlineStr">
        <is>
          <t>Less: Provision for Impairment</t>
        </is>
      </c>
      <c r="D9" s="126" t="n"/>
      <c r="E9" s="126" t="n"/>
      <c r="F9" s="131">
        <f>'Asset Schedule'!F14</f>
        <v/>
      </c>
      <c r="G9" s="131">
        <f>'Asset Schedule'!G14</f>
        <v/>
      </c>
      <c r="H9" s="131">
        <f>'Asset Schedule'!H14</f>
        <v/>
      </c>
      <c r="I9" s="131">
        <f>'Asset Schedule'!I14</f>
        <v/>
      </c>
      <c r="J9" s="131">
        <f>'Asset Schedule'!J14</f>
        <v/>
      </c>
      <c r="K9" s="131">
        <f>'Asset Schedule'!K14</f>
        <v/>
      </c>
      <c r="L9" s="131">
        <f>'Asset Schedule'!L14</f>
        <v/>
      </c>
      <c r="M9" s="131">
        <f>'Asset Schedule'!M14</f>
        <v/>
      </c>
      <c r="N9" s="131">
        <f>'Asset Schedule'!N14</f>
        <v/>
      </c>
      <c r="O9" s="131">
        <f>'Asset Schedule'!O14</f>
        <v/>
      </c>
    </row>
    <row r="10" ht="12.75" customHeight="1" s="105">
      <c r="A10" s="130" t="n"/>
      <c r="B10" s="126" t="inlineStr">
        <is>
          <t>Less: Other provisions</t>
        </is>
      </c>
      <c r="D10" s="126" t="n"/>
      <c r="E10" s="126" t="n"/>
      <c r="F10" s="131">
        <f>'Asset Schedule'!F15</f>
        <v/>
      </c>
      <c r="G10" s="131">
        <f>'Asset Schedule'!G15</f>
        <v/>
      </c>
      <c r="H10" s="131">
        <f>'Asset Schedule'!H15</f>
        <v/>
      </c>
      <c r="I10" s="131">
        <f>'Asset Schedule'!I15</f>
        <v/>
      </c>
      <c r="J10" s="131">
        <f>'Asset Schedule'!J15</f>
        <v/>
      </c>
      <c r="K10" s="131">
        <f>'Asset Schedule'!K15</f>
        <v/>
      </c>
      <c r="L10" s="131">
        <f>'Asset Schedule'!L15</f>
        <v/>
      </c>
      <c r="M10" s="131">
        <f>'Asset Schedule'!M15</f>
        <v/>
      </c>
      <c r="N10" s="131">
        <f>'Asset Schedule'!N15</f>
        <v/>
      </c>
      <c r="O10" s="131">
        <f>'Asset Schedule'!O15</f>
        <v/>
      </c>
    </row>
    <row r="11" ht="12.75" customHeight="1" s="105">
      <c r="A11" s="126" t="n"/>
      <c r="B11" s="130" t="inlineStr">
        <is>
          <t>Net Block</t>
        </is>
      </c>
      <c r="D11" s="126" t="n"/>
      <c r="E11" s="126" t="n"/>
      <c r="F11" s="140">
        <f>F7-F8-F9-F10</f>
        <v/>
      </c>
      <c r="G11" s="140">
        <f>G7-G8-G9-G10</f>
        <v/>
      </c>
      <c r="H11" s="140">
        <f>H7-H8-H9-H10</f>
        <v/>
      </c>
      <c r="I11" s="140">
        <f>I7-I8-I9-I10</f>
        <v/>
      </c>
      <c r="J11" s="140">
        <f>J7-J8-J9-J10</f>
        <v/>
      </c>
      <c r="K11" s="140">
        <f>K7-K8-K9-K10</f>
        <v/>
      </c>
      <c r="L11" s="140">
        <f>L7-L8-L9-L10</f>
        <v/>
      </c>
      <c r="M11" s="140">
        <f>M7-M8-M9-M10</f>
        <v/>
      </c>
      <c r="N11" s="140">
        <f>N7-N8-N9-N10</f>
        <v/>
      </c>
      <c r="O11" s="140">
        <f>O7-O8-O9-O10</f>
        <v/>
      </c>
    </row>
    <row r="12" ht="12.75" customHeight="1" s="105">
      <c r="A12" s="126" t="n"/>
      <c r="C12" s="126" t="inlineStr">
        <is>
          <t>Add: Capital Work in Progress</t>
        </is>
      </c>
      <c r="D12" s="126" t="n"/>
      <c r="E12" s="126" t="n"/>
      <c r="F12" s="138" t="n">
        <v>10988.28</v>
      </c>
      <c r="G12" s="138" t="n">
        <v>12377.38</v>
      </c>
      <c r="H12" s="138" t="n">
        <v>15391.96</v>
      </c>
      <c r="I12" s="138" t="n">
        <v>18222.99</v>
      </c>
      <c r="J12" s="138" t="n">
        <v>20908.79</v>
      </c>
      <c r="K12" s="131">
        <f>Assumptions!K51*'P&amp;L'!K7</f>
        <v/>
      </c>
      <c r="L12" s="131">
        <f>Assumptions!L51*'P&amp;L'!L7</f>
        <v/>
      </c>
      <c r="M12" s="131">
        <f>Assumptions!M51*'P&amp;L'!M7</f>
        <v/>
      </c>
      <c r="N12" s="131">
        <f>Assumptions!N51*'P&amp;L'!N7</f>
        <v/>
      </c>
      <c r="O12" s="131">
        <f>Assumptions!O51*'P&amp;L'!O7</f>
        <v/>
      </c>
    </row>
    <row r="13" ht="12.75" customHeight="1" s="105">
      <c r="A13" s="126" t="n"/>
      <c r="C13" s="126" t="inlineStr">
        <is>
          <t>Add: Surveyed off Assets</t>
        </is>
      </c>
      <c r="D13" s="126" t="n"/>
      <c r="E13" s="126" t="n"/>
      <c r="F13" s="138" t="n">
        <v>228.11</v>
      </c>
      <c r="G13" s="138" t="n">
        <v>240.51</v>
      </c>
      <c r="H13" s="138" t="n">
        <v>291.36</v>
      </c>
      <c r="I13" s="138" t="n">
        <v>971.92</v>
      </c>
      <c r="J13" s="138" t="n">
        <v>1197.9</v>
      </c>
      <c r="K13" s="131">
        <f>Assumptions!K54*K11</f>
        <v/>
      </c>
      <c r="L13" s="131">
        <f>Assumptions!L54*L11</f>
        <v/>
      </c>
      <c r="M13" s="131">
        <f>Assumptions!M54*M11</f>
        <v/>
      </c>
      <c r="N13" s="131">
        <f>Assumptions!N54*N11</f>
        <v/>
      </c>
      <c r="O13" s="131">
        <f>Assumptions!O54*O11</f>
        <v/>
      </c>
    </row>
    <row r="14" ht="12.75" customHeight="1" s="105">
      <c r="B14" s="130" t="inlineStr">
        <is>
          <t>Total Fixed Assets</t>
        </is>
      </c>
      <c r="C14" s="126" t="n"/>
      <c r="D14" s="126" t="n"/>
      <c r="E14" s="126" t="n"/>
      <c r="F14" s="140">
        <f>F11+F12+F13</f>
        <v/>
      </c>
      <c r="G14" s="140">
        <f>G11+G12+G13</f>
        <v/>
      </c>
      <c r="H14" s="140">
        <f>H11+H12+H13</f>
        <v/>
      </c>
      <c r="I14" s="140">
        <f>I11+I12+I13</f>
        <v/>
      </c>
      <c r="J14" s="140">
        <f>J11+J12+J13</f>
        <v/>
      </c>
      <c r="K14" s="140">
        <f>K11+K12+K13</f>
        <v/>
      </c>
      <c r="L14" s="140">
        <f>L11+L12+L13</f>
        <v/>
      </c>
      <c r="M14" s="140">
        <f>M11+M12+M13</f>
        <v/>
      </c>
      <c r="N14" s="140">
        <f>N11+N12+N13</f>
        <v/>
      </c>
      <c r="O14" s="140">
        <f>O11+O12+O13</f>
        <v/>
      </c>
    </row>
    <row r="15" ht="12.75" customHeight="1" s="105">
      <c r="B15" s="130" t="n"/>
      <c r="C15" s="126" t="n"/>
      <c r="D15" s="126" t="n"/>
      <c r="E15" s="126" t="n"/>
      <c r="F15" s="140" t="n"/>
      <c r="G15" s="140" t="n"/>
      <c r="H15" s="140" t="n"/>
      <c r="I15" s="140" t="n"/>
      <c r="J15" s="140" t="n"/>
      <c r="K15" s="131" t="n"/>
      <c r="L15" s="131" t="n"/>
      <c r="M15" s="131" t="n"/>
      <c r="N15" s="131" t="n"/>
      <c r="O15" s="131" t="n"/>
    </row>
    <row r="16" ht="12.75" customHeight="1" s="105">
      <c r="A16" s="126" t="n"/>
      <c r="B16" s="126" t="inlineStr">
        <is>
          <t>Investments</t>
        </is>
      </c>
      <c r="C16" s="126" t="n"/>
      <c r="D16" s="126" t="n"/>
      <c r="E16" s="126" t="n"/>
      <c r="F16" s="138" t="n">
        <v>22445.2</v>
      </c>
      <c r="G16" s="138" t="n">
        <v>20258.77</v>
      </c>
      <c r="H16" s="138" t="n">
        <v>17179.01</v>
      </c>
      <c r="I16" s="138" t="n">
        <v>15051.79</v>
      </c>
      <c r="J16" s="138" t="n">
        <v>12821.4</v>
      </c>
      <c r="K16" s="131">
        <f>J16</f>
        <v/>
      </c>
      <c r="L16" s="131">
        <f>K16</f>
        <v/>
      </c>
      <c r="M16" s="131">
        <f>L16</f>
        <v/>
      </c>
      <c r="N16" s="131">
        <f>M16</f>
        <v/>
      </c>
      <c r="O16" s="131">
        <f>N16</f>
        <v/>
      </c>
    </row>
    <row r="17" ht="12.75" customHeight="1" s="105">
      <c r="A17" s="126" t="n"/>
      <c r="B17" s="126" t="inlineStr">
        <is>
          <t>Net Interest in Joint Venture</t>
        </is>
      </c>
      <c r="C17" s="126" t="n"/>
      <c r="D17" s="126" t="n"/>
      <c r="E17" s="126" t="n"/>
      <c r="F17" s="138" t="n"/>
      <c r="G17" s="138" t="n"/>
      <c r="H17" s="138" t="n"/>
      <c r="I17" s="138" t="n"/>
      <c r="J17" s="138" t="n">
        <v>2</v>
      </c>
      <c r="K17" s="131" t="n">
        <v>0</v>
      </c>
      <c r="L17" s="131" t="n">
        <v>0</v>
      </c>
      <c r="M17" s="131" t="n">
        <v>0</v>
      </c>
      <c r="N17" s="131" t="n">
        <v>0</v>
      </c>
      <c r="O17" s="131" t="n">
        <v>0</v>
      </c>
    </row>
    <row r="18" ht="12.75" customHeight="1" s="105">
      <c r="A18" s="126" t="n"/>
      <c r="B18" s="126" t="inlineStr">
        <is>
          <t>Deffered tax Assets</t>
        </is>
      </c>
      <c r="C18" s="126" t="n"/>
      <c r="D18" s="126" t="n"/>
      <c r="E18" s="126" t="n"/>
      <c r="F18" s="138" t="n">
        <v>7280.76</v>
      </c>
      <c r="G18" s="138" t="n">
        <v>6602.16</v>
      </c>
      <c r="H18" s="138" t="n">
        <v>7877.52</v>
      </c>
      <c r="I18" s="138" t="n">
        <v>9548.290000000001</v>
      </c>
      <c r="J18" s="138" t="n">
        <v>9657.549999999999</v>
      </c>
      <c r="K18" s="131">
        <f>J18</f>
        <v/>
      </c>
      <c r="L18" s="131">
        <f>K18</f>
        <v/>
      </c>
      <c r="M18" s="131">
        <f>L18</f>
        <v/>
      </c>
      <c r="N18" s="131">
        <f>M18</f>
        <v/>
      </c>
      <c r="O18" s="131">
        <f>N18</f>
        <v/>
      </c>
    </row>
    <row r="19" ht="12.75" customHeight="1" s="105">
      <c r="A19" s="130" t="inlineStr">
        <is>
          <t>Current Assets, loans &amp; Advances</t>
        </is>
      </c>
      <c r="B19" s="126" t="n"/>
      <c r="C19" s="126" t="n"/>
      <c r="D19" s="126" t="n"/>
      <c r="E19" s="126" t="n"/>
      <c r="F19" s="143" t="n"/>
      <c r="G19" s="143" t="n"/>
      <c r="H19" s="143" t="n"/>
      <c r="I19" s="143" t="n"/>
      <c r="J19" s="143" t="n"/>
      <c r="K19" s="131" t="n"/>
      <c r="L19" s="131" t="n"/>
      <c r="M19" s="131" t="n"/>
      <c r="N19" s="131" t="n"/>
      <c r="O19" s="131" t="n"/>
    </row>
    <row r="20" ht="12.75" customHeight="1" s="105">
      <c r="A20" s="126" t="n"/>
      <c r="B20" s="126" t="inlineStr">
        <is>
          <t>Inventories</t>
        </is>
      </c>
      <c r="C20" s="126" t="n"/>
      <c r="D20" s="126" t="n"/>
      <c r="E20" s="126" t="n"/>
      <c r="F20" s="138" t="n">
        <v>29134.45</v>
      </c>
      <c r="G20" s="138" t="n">
        <v>31250.08</v>
      </c>
      <c r="H20" s="138" t="n">
        <v>34073.57</v>
      </c>
      <c r="I20" s="138" t="n">
        <v>36668.67</v>
      </c>
      <c r="J20" s="138" t="n">
        <v>44017.72</v>
      </c>
      <c r="K20" s="131">
        <f>2*Assumptions!K60*('P&amp;L'!K14+'P&amp;L'!K15)/365-BS!J20</f>
        <v/>
      </c>
      <c r="L20" s="131">
        <f>2*Assumptions!L60*('P&amp;L'!L14+'P&amp;L'!L15)/365-BS!K20</f>
        <v/>
      </c>
      <c r="M20" s="131">
        <f>2*Assumptions!M60*('P&amp;L'!M14+'P&amp;L'!M15)/365-BS!L20</f>
        <v/>
      </c>
      <c r="N20" s="131">
        <f>2*Assumptions!N60*('P&amp;L'!N14+'P&amp;L'!N15)/365-BS!M20</f>
        <v/>
      </c>
      <c r="O20" s="131">
        <f>2*Assumptions!O60*('P&amp;L'!O14+'P&amp;L'!O15)/365-BS!N20</f>
        <v/>
      </c>
    </row>
    <row r="21" ht="12.75" customHeight="1" s="105">
      <c r="A21" s="126" t="n"/>
      <c r="B21" s="126" t="inlineStr">
        <is>
          <t>Sundry Debtors</t>
        </is>
      </c>
      <c r="C21" s="126" t="n"/>
      <c r="D21" s="126" t="n"/>
      <c r="E21" s="126" t="n"/>
      <c r="F21" s="138" t="n">
        <v>18840.52</v>
      </c>
      <c r="G21" s="138" t="n">
        <v>16822.29</v>
      </c>
      <c r="H21" s="138" t="n">
        <v>16571.58</v>
      </c>
      <c r="I21" s="138" t="n">
        <v>18474.84</v>
      </c>
      <c r="J21" s="138" t="n">
        <v>21686.48</v>
      </c>
      <c r="K21" s="131">
        <f>Assumptions!K57*K7</f>
        <v/>
      </c>
      <c r="L21" s="131">
        <f>Assumptions!L57*L7</f>
        <v/>
      </c>
      <c r="M21" s="131">
        <f>Assumptions!M57*M7</f>
        <v/>
      </c>
      <c r="N21" s="131">
        <f>Assumptions!N57*N7</f>
        <v/>
      </c>
      <c r="O21" s="131">
        <f>Assumptions!O57*O7</f>
        <v/>
      </c>
    </row>
    <row r="22" ht="12.75" customFormat="1" customHeight="1" s="126">
      <c r="A22" s="126" t="n"/>
      <c r="B22" s="126" t="inlineStr">
        <is>
          <t>Cash &amp; Bank Balances</t>
        </is>
      </c>
      <c r="C22" s="126" t="n"/>
      <c r="D22" s="126" t="n"/>
      <c r="E22" s="126" t="n"/>
      <c r="F22" s="138" t="n">
        <v>134272.37</v>
      </c>
      <c r="G22" s="138" t="n">
        <v>159292.66</v>
      </c>
      <c r="H22" s="138" t="n">
        <v>209614.8</v>
      </c>
      <c r="I22" s="138" t="n">
        <v>296950.09</v>
      </c>
      <c r="J22" s="138" t="n">
        <v>390777.6</v>
      </c>
      <c r="K22" s="131">
        <f>CF!K39+J22</f>
        <v/>
      </c>
      <c r="L22" s="131">
        <f>CF!L39+K22</f>
        <v/>
      </c>
      <c r="M22" s="131">
        <f>CF!M39+L22</f>
        <v/>
      </c>
      <c r="N22" s="131">
        <f>CF!N39+M22</f>
        <v/>
      </c>
      <c r="O22" s="131">
        <f>CF!O39+N22</f>
        <v/>
      </c>
    </row>
    <row r="23" ht="12.75" customHeight="1" s="105">
      <c r="A23" s="126" t="n"/>
      <c r="B23" s="126" t="inlineStr">
        <is>
          <t>loans &amp; Advances</t>
        </is>
      </c>
      <c r="C23" s="126" t="n"/>
      <c r="D23" s="126" t="n"/>
      <c r="E23" s="126" t="n"/>
      <c r="F23" s="138" t="n">
        <v>65004.26</v>
      </c>
      <c r="G23" s="138" t="n">
        <v>78184.36</v>
      </c>
      <c r="H23" s="138" t="n">
        <v>102662.87</v>
      </c>
      <c r="I23" s="138" t="n">
        <v>117270.5</v>
      </c>
      <c r="J23" s="138" t="n">
        <v>86762.02</v>
      </c>
      <c r="K23" s="131">
        <f>J23*(1+Assumptions!K63)</f>
        <v/>
      </c>
      <c r="L23" s="131">
        <f>K23*(1+Assumptions!L63)</f>
        <v/>
      </c>
      <c r="M23" s="131">
        <f>L23*(1+Assumptions!M63)</f>
        <v/>
      </c>
      <c r="N23" s="131">
        <f>M23*(1+Assumptions!N63)</f>
        <v/>
      </c>
      <c r="O23" s="131">
        <f>N23*(1+Assumptions!O63)</f>
        <v/>
      </c>
    </row>
    <row r="24" ht="12.75" customHeight="1" s="105">
      <c r="B24" s="130" t="inlineStr">
        <is>
          <t>Total Current Assets</t>
        </is>
      </c>
      <c r="C24" s="126" t="n"/>
      <c r="D24" s="126" t="n"/>
      <c r="E24" s="126" t="n"/>
      <c r="F24" s="140">
        <f>SUM(F20:F23)</f>
        <v/>
      </c>
      <c r="G24" s="140">
        <f>SUM(G20:G23)</f>
        <v/>
      </c>
      <c r="H24" s="140">
        <f>SUM(H20:H23)</f>
        <v/>
      </c>
      <c r="I24" s="140">
        <f>SUM(I20:I23)</f>
        <v/>
      </c>
      <c r="J24" s="140">
        <f>SUM(J20:J23)</f>
        <v/>
      </c>
      <c r="K24" s="140">
        <f>SUM(K20:K23)</f>
        <v/>
      </c>
      <c r="L24" s="140">
        <f>SUM(L20:L23)</f>
        <v/>
      </c>
      <c r="M24" s="140">
        <f>SUM(M20:M23)</f>
        <v/>
      </c>
      <c r="N24" s="140">
        <f>SUM(N20:N23)</f>
        <v/>
      </c>
      <c r="O24" s="140">
        <f>SUM(O20:O23)</f>
        <v/>
      </c>
    </row>
    <row r="25" ht="12.75" customHeight="1" s="105">
      <c r="A25" s="126" t="n"/>
      <c r="B25" s="126" t="n"/>
      <c r="C25" s="126" t="n"/>
      <c r="D25" s="126" t="n"/>
      <c r="E25" s="126" t="n"/>
      <c r="F25" s="152" t="n"/>
      <c r="G25" s="152" t="n"/>
      <c r="H25" s="152" t="n"/>
      <c r="I25" s="152" t="n"/>
      <c r="J25" s="152" t="n"/>
      <c r="K25" s="131" t="n"/>
      <c r="L25" s="131" t="n"/>
      <c r="M25" s="131" t="n"/>
      <c r="N25" s="131" t="n"/>
      <c r="O25" s="131" t="n"/>
    </row>
    <row r="26" ht="12.75" customHeight="1" s="105">
      <c r="A26" s="130" t="inlineStr">
        <is>
          <t>Total Assets</t>
        </is>
      </c>
      <c r="B26" s="126" t="n"/>
      <c r="C26" s="126" t="n"/>
      <c r="D26" s="126" t="n"/>
      <c r="E26" s="126" t="n"/>
      <c r="F26" s="140">
        <f>F14+F16+F17+F18+F24</f>
        <v/>
      </c>
      <c r="G26" s="140">
        <f>G14+G16+G17+G18+G24</f>
        <v/>
      </c>
      <c r="H26" s="140">
        <f>H14+H16+H17+H18+H24</f>
        <v/>
      </c>
      <c r="I26" s="140">
        <f>I14+I16+I17+I18+I24</f>
        <v/>
      </c>
      <c r="J26" s="140">
        <f>J14+J16+J17+J18+J24</f>
        <v/>
      </c>
      <c r="K26" s="140">
        <f>K14+K16+K17+K18+K24</f>
        <v/>
      </c>
      <c r="L26" s="140">
        <f>L14+L16+L17+L18+L24</f>
        <v/>
      </c>
      <c r="M26" s="140">
        <f>M14+M16+M17+M18+M24</f>
        <v/>
      </c>
      <c r="N26" s="140">
        <f>N14+N16+N17+N18+N24</f>
        <v/>
      </c>
      <c r="O26" s="140">
        <f>O14+O16+O17+O18+O24</f>
        <v/>
      </c>
    </row>
    <row r="27" ht="12.75" customHeight="1" s="105">
      <c r="A27" s="126" t="n"/>
      <c r="B27" s="126" t="n"/>
      <c r="C27" s="126" t="n"/>
      <c r="D27" s="126" t="n"/>
      <c r="E27" s="126" t="n"/>
      <c r="F27" s="152" t="n"/>
      <c r="G27" s="152" t="n"/>
      <c r="H27" s="152" t="n"/>
      <c r="I27" s="152" t="n"/>
      <c r="J27" s="152" t="n"/>
      <c r="K27" s="131" t="n"/>
      <c r="L27" s="131" t="n"/>
      <c r="M27" s="131" t="n"/>
      <c r="N27" s="131" t="n"/>
      <c r="O27" s="131" t="n"/>
    </row>
    <row r="28" ht="12.75" customHeight="1" s="105">
      <c r="A28" s="130" t="inlineStr">
        <is>
          <t>Liabilities &amp; Provisions</t>
        </is>
      </c>
      <c r="B28" s="126" t="n"/>
      <c r="C28" s="126" t="n"/>
      <c r="D28" s="126" t="n"/>
      <c r="E28" s="126" t="n"/>
      <c r="F28" s="153" t="n"/>
      <c r="G28" s="153" t="n"/>
      <c r="H28" s="153" t="n"/>
      <c r="I28" s="153" t="n"/>
      <c r="J28" s="153" t="n"/>
      <c r="K28" s="131" t="n"/>
      <c r="L28" s="131" t="n"/>
      <c r="M28" s="131" t="n"/>
      <c r="N28" s="131" t="n"/>
      <c r="O28" s="131" t="n"/>
    </row>
    <row r="29" ht="12.75" customHeight="1" s="105">
      <c r="A29" s="126" t="n"/>
      <c r="B29" s="126" t="inlineStr">
        <is>
          <t>Secured Loans</t>
        </is>
      </c>
      <c r="C29" s="126" t="n"/>
      <c r="D29" s="126" t="n"/>
      <c r="E29" s="126" t="n"/>
      <c r="F29" s="131">
        <f>'Debt Schedule'!F16</f>
        <v/>
      </c>
      <c r="G29" s="131">
        <f>'Debt Schedule'!G16</f>
        <v/>
      </c>
      <c r="H29" s="131">
        <f>'Debt Schedule'!H16</f>
        <v/>
      </c>
      <c r="I29" s="131">
        <f>'Debt Schedule'!I16</f>
        <v/>
      </c>
      <c r="J29" s="131">
        <f>'Debt Schedule'!J16</f>
        <v/>
      </c>
      <c r="K29" s="131">
        <f>'Debt Schedule'!K16</f>
        <v/>
      </c>
      <c r="L29" s="131">
        <f>'Debt Schedule'!L16</f>
        <v/>
      </c>
      <c r="M29" s="131">
        <f>'Debt Schedule'!M16</f>
        <v/>
      </c>
      <c r="N29" s="131">
        <f>'Debt Schedule'!N16</f>
        <v/>
      </c>
      <c r="O29" s="131">
        <f>'Debt Schedule'!O16</f>
        <v/>
      </c>
    </row>
    <row r="30" ht="12.75" customHeight="1" s="105">
      <c r="A30" s="126" t="n"/>
      <c r="B30" s="126" t="inlineStr">
        <is>
          <t>Unsecured loans</t>
        </is>
      </c>
      <c r="C30" s="126" t="n"/>
      <c r="D30" s="126" t="n"/>
      <c r="E30" s="126" t="n"/>
      <c r="F30" s="131">
        <f>'Debt Schedule'!F10</f>
        <v/>
      </c>
      <c r="G30" s="131">
        <f>'Debt Schedule'!G10</f>
        <v/>
      </c>
      <c r="H30" s="131">
        <f>'Debt Schedule'!H10</f>
        <v/>
      </c>
      <c r="I30" s="131">
        <f>'Debt Schedule'!I10</f>
        <v/>
      </c>
      <c r="J30" s="131">
        <f>'Debt Schedule'!J10</f>
        <v/>
      </c>
      <c r="K30" s="131">
        <f>'Debt Schedule'!K10</f>
        <v/>
      </c>
      <c r="L30" s="131">
        <f>'Debt Schedule'!L10</f>
        <v/>
      </c>
      <c r="M30" s="131">
        <f>'Debt Schedule'!M10</f>
        <v/>
      </c>
      <c r="N30" s="131">
        <f>'Debt Schedule'!N10</f>
        <v/>
      </c>
      <c r="O30" s="131">
        <f>'Debt Schedule'!O10</f>
        <v/>
      </c>
    </row>
    <row r="31" ht="12.75" customHeight="1" s="105">
      <c r="A31" s="126" t="n"/>
      <c r="B31" s="126" t="inlineStr">
        <is>
          <t>Current liabilities &amp; Provisions</t>
        </is>
      </c>
      <c r="C31" s="126" t="n"/>
      <c r="D31" s="126" t="n"/>
      <c r="E31" s="126" t="n"/>
      <c r="F31" s="138" t="n">
        <v>216437.77</v>
      </c>
      <c r="G31" s="138" t="n">
        <v>236171.42</v>
      </c>
      <c r="H31" s="138" t="n">
        <v>305944.58</v>
      </c>
      <c r="I31" s="138" t="n">
        <v>399423.27</v>
      </c>
      <c r="J31" s="138" t="n">
        <v>413824.78</v>
      </c>
      <c r="K31" s="131">
        <f>Assumptions!K66*K7</f>
        <v/>
      </c>
      <c r="L31" s="131">
        <f>Assumptions!L66*L7</f>
        <v/>
      </c>
      <c r="M31" s="131">
        <f>Assumptions!M66*M7</f>
        <v/>
      </c>
      <c r="N31" s="131">
        <f>Assumptions!N66*N7</f>
        <v/>
      </c>
      <c r="O31" s="131">
        <f>Assumptions!O66*O7</f>
        <v/>
      </c>
    </row>
    <row r="32" ht="12.75" customHeight="1" s="105">
      <c r="A32" s="126" t="n"/>
      <c r="B32" s="126" t="inlineStr">
        <is>
          <t>Minority Interest</t>
        </is>
      </c>
      <c r="C32" s="126" t="n"/>
      <c r="D32" s="126" t="n"/>
      <c r="E32" s="126" t="n"/>
      <c r="F32" s="138" t="n"/>
      <c r="G32" s="138" t="n"/>
      <c r="H32" s="138" t="n"/>
      <c r="I32" s="138" t="n">
        <v>18.97</v>
      </c>
      <c r="J32" s="138" t="n">
        <v>236.07</v>
      </c>
      <c r="K32" s="131">
        <f>J32</f>
        <v/>
      </c>
      <c r="L32" s="131">
        <f>K32</f>
        <v/>
      </c>
      <c r="M32" s="131">
        <f>L32</f>
        <v/>
      </c>
      <c r="N32" s="131">
        <f>M32</f>
        <v/>
      </c>
      <c r="O32" s="131">
        <f>N32</f>
        <v/>
      </c>
    </row>
    <row r="33" ht="12.75" customHeight="1" s="105">
      <c r="A33" s="126" t="n"/>
      <c r="B33" s="126" t="inlineStr">
        <is>
          <t>Shifting &amp; Rehabilitation Fund</t>
        </is>
      </c>
      <c r="C33" s="126" t="n"/>
      <c r="D33" s="126" t="n"/>
      <c r="E33" s="126" t="n"/>
      <c r="F33" s="138" t="n">
        <v>4859.46</v>
      </c>
      <c r="G33" s="138" t="n">
        <v>6880.78</v>
      </c>
      <c r="H33" s="138" t="n">
        <v>9458.780000000001</v>
      </c>
      <c r="I33" s="138" t="n">
        <v>12238.43</v>
      </c>
      <c r="J33" s="138" t="n">
        <v>14774.27</v>
      </c>
      <c r="K33" s="131">
        <f>Assumptions!K69*K7</f>
        <v/>
      </c>
      <c r="L33" s="131">
        <f>Assumptions!L69*L7</f>
        <v/>
      </c>
      <c r="M33" s="131">
        <f>Assumptions!M69*M7</f>
        <v/>
      </c>
      <c r="N33" s="131">
        <f>Assumptions!N69*N7</f>
        <v/>
      </c>
      <c r="O33" s="131">
        <f>Assumptions!O69*O7</f>
        <v/>
      </c>
    </row>
    <row r="34" ht="12.75" customHeight="1" s="105">
      <c r="A34" s="126" t="n"/>
      <c r="B34" s="126" t="inlineStr">
        <is>
          <t>Deferred Tax Liability</t>
        </is>
      </c>
      <c r="C34" s="126" t="n"/>
      <c r="D34" s="126" t="n"/>
      <c r="E34" s="126" t="n"/>
      <c r="F34" s="138" t="n">
        <v>4468.65</v>
      </c>
      <c r="G34" s="138" t="n">
        <v>2331.22</v>
      </c>
      <c r="H34" s="138" t="n">
        <v>1800.62</v>
      </c>
      <c r="I34" s="138" t="n"/>
      <c r="J34" s="138" t="n"/>
      <c r="K34" s="131" t="n">
        <v>0</v>
      </c>
      <c r="L34" s="131" t="n">
        <v>0</v>
      </c>
      <c r="M34" s="131" t="n">
        <v>0</v>
      </c>
      <c r="N34" s="131" t="n">
        <v>0</v>
      </c>
      <c r="O34" s="131" t="n">
        <v>0</v>
      </c>
    </row>
    <row r="35" ht="12.75" customHeight="1" s="105">
      <c r="A35" s="130" t="inlineStr">
        <is>
          <t>Total Liabilities</t>
        </is>
      </c>
      <c r="B35" s="126" t="n"/>
      <c r="C35" s="126" t="n"/>
      <c r="D35" s="126" t="n"/>
      <c r="E35" s="126" t="n"/>
      <c r="F35" s="140">
        <f>SUM(F29:F34)</f>
        <v/>
      </c>
      <c r="G35" s="140">
        <f>SUM(G29:G34)</f>
        <v/>
      </c>
      <c r="H35" s="140">
        <f>SUM(H29:H34)</f>
        <v/>
      </c>
      <c r="I35" s="140">
        <f>SUM(I29:I34)</f>
        <v/>
      </c>
      <c r="J35" s="140">
        <f>SUM(J29:J34)</f>
        <v/>
      </c>
      <c r="K35" s="140">
        <f>SUM(K29:K34)</f>
        <v/>
      </c>
      <c r="L35" s="140">
        <f>SUM(L29:L34)</f>
        <v/>
      </c>
      <c r="M35" s="140">
        <f>SUM(M29:M34)</f>
        <v/>
      </c>
      <c r="N35" s="140">
        <f>SUM(N29:N34)</f>
        <v/>
      </c>
      <c r="O35" s="140">
        <f>SUM(O29:O34)</f>
        <v/>
      </c>
    </row>
    <row r="36" ht="12.75" customHeight="1" s="105">
      <c r="A36" s="126" t="n"/>
      <c r="B36" s="126" t="n"/>
      <c r="C36" s="126" t="n"/>
      <c r="D36" s="126" t="n"/>
      <c r="E36" s="126" t="n"/>
      <c r="F36" s="129" t="n"/>
      <c r="G36" s="129" t="n"/>
      <c r="H36" s="129" t="n"/>
      <c r="I36" s="129" t="n"/>
      <c r="J36" s="129" t="n"/>
      <c r="K36" s="131" t="n"/>
      <c r="L36" s="131" t="n"/>
      <c r="M36" s="131" t="n"/>
      <c r="N36" s="131" t="n"/>
      <c r="O36" s="131" t="n"/>
    </row>
    <row r="37" ht="12.75" customHeight="1" s="105">
      <c r="A37" s="126" t="inlineStr">
        <is>
          <t>Net Worth represented by</t>
        </is>
      </c>
      <c r="B37" s="126" t="n"/>
      <c r="C37" s="126" t="n"/>
      <c r="D37" s="126" t="n"/>
      <c r="E37" s="126" t="n"/>
      <c r="F37" s="140">
        <f>F26-F35</f>
        <v/>
      </c>
      <c r="G37" s="140">
        <f>G26-G35</f>
        <v/>
      </c>
      <c r="H37" s="140">
        <f>H26-H35</f>
        <v/>
      </c>
      <c r="I37" s="140">
        <f>I26-I35</f>
        <v/>
      </c>
      <c r="J37" s="140">
        <f>J26-J35</f>
        <v/>
      </c>
      <c r="K37" s="140">
        <f>K26-K35</f>
        <v/>
      </c>
      <c r="L37" s="140">
        <f>L26-L35</f>
        <v/>
      </c>
      <c r="M37" s="140">
        <f>M26-M35</f>
        <v/>
      </c>
      <c r="N37" s="140">
        <f>N26-N35</f>
        <v/>
      </c>
      <c r="O37" s="140">
        <f>O26-O35</f>
        <v/>
      </c>
    </row>
    <row r="38" ht="12.75" customHeight="1" s="105">
      <c r="A38" s="126" t="n"/>
      <c r="B38" s="126" t="n"/>
      <c r="C38" s="126" t="n"/>
      <c r="D38" s="126" t="n"/>
      <c r="E38" s="126" t="n"/>
      <c r="F38" s="154" t="n"/>
      <c r="G38" s="129" t="n"/>
      <c r="H38" s="129" t="n"/>
      <c r="I38" s="129" t="n"/>
      <c r="J38" s="129" t="n"/>
      <c r="K38" s="131" t="n"/>
      <c r="L38" s="131" t="n"/>
      <c r="M38" s="131" t="n"/>
      <c r="N38" s="131" t="n"/>
      <c r="O38" s="131" t="n"/>
    </row>
    <row r="39" ht="12.75" customHeight="1" s="105">
      <c r="A39" s="126" t="n"/>
      <c r="B39" s="126" t="inlineStr">
        <is>
          <t>Share Capital</t>
        </is>
      </c>
      <c r="C39" s="126" t="n"/>
      <c r="D39" s="126" t="n"/>
      <c r="E39" s="126" t="n"/>
      <c r="F39" s="131">
        <f>Reserves!F6</f>
        <v/>
      </c>
      <c r="G39" s="131">
        <f>Reserves!G6</f>
        <v/>
      </c>
      <c r="H39" s="131">
        <f>Reserves!H6</f>
        <v/>
      </c>
      <c r="I39" s="131">
        <f>Reserves!I6</f>
        <v/>
      </c>
      <c r="J39" s="131">
        <f>Reserves!J6</f>
        <v/>
      </c>
      <c r="K39" s="131">
        <f>Reserves!K6</f>
        <v/>
      </c>
      <c r="L39" s="131">
        <f>Reserves!L6</f>
        <v/>
      </c>
      <c r="M39" s="131">
        <f>Reserves!M6</f>
        <v/>
      </c>
      <c r="N39" s="131">
        <f>Reserves!N6</f>
        <v/>
      </c>
      <c r="O39" s="131">
        <f>Reserves!O6</f>
        <v/>
      </c>
    </row>
    <row r="40" ht="12.75" customHeight="1" s="105">
      <c r="A40" s="126" t="n"/>
      <c r="B40" s="126" t="inlineStr">
        <is>
          <t>Reserves &amp; Surplus</t>
        </is>
      </c>
      <c r="C40" s="126" t="n"/>
      <c r="D40" s="126" t="n"/>
      <c r="E40" s="126" t="n"/>
      <c r="F40" s="131">
        <f>Reserves!F16</f>
        <v/>
      </c>
      <c r="G40" s="131">
        <f>Reserves!G16</f>
        <v/>
      </c>
      <c r="H40" s="131">
        <f>Reserves!H16</f>
        <v/>
      </c>
      <c r="I40" s="131">
        <f>Reserves!I16</f>
        <v/>
      </c>
      <c r="J40" s="131">
        <f>Reserves!J16</f>
        <v/>
      </c>
      <c r="K40" s="131">
        <f>Reserves!K16</f>
        <v/>
      </c>
      <c r="L40" s="131">
        <f>Reserves!L16</f>
        <v/>
      </c>
      <c r="M40" s="131">
        <f>Reserves!M16</f>
        <v/>
      </c>
      <c r="N40" s="131">
        <f>Reserves!N16</f>
        <v/>
      </c>
      <c r="O40" s="131">
        <f>Reserves!O16</f>
        <v/>
      </c>
    </row>
    <row r="41" ht="12.75" customHeight="1" s="105">
      <c r="A41" s="126" t="n"/>
      <c r="B41" s="126" t="inlineStr">
        <is>
          <t>Less: Miscellaneous Expenditure(Not written off)</t>
        </is>
      </c>
      <c r="C41" s="126" t="n"/>
      <c r="D41" s="126" t="n"/>
      <c r="E41" s="126" t="n"/>
      <c r="F41" s="131">
        <f>Reserves!F17</f>
        <v/>
      </c>
      <c r="G41" s="131">
        <f>Reserves!G17</f>
        <v/>
      </c>
      <c r="H41" s="131">
        <f>Reserves!H17</f>
        <v/>
      </c>
      <c r="I41" s="131">
        <f>Reserves!I17</f>
        <v/>
      </c>
      <c r="J41" s="131">
        <f>Reserves!J17</f>
        <v/>
      </c>
      <c r="K41" s="131">
        <f>Reserves!K17</f>
        <v/>
      </c>
      <c r="L41" s="131">
        <f>Reserves!L17</f>
        <v/>
      </c>
      <c r="M41" s="131">
        <f>Reserves!M17</f>
        <v/>
      </c>
      <c r="N41" s="131">
        <f>Reserves!N17</f>
        <v/>
      </c>
      <c r="O41" s="131">
        <f>Reserves!O17</f>
        <v/>
      </c>
    </row>
    <row r="42" ht="12.75" customHeight="1" s="105">
      <c r="A42" s="130" t="inlineStr">
        <is>
          <t>Net Worth</t>
        </is>
      </c>
      <c r="F42" s="140">
        <f>F39+F40-F41</f>
        <v/>
      </c>
      <c r="G42" s="140">
        <f>G39+G40-G41</f>
        <v/>
      </c>
      <c r="H42" s="140">
        <f>H39+H40-H41</f>
        <v/>
      </c>
      <c r="I42" s="140">
        <f>I39+I40-I41</f>
        <v/>
      </c>
      <c r="J42" s="140">
        <f>J39+J40-J41</f>
        <v/>
      </c>
      <c r="K42" s="140">
        <f>K39+K40-K41</f>
        <v/>
      </c>
      <c r="L42" s="140">
        <f>L39+L40-L41</f>
        <v/>
      </c>
      <c r="M42" s="140">
        <f>M39+M40-M41</f>
        <v/>
      </c>
      <c r="N42" s="140">
        <f>N39+N40-N41</f>
        <v/>
      </c>
      <c r="O42" s="140">
        <f>O39+O40-O41</f>
        <v/>
      </c>
    </row>
    <row r="43" ht="12.75" customHeight="1" s="105">
      <c r="F43" s="149" t="n"/>
      <c r="G43" s="149" t="n"/>
      <c r="H43" s="149" t="n"/>
      <c r="I43" s="149" t="n"/>
      <c r="J43" s="149" t="n"/>
      <c r="K43" s="149" t="n"/>
      <c r="L43" s="149" t="n"/>
      <c r="M43" s="149" t="n"/>
      <c r="N43" s="149" t="n"/>
      <c r="O43" s="149" t="n"/>
    </row>
    <row r="44" ht="12.75" customHeight="1" s="105">
      <c r="B44" s="130" t="inlineStr">
        <is>
          <t>Check</t>
        </is>
      </c>
      <c r="F44" s="154">
        <f>ABS(F37-F42)&lt;1</f>
        <v/>
      </c>
      <c r="G44" s="154">
        <f>ABS(G37-G42)&lt;1</f>
        <v/>
      </c>
      <c r="H44" s="154">
        <f>ABS(H37-H42)&lt;1</f>
        <v/>
      </c>
      <c r="I44" s="154">
        <f>ABS(I37-I42)&lt;1</f>
        <v/>
      </c>
      <c r="J44" s="154">
        <f>ABS(J37-J42)&lt;1</f>
        <v/>
      </c>
      <c r="K44" s="154">
        <f>ABS(K37-K42)&lt;1</f>
        <v/>
      </c>
      <c r="L44" s="154">
        <f>ABS(L37-L42)&lt;1</f>
        <v/>
      </c>
      <c r="M44" s="154">
        <f>ABS(M37-M42)&lt;1</f>
        <v/>
      </c>
      <c r="N44" s="154">
        <f>ABS(N37-N42)&lt;1</f>
        <v/>
      </c>
      <c r="O44" s="154">
        <f>ABS(O37-O42)&lt;1</f>
        <v/>
      </c>
    </row>
    <row r="45" ht="12.75" customHeight="1" s="105">
      <c r="B45" s="130" t="n"/>
      <c r="F45" s="154" t="n"/>
      <c r="G45" s="154" t="n"/>
      <c r="H45" s="154" t="n"/>
      <c r="I45" s="154" t="n"/>
      <c r="J45" s="154" t="n"/>
    </row>
    <row r="46" ht="12.75" customHeight="1" s="105">
      <c r="F46" s="129" t="n"/>
      <c r="G46" s="155" t="n"/>
      <c r="H46" s="155" t="n"/>
      <c r="I46" s="155" t="n"/>
      <c r="J46" s="155" t="n"/>
      <c r="K46" s="155" t="n"/>
      <c r="L46" s="155" t="n"/>
      <c r="M46" s="155" t="n"/>
      <c r="N46" s="155" t="n"/>
      <c r="O46" s="155" t="n"/>
    </row>
    <row r="47" ht="12.75" customHeight="1" s="105">
      <c r="F47" s="134" t="n"/>
      <c r="G47" s="134" t="n"/>
      <c r="H47" s="134" t="n"/>
    </row>
    <row r="48" ht="12.75" customHeight="1" s="105">
      <c r="A48" s="130" t="n"/>
      <c r="F48" s="129" t="n"/>
      <c r="G48" s="129" t="n"/>
      <c r="H48" s="129" t="n"/>
    </row>
    <row r="49" ht="12.75" customHeight="1" s="105">
      <c r="F49" s="134" t="n"/>
      <c r="G49" s="134" t="n"/>
      <c r="H49" s="134" t="n"/>
    </row>
    <row r="50" ht="12.75" customHeight="1" s="105">
      <c r="F50" s="134" t="n"/>
      <c r="G50" s="134" t="n"/>
      <c r="H50" s="134" t="n"/>
    </row>
    <row r="51" ht="12.75" customHeight="1" s="105">
      <c r="F51" s="134" t="n"/>
      <c r="G51" s="134" t="n"/>
      <c r="H51" s="134" t="n"/>
    </row>
    <row r="52" ht="12.75" customHeight="1" s="105">
      <c r="F52" s="134" t="n"/>
      <c r="G52" s="134" t="n"/>
      <c r="H52" s="134" t="n"/>
    </row>
    <row r="53" ht="12.75" customHeight="1" s="105">
      <c r="F53" s="134" t="n"/>
      <c r="G53" s="134" t="n"/>
      <c r="H53" s="134" t="n"/>
    </row>
    <row r="54" ht="12.75" customHeight="1" s="105">
      <c r="F54" s="134" t="n"/>
      <c r="G54" s="134" t="n"/>
      <c r="H54" s="134" t="n"/>
    </row>
    <row r="55" ht="12.75" customHeight="1" s="105">
      <c r="B55" s="134" t="n"/>
      <c r="F55" s="134" t="n"/>
      <c r="G55" s="134" t="n"/>
      <c r="H55" s="134" t="n"/>
    </row>
    <row r="56" ht="12.75" customHeight="1" s="105">
      <c r="B56" s="134" t="n"/>
      <c r="F56" s="134" t="n"/>
      <c r="G56" s="134" t="n"/>
      <c r="H56" s="134" t="n"/>
    </row>
    <row r="57" ht="12.75" customHeight="1" s="105">
      <c r="F57" s="134" t="n"/>
      <c r="G57" s="134" t="n"/>
      <c r="H57" s="134" t="n"/>
    </row>
    <row r="58" ht="12.75" customHeight="1" s="105">
      <c r="F58" s="134" t="n"/>
      <c r="G58" s="134" t="n"/>
      <c r="H58" s="134" t="n"/>
    </row>
    <row r="59" ht="12.75" customHeight="1" s="105">
      <c r="F59" s="129" t="n"/>
      <c r="G59" s="129" t="n"/>
      <c r="H59" s="129"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Z52"/>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J18" activeCellId="0" sqref="J18"/>
    </sheetView>
  </sheetViews>
  <sheetFormatPr baseColWidth="8" defaultColWidth="9.13671875" defaultRowHeight="12.75" zeroHeight="0" outlineLevelRow="0"/>
  <cols>
    <col width="3.7" customWidth="1" style="126" min="1" max="1"/>
    <col width="3.7" customWidth="1" style="126" min="2" max="2"/>
    <col width="40.66" customWidth="1" style="126" min="3" max="3"/>
    <col width="6.69" customWidth="1" style="126" min="4" max="5"/>
    <col width="10.69" customWidth="1" style="126" min="6" max="26"/>
    <col width="9.130000000000001" customWidth="1" style="126" min="27" max="257"/>
  </cols>
  <sheetData>
    <row r="1" ht="12.75" customHeight="1" s="105">
      <c r="A1" s="130" t="inlineStr">
        <is>
          <t>Cash Flow Statement</t>
        </is>
      </c>
    </row>
    <row r="4" ht="12.75" customFormat="1" customHeight="1" s="156">
      <c r="A4" s="151" t="inlineStr">
        <is>
          <t>(Unless otherwise specified, all financials are in INR Million)</t>
        </is>
      </c>
      <c r="B4" s="126" t="n"/>
      <c r="C4" s="126" t="n"/>
      <c r="D4" s="126" t="n"/>
      <c r="E4" s="126" t="n"/>
      <c r="F4" s="136">
        <f>BS!F4</f>
        <v/>
      </c>
      <c r="G4" s="136">
        <f>BS!G4</f>
        <v/>
      </c>
      <c r="H4" s="136">
        <f>BS!H4</f>
        <v/>
      </c>
      <c r="I4" s="136">
        <f>BS!I4</f>
        <v/>
      </c>
      <c r="J4" s="136">
        <f>BS!J4</f>
        <v/>
      </c>
      <c r="K4" s="136">
        <f>BS!K4</f>
        <v/>
      </c>
      <c r="L4" s="136">
        <f>BS!L4</f>
        <v/>
      </c>
      <c r="M4" s="136">
        <f>BS!M4</f>
        <v/>
      </c>
      <c r="N4" s="136">
        <f>BS!N4</f>
        <v/>
      </c>
      <c r="O4" s="136">
        <f>BS!O4</f>
        <v/>
      </c>
    </row>
    <row r="5" ht="12.75" customFormat="1" customHeight="1" s="156">
      <c r="A5" s="128" t="n"/>
      <c r="B5" s="126" t="n"/>
      <c r="C5" s="126" t="n"/>
      <c r="D5" s="126" t="n"/>
      <c r="E5" s="126" t="n"/>
      <c r="F5" s="136" t="n"/>
      <c r="G5" s="136" t="n"/>
      <c r="H5" s="136" t="n"/>
      <c r="I5" s="136" t="n"/>
      <c r="J5" s="136" t="n"/>
    </row>
    <row r="6" ht="12.75" customHeight="1" s="105">
      <c r="A6" s="157" t="inlineStr">
        <is>
          <t>Cashflow from Operations</t>
        </is>
      </c>
      <c r="C6" s="158" t="n"/>
      <c r="D6" s="158" t="n"/>
    </row>
    <row r="7" ht="12.75" customHeight="1" s="105">
      <c r="A7" s="158" t="n"/>
      <c r="B7" s="126" t="inlineStr">
        <is>
          <t>PAT</t>
        </is>
      </c>
      <c r="F7" s="131" t="n"/>
      <c r="G7" s="131">
        <f>'P&amp;L'!G52</f>
        <v/>
      </c>
      <c r="H7" s="131">
        <f>'P&amp;L'!H52</f>
        <v/>
      </c>
      <c r="I7" s="131">
        <f>'P&amp;L'!I52</f>
        <v/>
      </c>
      <c r="J7" s="131">
        <f>'P&amp;L'!J52</f>
        <v/>
      </c>
      <c r="K7" s="131">
        <f>'P&amp;L'!K52</f>
        <v/>
      </c>
      <c r="L7" s="131">
        <f>'P&amp;L'!L52</f>
        <v/>
      </c>
      <c r="M7" s="131">
        <f>'P&amp;L'!M52</f>
        <v/>
      </c>
      <c r="N7" s="131">
        <f>'P&amp;L'!N52</f>
        <v/>
      </c>
      <c r="O7" s="131">
        <f>'P&amp;L'!O52</f>
        <v/>
      </c>
      <c r="P7" s="131" t="n"/>
      <c r="Q7" s="131" t="n"/>
      <c r="R7" s="131" t="n"/>
      <c r="S7" s="131" t="n"/>
      <c r="T7" s="131" t="n"/>
      <c r="U7" s="131" t="n"/>
      <c r="V7" s="131" t="n"/>
      <c r="W7" s="131" t="n"/>
      <c r="X7" s="131" t="n"/>
      <c r="Y7" s="131" t="n"/>
      <c r="Z7" s="131" t="n"/>
    </row>
    <row r="8" ht="12.75" customHeight="1" s="105">
      <c r="A8" s="158" t="n"/>
      <c r="B8" s="126" t="inlineStr">
        <is>
          <t>Less: Depreciation</t>
        </is>
      </c>
      <c r="F8" s="131" t="n"/>
      <c r="G8" s="131">
        <f>BS!G8-BS!F8</f>
        <v/>
      </c>
      <c r="H8" s="131">
        <f>BS!H8-BS!G8</f>
        <v/>
      </c>
      <c r="I8" s="131">
        <f>BS!I8-BS!H8</f>
        <v/>
      </c>
      <c r="J8" s="131">
        <f>BS!J8-BS!I8</f>
        <v/>
      </c>
      <c r="K8" s="131">
        <f>BS!K8-BS!J8</f>
        <v/>
      </c>
      <c r="L8" s="131">
        <f>BS!L8-BS!K8</f>
        <v/>
      </c>
      <c r="M8" s="131">
        <f>BS!M8-BS!L8</f>
        <v/>
      </c>
      <c r="N8" s="131">
        <f>BS!N8-BS!M8</f>
        <v/>
      </c>
      <c r="O8" s="131">
        <f>BS!O8-BS!N8</f>
        <v/>
      </c>
      <c r="P8" s="131" t="n"/>
      <c r="Q8" s="131" t="n"/>
      <c r="R8" s="131" t="n"/>
      <c r="S8" s="131" t="n"/>
      <c r="T8" s="131" t="n"/>
      <c r="U8" s="131" t="n"/>
      <c r="V8" s="131" t="n"/>
      <c r="W8" s="131" t="n"/>
      <c r="X8" s="131" t="n"/>
      <c r="Y8" s="131" t="n"/>
      <c r="Z8" s="131" t="n"/>
    </row>
    <row r="9" ht="12.75" customHeight="1" s="105">
      <c r="A9" s="158" t="n"/>
      <c r="B9" s="126" t="inlineStr">
        <is>
          <t>Less: Increase in Misc Exp. (Not written off)</t>
        </is>
      </c>
      <c r="C9" s="158" t="n"/>
      <c r="F9" s="131" t="n"/>
      <c r="G9" s="131">
        <f>BS!G41-BS!F41</f>
        <v/>
      </c>
      <c r="H9" s="131">
        <f>BS!H41-BS!G41</f>
        <v/>
      </c>
      <c r="I9" s="131">
        <f>BS!I41-BS!H41</f>
        <v/>
      </c>
      <c r="J9" s="131">
        <f>BS!J41-BS!I41</f>
        <v/>
      </c>
      <c r="K9" s="131">
        <f>BS!K41-BS!J41</f>
        <v/>
      </c>
      <c r="L9" s="131">
        <f>BS!L41-BS!K41</f>
        <v/>
      </c>
      <c r="M9" s="131">
        <f>BS!M41-BS!L41</f>
        <v/>
      </c>
      <c r="N9" s="131">
        <f>BS!N41-BS!M41</f>
        <v/>
      </c>
      <c r="O9" s="131">
        <f>BS!O41-BS!N41</f>
        <v/>
      </c>
      <c r="P9" s="131" t="n"/>
      <c r="Q9" s="131" t="n"/>
      <c r="R9" s="131" t="n"/>
      <c r="S9" s="131" t="n"/>
      <c r="T9" s="131" t="n"/>
      <c r="U9" s="131" t="n"/>
      <c r="V9" s="131" t="n"/>
      <c r="W9" s="131" t="n"/>
      <c r="X9" s="131" t="n"/>
      <c r="Y9" s="131" t="n"/>
      <c r="Z9" s="131" t="n"/>
    </row>
    <row r="10" ht="12.75" customHeight="1" s="105">
      <c r="A10" s="158" t="n"/>
      <c r="B10" s="126" t="inlineStr">
        <is>
          <t>Less: Increase in Surveyed off Assets</t>
        </is>
      </c>
      <c r="C10" s="158" t="n"/>
      <c r="F10" s="131" t="n"/>
      <c r="G10" s="131">
        <f>BS!G13-BS!F13</f>
        <v/>
      </c>
      <c r="H10" s="131">
        <f>BS!H13-BS!G13</f>
        <v/>
      </c>
      <c r="I10" s="131">
        <f>BS!I13-BS!H13</f>
        <v/>
      </c>
      <c r="J10" s="131">
        <f>BS!J13-BS!I13</f>
        <v/>
      </c>
      <c r="K10" s="131">
        <f>BS!K13-BS!J13</f>
        <v/>
      </c>
      <c r="L10" s="131">
        <f>BS!L13-BS!K13</f>
        <v/>
      </c>
      <c r="M10" s="131">
        <f>BS!M13-BS!L13</f>
        <v/>
      </c>
      <c r="N10" s="131">
        <f>BS!N13-BS!M13</f>
        <v/>
      </c>
      <c r="O10" s="131">
        <f>BS!O13-BS!N13</f>
        <v/>
      </c>
      <c r="P10" s="131" t="n"/>
      <c r="Q10" s="131" t="n"/>
      <c r="R10" s="131" t="n"/>
      <c r="S10" s="131" t="n"/>
      <c r="T10" s="131" t="n"/>
      <c r="U10" s="131" t="n"/>
      <c r="V10" s="131" t="n"/>
      <c r="W10" s="131" t="n"/>
      <c r="X10" s="131" t="n"/>
      <c r="Y10" s="131" t="n"/>
      <c r="Z10" s="131" t="n"/>
    </row>
    <row r="11" ht="12.75" customHeight="1" s="105">
      <c r="A11" s="158" t="n"/>
      <c r="B11" s="126" t="inlineStr">
        <is>
          <t>Less: Increase in Deferred Tax Assets</t>
        </is>
      </c>
      <c r="C11" s="158" t="n"/>
      <c r="F11" s="131" t="n"/>
      <c r="G11" s="131">
        <f>BS!G18-BS!F18</f>
        <v/>
      </c>
      <c r="H11" s="131">
        <f>BS!H18-BS!G18</f>
        <v/>
      </c>
      <c r="I11" s="131">
        <f>BS!I18-BS!H18</f>
        <v/>
      </c>
      <c r="J11" s="131">
        <f>BS!J18-BS!I18</f>
        <v/>
      </c>
      <c r="K11" s="131">
        <f>BS!K18-BS!J18</f>
        <v/>
      </c>
      <c r="L11" s="131">
        <f>BS!L18-BS!K18</f>
        <v/>
      </c>
      <c r="M11" s="131">
        <f>BS!M18-BS!L18</f>
        <v/>
      </c>
      <c r="N11" s="131">
        <f>BS!N18-BS!M18</f>
        <v/>
      </c>
      <c r="O11" s="131">
        <f>BS!O18-BS!N18</f>
        <v/>
      </c>
      <c r="P11" s="131" t="n"/>
      <c r="Q11" s="131" t="n"/>
      <c r="R11" s="131" t="n"/>
      <c r="S11" s="131" t="n"/>
      <c r="T11" s="131" t="n"/>
      <c r="U11" s="131" t="n"/>
      <c r="V11" s="131" t="n"/>
      <c r="W11" s="131" t="n"/>
      <c r="X11" s="131" t="n"/>
      <c r="Y11" s="131" t="n"/>
      <c r="Z11" s="131" t="n"/>
    </row>
    <row r="12" ht="12.75" customHeight="1" s="105">
      <c r="A12" s="158" t="n"/>
      <c r="B12" s="126" t="inlineStr">
        <is>
          <t>Less: Increase in Inventory</t>
        </is>
      </c>
      <c r="C12" s="158" t="n"/>
      <c r="F12" s="131" t="n"/>
      <c r="G12" s="131">
        <f>BS!G20-BS!F20</f>
        <v/>
      </c>
      <c r="H12" s="131">
        <f>BS!H20-BS!G20</f>
        <v/>
      </c>
      <c r="I12" s="131">
        <f>BS!I20-BS!H20</f>
        <v/>
      </c>
      <c r="J12" s="131">
        <f>BS!J20-BS!I20</f>
        <v/>
      </c>
      <c r="K12" s="131">
        <f>BS!K20-BS!J20</f>
        <v/>
      </c>
      <c r="L12" s="131">
        <f>BS!L20-BS!K20</f>
        <v/>
      </c>
      <c r="M12" s="131">
        <f>BS!M20-BS!L20</f>
        <v/>
      </c>
      <c r="N12" s="131">
        <f>BS!N20-BS!M20</f>
        <v/>
      </c>
      <c r="O12" s="131">
        <f>BS!O20-BS!N20</f>
        <v/>
      </c>
      <c r="P12" s="131" t="n"/>
      <c r="Q12" s="131" t="n"/>
      <c r="R12" s="131" t="n"/>
      <c r="S12" s="131" t="n"/>
      <c r="T12" s="131" t="n"/>
      <c r="U12" s="131" t="n"/>
      <c r="V12" s="131" t="n"/>
      <c r="W12" s="131" t="n"/>
      <c r="X12" s="131" t="n"/>
      <c r="Y12" s="131" t="n"/>
      <c r="Z12" s="131" t="n"/>
    </row>
    <row r="13" ht="12.75" customHeight="1" s="105">
      <c r="A13" s="158" t="n"/>
      <c r="B13" s="126" t="inlineStr">
        <is>
          <t>Less: Increase in Sundry Debtors</t>
        </is>
      </c>
      <c r="C13" s="158" t="n"/>
      <c r="F13" s="131" t="n"/>
      <c r="G13" s="131">
        <f>BS!G21-BS!F21</f>
        <v/>
      </c>
      <c r="H13" s="131">
        <f>BS!H21-BS!G21</f>
        <v/>
      </c>
      <c r="I13" s="131">
        <f>BS!I21-BS!H21</f>
        <v/>
      </c>
      <c r="J13" s="131">
        <f>BS!J21-BS!I21</f>
        <v/>
      </c>
      <c r="K13" s="131">
        <f>BS!K21-BS!J21</f>
        <v/>
      </c>
      <c r="L13" s="131">
        <f>BS!L21-BS!K21</f>
        <v/>
      </c>
      <c r="M13" s="131">
        <f>BS!M21-BS!L21</f>
        <v/>
      </c>
      <c r="N13" s="131">
        <f>BS!N21-BS!M21</f>
        <v/>
      </c>
      <c r="O13" s="131">
        <f>BS!O21-BS!N21</f>
        <v/>
      </c>
      <c r="P13" s="131" t="n"/>
      <c r="Q13" s="131" t="n"/>
      <c r="R13" s="131" t="n"/>
      <c r="S13" s="131" t="n"/>
      <c r="T13" s="131" t="n"/>
      <c r="U13" s="131" t="n"/>
      <c r="V13" s="131" t="n"/>
      <c r="W13" s="131" t="n"/>
      <c r="X13" s="131" t="n"/>
      <c r="Y13" s="131" t="n"/>
      <c r="Z13" s="131" t="n"/>
    </row>
    <row r="14" ht="12.75" customHeight="1" s="105">
      <c r="A14" s="158" t="n"/>
      <c r="B14" s="126" t="inlineStr">
        <is>
          <t>Less: Increase in Loans and Advances</t>
        </is>
      </c>
      <c r="C14" s="158" t="n"/>
      <c r="F14" s="131" t="n"/>
      <c r="G14" s="131">
        <f>BS!G23-BS!F23</f>
        <v/>
      </c>
      <c r="H14" s="131">
        <f>BS!H23-BS!G23</f>
        <v/>
      </c>
      <c r="I14" s="131">
        <f>BS!I23-BS!H23</f>
        <v/>
      </c>
      <c r="J14" s="131">
        <f>BS!J23-BS!I23</f>
        <v/>
      </c>
      <c r="K14" s="131">
        <f>BS!K23-BS!J23</f>
        <v/>
      </c>
      <c r="L14" s="131">
        <f>BS!L23-BS!K23</f>
        <v/>
      </c>
      <c r="M14" s="131">
        <f>BS!M23-BS!L23</f>
        <v/>
      </c>
      <c r="N14" s="131">
        <f>BS!N23-BS!M23</f>
        <v/>
      </c>
      <c r="O14" s="131">
        <f>BS!O23-BS!N23</f>
        <v/>
      </c>
      <c r="P14" s="131" t="n"/>
      <c r="Q14" s="131" t="n"/>
      <c r="R14" s="131" t="n"/>
      <c r="S14" s="131" t="n"/>
      <c r="T14" s="131" t="n"/>
      <c r="U14" s="131" t="n"/>
      <c r="V14" s="131" t="n"/>
      <c r="W14" s="131" t="n"/>
      <c r="X14" s="131" t="n"/>
      <c r="Y14" s="131" t="n"/>
      <c r="Z14" s="131" t="n"/>
    </row>
    <row r="15" ht="12.75" customHeight="1" s="105">
      <c r="A15" s="158" t="n"/>
      <c r="B15" s="126" t="inlineStr">
        <is>
          <t>Add: Increase in Current Liabilities</t>
        </is>
      </c>
      <c r="C15" s="158" t="n"/>
      <c r="F15" s="131" t="n"/>
      <c r="G15" s="131">
        <f>BS!G31-BS!F31</f>
        <v/>
      </c>
      <c r="H15" s="131">
        <f>BS!H31-BS!G31</f>
        <v/>
      </c>
      <c r="I15" s="131">
        <f>BS!I31-BS!H31</f>
        <v/>
      </c>
      <c r="J15" s="131">
        <f>BS!J31-BS!I31</f>
        <v/>
      </c>
      <c r="K15" s="131">
        <f>BS!K31-BS!J31</f>
        <v/>
      </c>
      <c r="L15" s="131">
        <f>BS!L31-BS!K31</f>
        <v/>
      </c>
      <c r="M15" s="131">
        <f>BS!M31-BS!L31</f>
        <v/>
      </c>
      <c r="N15" s="131">
        <f>BS!N31-BS!M31</f>
        <v/>
      </c>
      <c r="O15" s="131">
        <f>BS!O31-BS!N31</f>
        <v/>
      </c>
      <c r="P15" s="131" t="n"/>
      <c r="Q15" s="131" t="n"/>
      <c r="R15" s="131" t="n"/>
      <c r="S15" s="131" t="n"/>
      <c r="T15" s="131" t="n"/>
      <c r="U15" s="131" t="n"/>
      <c r="V15" s="131" t="n"/>
      <c r="W15" s="131" t="n"/>
      <c r="X15" s="131" t="n"/>
      <c r="Y15" s="131" t="n"/>
      <c r="Z15" s="131" t="n"/>
    </row>
    <row r="16" ht="12.75" customHeight="1" s="105">
      <c r="A16" s="158" t="n"/>
      <c r="B16" s="126" t="inlineStr">
        <is>
          <t>Add: Increase in Minority Interests</t>
        </is>
      </c>
      <c r="C16" s="158" t="n"/>
      <c r="F16" s="131" t="n"/>
      <c r="G16" s="131">
        <f>BS!G32-BS!F32</f>
        <v/>
      </c>
      <c r="H16" s="131">
        <f>BS!H32-BS!G32</f>
        <v/>
      </c>
      <c r="I16" s="131">
        <f>BS!I32-BS!H32</f>
        <v/>
      </c>
      <c r="J16" s="131">
        <f>BS!J32-BS!I32</f>
        <v/>
      </c>
      <c r="K16" s="131">
        <f>BS!K32-BS!J32</f>
        <v/>
      </c>
      <c r="L16" s="131">
        <f>BS!L32-BS!K32</f>
        <v/>
      </c>
      <c r="M16" s="131">
        <f>BS!M32-BS!L32</f>
        <v/>
      </c>
      <c r="N16" s="131">
        <f>BS!N32-BS!M32</f>
        <v/>
      </c>
      <c r="O16" s="131">
        <f>BS!O32-BS!N32</f>
        <v/>
      </c>
      <c r="P16" s="131" t="n"/>
      <c r="Q16" s="131" t="n"/>
      <c r="R16" s="131" t="n"/>
      <c r="S16" s="131" t="n"/>
      <c r="T16" s="131" t="n"/>
      <c r="U16" s="131" t="n"/>
      <c r="V16" s="131" t="n"/>
      <c r="W16" s="131" t="n"/>
      <c r="X16" s="131" t="n"/>
      <c r="Y16" s="131" t="n"/>
      <c r="Z16" s="131" t="n"/>
    </row>
    <row r="17" ht="12.75" customHeight="1" s="105">
      <c r="A17" s="158" t="n"/>
      <c r="B17" s="126" t="inlineStr">
        <is>
          <t>Add: Increase in Deferred Tax Liabilities</t>
        </is>
      </c>
      <c r="C17" s="158" t="n"/>
      <c r="F17" s="131" t="n"/>
      <c r="G17" s="131">
        <f>BS!G34-BS!F34</f>
        <v/>
      </c>
      <c r="H17" s="131">
        <f>BS!H34-BS!G34</f>
        <v/>
      </c>
      <c r="I17" s="131">
        <f>BS!I34-BS!H34</f>
        <v/>
      </c>
      <c r="J17" s="131">
        <f>BS!J34-BS!I34</f>
        <v/>
      </c>
      <c r="K17" s="131">
        <f>BS!K34-BS!J34</f>
        <v/>
      </c>
      <c r="L17" s="131">
        <f>BS!L34-BS!K34</f>
        <v/>
      </c>
      <c r="M17" s="131">
        <f>BS!M34-BS!L34</f>
        <v/>
      </c>
      <c r="N17" s="131">
        <f>BS!N34-BS!M34</f>
        <v/>
      </c>
      <c r="O17" s="131">
        <f>BS!O34-BS!N34</f>
        <v/>
      </c>
      <c r="P17" s="131" t="n"/>
      <c r="Q17" s="131" t="n"/>
      <c r="R17" s="131" t="n"/>
      <c r="S17" s="131" t="n"/>
      <c r="T17" s="131" t="n"/>
      <c r="U17" s="131" t="n"/>
      <c r="V17" s="131" t="n"/>
      <c r="W17" s="131" t="n"/>
      <c r="X17" s="131" t="n"/>
      <c r="Y17" s="131" t="n"/>
      <c r="Z17" s="131" t="n"/>
    </row>
    <row r="18" ht="12.75" customFormat="1" customHeight="1" s="130">
      <c r="A18" s="157" t="n"/>
      <c r="B18" s="159" t="n"/>
      <c r="C18" s="160" t="inlineStr">
        <is>
          <t>Net Cashflow from Operations</t>
        </is>
      </c>
      <c r="D18" s="161" t="n"/>
      <c r="E18" s="161" t="n"/>
      <c r="F18" s="162" t="n"/>
      <c r="G18" s="162">
        <f>G7-SUM(G9:G14)+SUM(G15:G17)+G8</f>
        <v/>
      </c>
      <c r="H18" s="162">
        <f>H7-SUM(H9:H14)+SUM(H15:H17)+H8</f>
        <v/>
      </c>
      <c r="I18" s="162">
        <f>I7-SUM(I9:I14)+SUM(I15:I17)+I8</f>
        <v/>
      </c>
      <c r="J18" s="162">
        <f>J7-SUM(J9:J14)+SUM(J15:J17)+J8</f>
        <v/>
      </c>
      <c r="K18" s="162">
        <f>K7-SUM(K9:K14)+SUM(K15:K17)+K8</f>
        <v/>
      </c>
      <c r="L18" s="162">
        <f>L7-SUM(L9:L14)+SUM(L15:L17)+L8</f>
        <v/>
      </c>
      <c r="M18" s="162">
        <f>M7-SUM(M9:M14)+SUM(M15:M17)+M8</f>
        <v/>
      </c>
      <c r="N18" s="162">
        <f>N7-SUM(N9:N14)+SUM(N15:N17)+N8</f>
        <v/>
      </c>
      <c r="O18" s="162">
        <f>O7-SUM(O9:O14)+SUM(O15:O17)+O8</f>
        <v/>
      </c>
      <c r="P18" s="140" t="n"/>
      <c r="Q18" s="140" t="n"/>
      <c r="R18" s="140" t="n"/>
      <c r="S18" s="140" t="n"/>
      <c r="T18" s="140" t="n"/>
      <c r="U18" s="140" t="n"/>
      <c r="V18" s="140" t="n"/>
      <c r="W18" s="140" t="n"/>
      <c r="X18" s="140" t="n"/>
      <c r="Y18" s="140" t="n"/>
      <c r="Z18" s="140" t="n"/>
    </row>
    <row r="19" ht="12.75" customHeight="1" s="105">
      <c r="A19" s="158" t="n"/>
      <c r="B19" s="130" t="n"/>
      <c r="C19" s="158" t="n"/>
      <c r="D19" s="158" t="n"/>
    </row>
    <row r="20" ht="12.75" customHeight="1" s="105">
      <c r="A20" s="157" t="inlineStr">
        <is>
          <t>Cashflow from Investment Activities</t>
        </is>
      </c>
      <c r="C20" s="158" t="n"/>
      <c r="D20" s="158" t="n"/>
    </row>
    <row r="21" ht="12.75" customHeight="1" s="105">
      <c r="A21" s="157" t="n"/>
      <c r="B21" s="126" t="inlineStr">
        <is>
          <t>Less: Increase in Gross Block</t>
        </is>
      </c>
      <c r="C21" s="158" t="n"/>
      <c r="D21" s="158" t="n"/>
      <c r="G21" s="131">
        <f>-(BS!G7-BS!F7)</f>
        <v/>
      </c>
      <c r="H21" s="131">
        <f>-(BS!H7-BS!G7)</f>
        <v/>
      </c>
      <c r="I21" s="131">
        <f>-(BS!I7-BS!H7)</f>
        <v/>
      </c>
      <c r="J21" s="131">
        <f>-(BS!J7-BS!I7)</f>
        <v/>
      </c>
      <c r="K21" s="131">
        <f>-(BS!K7-BS!J7)</f>
        <v/>
      </c>
      <c r="L21" s="131">
        <f>-(BS!L7-BS!K7)</f>
        <v/>
      </c>
      <c r="M21" s="131">
        <f>-(BS!M7-BS!L7)</f>
        <v/>
      </c>
      <c r="N21" s="131">
        <f>-(BS!N7-BS!M7)</f>
        <v/>
      </c>
      <c r="O21" s="131">
        <f>-(BS!O7-BS!N7)</f>
        <v/>
      </c>
    </row>
    <row r="22" ht="12.75" customHeight="1" s="105">
      <c r="A22" s="157" t="n"/>
      <c r="B22" s="126" t="inlineStr">
        <is>
          <t>Less: Increase in Provision for Impairment</t>
        </is>
      </c>
      <c r="C22" s="158" t="n"/>
      <c r="D22" s="158" t="n"/>
      <c r="G22" s="131">
        <f>(BS!G9-BS!F9)</f>
        <v/>
      </c>
      <c r="H22" s="131">
        <f>(BS!H9-BS!G9)</f>
        <v/>
      </c>
      <c r="I22" s="131">
        <f>(BS!I9-BS!H9)</f>
        <v/>
      </c>
      <c r="J22" s="131">
        <f>(BS!J9-BS!I9)</f>
        <v/>
      </c>
      <c r="K22" s="131">
        <f>(BS!K9-BS!J9)</f>
        <v/>
      </c>
      <c r="L22" s="131">
        <f>(BS!L9-BS!K9)</f>
        <v/>
      </c>
      <c r="M22" s="131">
        <f>(BS!M9-BS!L9)</f>
        <v/>
      </c>
      <c r="N22" s="131">
        <f>(BS!N9-BS!M9)</f>
        <v/>
      </c>
      <c r="O22" s="131">
        <f>(BS!O9-BS!N9)</f>
        <v/>
      </c>
    </row>
    <row r="23" ht="12.75" customHeight="1" s="105">
      <c r="A23" s="157" t="n"/>
      <c r="B23" s="126" t="inlineStr">
        <is>
          <t>Less: Increase in Other provisions</t>
        </is>
      </c>
      <c r="C23" s="158" t="n"/>
      <c r="D23" s="158" t="n"/>
      <c r="G23" s="131">
        <f>(BS!G10-BS!F10)</f>
        <v/>
      </c>
      <c r="H23" s="131">
        <f>(BS!H10-BS!G10)</f>
        <v/>
      </c>
      <c r="I23" s="131">
        <f>(BS!I10-BS!H10)</f>
        <v/>
      </c>
      <c r="J23" s="131">
        <f>(BS!J10-BS!I10)</f>
        <v/>
      </c>
      <c r="K23" s="131">
        <f>(BS!K10-BS!J10)</f>
        <v/>
      </c>
      <c r="L23" s="131">
        <f>(BS!L10-BS!K10)</f>
        <v/>
      </c>
      <c r="M23" s="131">
        <f>(BS!M10-BS!L10)</f>
        <v/>
      </c>
      <c r="N23" s="131">
        <f>(BS!N10-BS!M10)</f>
        <v/>
      </c>
      <c r="O23" s="131">
        <f>(BS!O10-BS!N10)</f>
        <v/>
      </c>
    </row>
    <row r="24" ht="12.75" customHeight="1" s="105">
      <c r="A24" s="158" t="n"/>
      <c r="B24" s="126" t="inlineStr">
        <is>
          <t>Less: Increase in CWIP</t>
        </is>
      </c>
      <c r="C24" s="158" t="n"/>
      <c r="F24" s="131" t="n"/>
      <c r="G24" s="131">
        <f>-(BS!G12-BS!F12)</f>
        <v/>
      </c>
      <c r="H24" s="131">
        <f>-(BS!H12-BS!G12)</f>
        <v/>
      </c>
      <c r="I24" s="131">
        <f>-(BS!I12-BS!H12)</f>
        <v/>
      </c>
      <c r="J24" s="131">
        <f>-(BS!J12-BS!I12)</f>
        <v/>
      </c>
      <c r="K24" s="131">
        <f>-(BS!K12-BS!J12)</f>
        <v/>
      </c>
      <c r="L24" s="131">
        <f>-(BS!L12-BS!K12)</f>
        <v/>
      </c>
      <c r="M24" s="131">
        <f>-(BS!M12-BS!L12)</f>
        <v/>
      </c>
      <c r="N24" s="131">
        <f>-(BS!N12-BS!M12)</f>
        <v/>
      </c>
      <c r="O24" s="131">
        <f>-(BS!O12-BS!N12)</f>
        <v/>
      </c>
      <c r="P24" s="131" t="n"/>
      <c r="Q24" s="131" t="n"/>
      <c r="R24" s="131" t="n"/>
      <c r="S24" s="131" t="n"/>
      <c r="T24" s="131" t="n"/>
      <c r="U24" s="131" t="n"/>
      <c r="V24" s="131" t="n"/>
      <c r="W24" s="131" t="n"/>
      <c r="X24" s="131" t="n"/>
      <c r="Y24" s="131" t="n"/>
      <c r="Z24" s="131" t="n"/>
    </row>
    <row r="25" ht="12.75" customHeight="1" s="105">
      <c r="A25" s="158" t="n"/>
      <c r="B25" s="126" t="inlineStr">
        <is>
          <t>Less: Increase in Investments</t>
        </is>
      </c>
      <c r="C25" s="158" t="n"/>
      <c r="F25" s="131" t="n"/>
      <c r="G25" s="131">
        <f>-(BS!G16-BS!F16)</f>
        <v/>
      </c>
      <c r="H25" s="131">
        <f>-(BS!H16-BS!G16)</f>
        <v/>
      </c>
      <c r="I25" s="131">
        <f>-(BS!I16-BS!H16)</f>
        <v/>
      </c>
      <c r="J25" s="131">
        <f>-(BS!J16-BS!I16)</f>
        <v/>
      </c>
      <c r="K25" s="131">
        <f>-(BS!K16-BS!J16)</f>
        <v/>
      </c>
      <c r="L25" s="131">
        <f>-(BS!L16-BS!K16)</f>
        <v/>
      </c>
      <c r="M25" s="131">
        <f>-(BS!M16-BS!L16)</f>
        <v/>
      </c>
      <c r="N25" s="131">
        <f>-(BS!N16-BS!M16)</f>
        <v/>
      </c>
      <c r="O25" s="131">
        <f>-(BS!O16-BS!N16)</f>
        <v/>
      </c>
      <c r="P25" s="131" t="n"/>
      <c r="Q25" s="131" t="n"/>
      <c r="R25" s="131" t="n"/>
      <c r="S25" s="131" t="n"/>
      <c r="T25" s="131" t="n"/>
      <c r="U25" s="131" t="n"/>
      <c r="V25" s="131" t="n"/>
      <c r="W25" s="131" t="n"/>
      <c r="X25" s="131" t="n"/>
      <c r="Y25" s="131" t="n"/>
      <c r="Z25" s="131" t="n"/>
    </row>
    <row r="26" ht="12.75" customHeight="1" s="105">
      <c r="A26" s="158" t="n"/>
      <c r="B26" s="126" t="inlineStr">
        <is>
          <t>Less: Increase in Net Interest in JV</t>
        </is>
      </c>
      <c r="C26" s="158" t="n"/>
      <c r="F26" s="131" t="n"/>
      <c r="G26" s="131">
        <f>-(BS!G17-BS!F17)</f>
        <v/>
      </c>
      <c r="H26" s="131">
        <f>-(BS!H17-BS!G17)</f>
        <v/>
      </c>
      <c r="I26" s="131">
        <f>-(BS!I17-BS!H17)</f>
        <v/>
      </c>
      <c r="J26" s="131">
        <f>-(BS!J17-BS!I17)</f>
        <v/>
      </c>
      <c r="K26" s="131">
        <f>-(BS!K17-BS!J17)</f>
        <v/>
      </c>
      <c r="L26" s="131">
        <f>-(BS!L17-BS!K17)</f>
        <v/>
      </c>
      <c r="M26" s="131">
        <f>-(BS!M17-BS!L17)</f>
        <v/>
      </c>
      <c r="N26" s="131">
        <f>-(BS!N17-BS!M17)</f>
        <v/>
      </c>
      <c r="O26" s="131">
        <f>-(BS!O17-BS!N17)</f>
        <v/>
      </c>
      <c r="P26" s="131" t="n"/>
      <c r="Q26" s="131" t="n"/>
      <c r="R26" s="131" t="n"/>
      <c r="S26" s="131" t="n"/>
      <c r="T26" s="131" t="n"/>
      <c r="U26" s="131" t="n"/>
      <c r="V26" s="131" t="n"/>
      <c r="W26" s="131" t="n"/>
      <c r="X26" s="131" t="n"/>
      <c r="Y26" s="131" t="n"/>
      <c r="Z26" s="131" t="n"/>
    </row>
    <row r="27" ht="12.75" customFormat="1" customHeight="1" s="130">
      <c r="A27" s="157" t="n"/>
      <c r="B27" s="159" t="n"/>
      <c r="C27" s="160" t="inlineStr">
        <is>
          <t>Net Cashflow from Investment Activities</t>
        </is>
      </c>
      <c r="D27" s="161" t="n"/>
      <c r="E27" s="161" t="n"/>
      <c r="F27" s="162" t="n"/>
      <c r="G27" s="162">
        <f>SUM(G21:G26)</f>
        <v/>
      </c>
      <c r="H27" s="162">
        <f>SUM(H21:H26)</f>
        <v/>
      </c>
      <c r="I27" s="162">
        <f>SUM(I21:I26)</f>
        <v/>
      </c>
      <c r="J27" s="162">
        <f>SUM(J21:J26)</f>
        <v/>
      </c>
      <c r="K27" s="162">
        <f>SUM(K21:K26)</f>
        <v/>
      </c>
      <c r="L27" s="162">
        <f>SUM(L21:L26)</f>
        <v/>
      </c>
      <c r="M27" s="162">
        <f>SUM(M21:M26)</f>
        <v/>
      </c>
      <c r="N27" s="162">
        <f>SUM(N21:N26)</f>
        <v/>
      </c>
      <c r="O27" s="162">
        <f>SUM(O21:O26)</f>
        <v/>
      </c>
      <c r="P27" s="140" t="n"/>
      <c r="Q27" s="140" t="n"/>
      <c r="R27" s="140" t="n"/>
      <c r="S27" s="140" t="n"/>
      <c r="T27" s="140" t="n"/>
      <c r="U27" s="140" t="n"/>
      <c r="V27" s="140" t="n"/>
      <c r="W27" s="140" t="n"/>
      <c r="X27" s="140" t="n"/>
      <c r="Y27" s="140" t="n"/>
      <c r="Z27" s="140" t="n"/>
    </row>
    <row r="28" ht="12.75" customHeight="1" s="105">
      <c r="A28" s="158" t="n"/>
      <c r="C28" s="158" t="n"/>
      <c r="F28" s="131" t="n"/>
      <c r="G28" s="131" t="n"/>
      <c r="H28" s="131" t="n"/>
      <c r="I28" s="131" t="n"/>
      <c r="J28" s="131" t="n"/>
      <c r="K28" s="131" t="n"/>
      <c r="L28" s="131" t="n"/>
      <c r="M28" s="131" t="n"/>
      <c r="N28" s="131" t="n"/>
      <c r="O28" s="131" t="n"/>
      <c r="P28" s="131" t="n"/>
      <c r="Q28" s="131" t="n"/>
      <c r="R28" s="131" t="n"/>
      <c r="S28" s="131" t="n"/>
      <c r="T28" s="131" t="n"/>
      <c r="U28" s="131" t="n"/>
      <c r="V28" s="131" t="n"/>
      <c r="W28" s="131" t="n"/>
      <c r="X28" s="131" t="n"/>
      <c r="Y28" s="131" t="n"/>
      <c r="Z28" s="131" t="n"/>
    </row>
    <row r="29" ht="12.75" customHeight="1" s="105">
      <c r="A29" s="157" t="inlineStr">
        <is>
          <t>Cashflow from Financing Activities</t>
        </is>
      </c>
      <c r="C29" s="158" t="n"/>
      <c r="F29" s="131" t="n"/>
      <c r="G29" s="131" t="n"/>
      <c r="H29" s="131" t="n"/>
      <c r="I29" s="131" t="n"/>
      <c r="J29" s="131" t="n"/>
      <c r="K29" s="131" t="n"/>
      <c r="L29" s="131" t="n"/>
      <c r="M29" s="131" t="n"/>
      <c r="N29" s="131" t="n"/>
      <c r="O29" s="131" t="n"/>
      <c r="P29" s="131" t="n"/>
      <c r="Q29" s="131" t="n"/>
      <c r="R29" s="131" t="n"/>
      <c r="S29" s="131" t="n"/>
      <c r="T29" s="131" t="n"/>
      <c r="U29" s="131" t="n"/>
      <c r="V29" s="131" t="n"/>
      <c r="W29" s="131" t="n"/>
      <c r="X29" s="131" t="n"/>
      <c r="Y29" s="131" t="n"/>
      <c r="Z29" s="131" t="n"/>
    </row>
    <row r="30" ht="12.75" customHeight="1" s="105">
      <c r="A30" s="157" t="n"/>
      <c r="B30" s="126" t="inlineStr">
        <is>
          <t>Less: Increse in Reserves</t>
        </is>
      </c>
      <c r="C30" s="158" t="n"/>
      <c r="F30" s="131" t="n"/>
      <c r="G30" s="131">
        <f>Reserves!G13-Reserves!F13</f>
        <v/>
      </c>
      <c r="H30" s="131">
        <f>Reserves!H13-Reserves!G13</f>
        <v/>
      </c>
      <c r="I30" s="131">
        <f>Reserves!I13-Reserves!H13</f>
        <v/>
      </c>
      <c r="J30" s="131">
        <f>Reserves!J13-Reserves!I13</f>
        <v/>
      </c>
      <c r="K30" s="131">
        <f>Reserves!K13-Reserves!J13</f>
        <v/>
      </c>
      <c r="L30" s="131">
        <f>Reserves!L13-Reserves!K13</f>
        <v/>
      </c>
      <c r="M30" s="131">
        <f>Reserves!M13-Reserves!L13</f>
        <v/>
      </c>
      <c r="N30" s="131">
        <f>Reserves!N13-Reserves!M13</f>
        <v/>
      </c>
      <c r="O30" s="131">
        <f>Reserves!O13-Reserves!N13</f>
        <v/>
      </c>
      <c r="P30" s="131" t="n"/>
      <c r="Q30" s="131" t="n"/>
      <c r="R30" s="131" t="n"/>
      <c r="S30" s="131" t="n"/>
      <c r="T30" s="131" t="n"/>
      <c r="U30" s="131" t="n"/>
      <c r="V30" s="131" t="n"/>
      <c r="W30" s="131" t="n"/>
      <c r="X30" s="131" t="n"/>
      <c r="Y30" s="131" t="n"/>
      <c r="Z30" s="131" t="n"/>
    </row>
    <row r="31" ht="12.75" customHeight="1" s="105">
      <c r="A31" s="157" t="n"/>
      <c r="B31" s="126" t="inlineStr">
        <is>
          <t>Add: Transitional Provision for Employee Benefits</t>
        </is>
      </c>
      <c r="C31" s="158" t="n"/>
      <c r="F31" s="131" t="n"/>
      <c r="G31" s="131">
        <f>'P&amp;L'!G55</f>
        <v/>
      </c>
      <c r="H31" s="131">
        <f>'P&amp;L'!H55</f>
        <v/>
      </c>
      <c r="I31" s="131">
        <f>'P&amp;L'!I55</f>
        <v/>
      </c>
      <c r="J31" s="131">
        <f>'P&amp;L'!J55</f>
        <v/>
      </c>
      <c r="K31" s="131">
        <f>'P&amp;L'!K55</f>
        <v/>
      </c>
      <c r="L31" s="131">
        <f>'P&amp;L'!L55</f>
        <v/>
      </c>
      <c r="M31" s="131">
        <f>'P&amp;L'!M55</f>
        <v/>
      </c>
      <c r="N31" s="131">
        <f>'P&amp;L'!N55</f>
        <v/>
      </c>
      <c r="O31" s="131">
        <f>'P&amp;L'!O55</f>
        <v/>
      </c>
      <c r="P31" s="131" t="n"/>
      <c r="Q31" s="131" t="n"/>
      <c r="R31" s="131" t="n"/>
      <c r="S31" s="131" t="n"/>
      <c r="T31" s="131" t="n"/>
      <c r="U31" s="131" t="n"/>
      <c r="V31" s="131" t="n"/>
      <c r="W31" s="131" t="n"/>
      <c r="X31" s="131" t="n"/>
      <c r="Y31" s="131" t="n"/>
      <c r="Z31" s="131" t="n"/>
    </row>
    <row r="32" ht="12.75" customHeight="1" s="105">
      <c r="A32" s="157" t="n"/>
      <c r="B32" s="126" t="inlineStr">
        <is>
          <t>Less: Appropriations</t>
        </is>
      </c>
      <c r="C32" s="158" t="n"/>
      <c r="F32" s="131" t="n"/>
      <c r="G32" s="131">
        <f>-'P&amp;L'!G64</f>
        <v/>
      </c>
      <c r="H32" s="131">
        <f>-'P&amp;L'!H64</f>
        <v/>
      </c>
      <c r="I32" s="131">
        <f>-'P&amp;L'!I64</f>
        <v/>
      </c>
      <c r="J32" s="131">
        <f>-'P&amp;L'!J64</f>
        <v/>
      </c>
      <c r="K32" s="131">
        <f>-'P&amp;L'!K64</f>
        <v/>
      </c>
      <c r="L32" s="131">
        <f>-'P&amp;L'!L64</f>
        <v/>
      </c>
      <c r="M32" s="131">
        <f>-'P&amp;L'!M64</f>
        <v/>
      </c>
      <c r="N32" s="131">
        <f>-'P&amp;L'!N64</f>
        <v/>
      </c>
      <c r="O32" s="131">
        <f>-'P&amp;L'!O64</f>
        <v/>
      </c>
      <c r="P32" s="131" t="n"/>
      <c r="Q32" s="131" t="n"/>
      <c r="R32" s="131" t="n"/>
      <c r="S32" s="131" t="n"/>
      <c r="T32" s="131" t="n"/>
      <c r="U32" s="131" t="n"/>
      <c r="V32" s="131" t="n"/>
      <c r="W32" s="131" t="n"/>
      <c r="X32" s="131" t="n"/>
      <c r="Y32" s="131" t="n"/>
      <c r="Z32" s="131" t="n"/>
    </row>
    <row r="33" ht="12.75" customHeight="1" s="105">
      <c r="A33" s="158" t="n"/>
      <c r="B33" s="126" t="inlineStr">
        <is>
          <t>Add: Increase in Rehab Fund</t>
        </is>
      </c>
      <c r="C33" s="158" t="n"/>
      <c r="F33" s="131" t="n"/>
      <c r="G33" s="131">
        <f>BS!G33-BS!F33</f>
        <v/>
      </c>
      <c r="H33" s="131">
        <f>BS!H33-BS!G33</f>
        <v/>
      </c>
      <c r="I33" s="131">
        <f>BS!I33-BS!H33</f>
        <v/>
      </c>
      <c r="J33" s="131">
        <f>BS!J33-BS!I33</f>
        <v/>
      </c>
      <c r="K33" s="131">
        <f>BS!K33-BS!J33</f>
        <v/>
      </c>
      <c r="L33" s="131">
        <f>BS!L33-BS!K33</f>
        <v/>
      </c>
      <c r="M33" s="131">
        <f>BS!M33-BS!L33</f>
        <v/>
      </c>
      <c r="N33" s="131">
        <f>BS!N33-BS!M33</f>
        <v/>
      </c>
      <c r="O33" s="131">
        <f>BS!O33-BS!N33</f>
        <v/>
      </c>
      <c r="P33" s="131" t="n"/>
      <c r="Q33" s="131" t="n"/>
      <c r="R33" s="131" t="n"/>
      <c r="S33" s="131" t="n"/>
      <c r="T33" s="131" t="n"/>
      <c r="U33" s="131" t="n"/>
      <c r="V33" s="131" t="n"/>
      <c r="W33" s="131" t="n"/>
      <c r="X33" s="131" t="n"/>
      <c r="Y33" s="131" t="n"/>
      <c r="Z33" s="131" t="n"/>
    </row>
    <row r="34" ht="12.75" customHeight="1" s="105">
      <c r="A34" s="158" t="n"/>
      <c r="B34" s="126" t="inlineStr">
        <is>
          <t>Add: Increase in Secured Loans</t>
        </is>
      </c>
      <c r="C34" s="158" t="n"/>
      <c r="F34" s="131" t="n"/>
      <c r="G34" s="131">
        <f>BS!G29-BS!F29</f>
        <v/>
      </c>
      <c r="H34" s="131">
        <f>BS!H29-BS!G29</f>
        <v/>
      </c>
      <c r="I34" s="131">
        <f>BS!I29-BS!H29</f>
        <v/>
      </c>
      <c r="J34" s="131">
        <f>BS!J29-BS!I29</f>
        <v/>
      </c>
      <c r="K34" s="131">
        <f>BS!K29-BS!J29</f>
        <v/>
      </c>
      <c r="L34" s="131">
        <f>BS!L29-BS!K29</f>
        <v/>
      </c>
      <c r="M34" s="131">
        <f>BS!M29-BS!L29</f>
        <v/>
      </c>
      <c r="N34" s="131">
        <f>BS!N29-BS!M29</f>
        <v/>
      </c>
      <c r="O34" s="131">
        <f>BS!O29-BS!N29</f>
        <v/>
      </c>
      <c r="P34" s="131" t="n"/>
      <c r="Q34" s="131" t="n"/>
      <c r="R34" s="131" t="n"/>
      <c r="S34" s="131" t="n"/>
      <c r="T34" s="131" t="n"/>
      <c r="U34" s="131" t="n"/>
      <c r="V34" s="131" t="n"/>
      <c r="W34" s="131" t="n"/>
      <c r="X34" s="131" t="n"/>
      <c r="Y34" s="131" t="n"/>
      <c r="Z34" s="131" t="n"/>
    </row>
    <row r="35" ht="12.75" customHeight="1" s="105">
      <c r="A35" s="158" t="n"/>
      <c r="B35" s="126" t="inlineStr">
        <is>
          <t>Add: Increase in Unsecured Loans</t>
        </is>
      </c>
      <c r="C35" s="158" t="n"/>
      <c r="F35" s="131" t="n"/>
      <c r="G35" s="131">
        <f>BS!G30-BS!F30</f>
        <v/>
      </c>
      <c r="H35" s="131">
        <f>BS!H30-BS!G30</f>
        <v/>
      </c>
      <c r="I35" s="131">
        <f>BS!I30-BS!H30</f>
        <v/>
      </c>
      <c r="J35" s="131">
        <f>BS!J30-BS!I30</f>
        <v/>
      </c>
      <c r="K35" s="131">
        <f>BS!K30-BS!J30</f>
        <v/>
      </c>
      <c r="L35" s="131">
        <f>BS!L30-BS!K30</f>
        <v/>
      </c>
      <c r="M35" s="131">
        <f>BS!M30-BS!L30</f>
        <v/>
      </c>
      <c r="N35" s="131">
        <f>BS!N30-BS!M30</f>
        <v/>
      </c>
      <c r="O35" s="131">
        <f>BS!O30-BS!N30</f>
        <v/>
      </c>
      <c r="P35" s="131" t="n"/>
      <c r="Q35" s="131" t="n"/>
      <c r="R35" s="131" t="n"/>
      <c r="S35" s="131" t="n"/>
      <c r="T35" s="131" t="n"/>
      <c r="U35" s="131" t="n"/>
      <c r="V35" s="131" t="n"/>
      <c r="W35" s="131" t="n"/>
      <c r="X35" s="131" t="n"/>
      <c r="Y35" s="131" t="n"/>
      <c r="Z35" s="131" t="n"/>
    </row>
    <row r="36" ht="12.75" customHeight="1" s="105">
      <c r="A36" s="158" t="n"/>
      <c r="B36" s="126" t="inlineStr">
        <is>
          <t>Add: Increase in Share Capital</t>
        </is>
      </c>
      <c r="C36" s="158" t="n"/>
      <c r="F36" s="131" t="n"/>
      <c r="G36" s="131">
        <f>BS!G39-BS!F39</f>
        <v/>
      </c>
      <c r="H36" s="131">
        <f>BS!H39-BS!G39</f>
        <v/>
      </c>
      <c r="I36" s="131">
        <f>BS!I39-BS!H39</f>
        <v/>
      </c>
      <c r="J36" s="131">
        <f>BS!J39-BS!I39</f>
        <v/>
      </c>
      <c r="K36" s="131">
        <f>BS!K39-BS!J39</f>
        <v/>
      </c>
      <c r="L36" s="131">
        <f>BS!L39-BS!K39</f>
        <v/>
      </c>
      <c r="M36" s="131">
        <f>BS!M39-BS!L39</f>
        <v/>
      </c>
      <c r="N36" s="131">
        <f>BS!N39-BS!M39</f>
        <v/>
      </c>
      <c r="O36" s="131">
        <f>BS!O39-BS!N39</f>
        <v/>
      </c>
      <c r="P36" s="131" t="n"/>
      <c r="Q36" s="131" t="n"/>
      <c r="R36" s="131" t="n"/>
      <c r="S36" s="131" t="n"/>
      <c r="T36" s="131" t="n"/>
      <c r="U36" s="131" t="n"/>
      <c r="V36" s="131" t="n"/>
      <c r="W36" s="131" t="n"/>
      <c r="X36" s="131" t="n"/>
      <c r="Y36" s="131" t="n"/>
      <c r="Z36" s="131" t="n"/>
    </row>
    <row r="37" ht="12.75" customFormat="1" customHeight="1" s="130">
      <c r="A37" s="157" t="n"/>
      <c r="B37" s="159" t="n"/>
      <c r="C37" s="160" t="inlineStr">
        <is>
          <t>Net Cashflow from Financing Activities</t>
        </is>
      </c>
      <c r="D37" s="161" t="n"/>
      <c r="E37" s="161" t="n"/>
      <c r="F37" s="162" t="n"/>
      <c r="G37" s="162">
        <f>SUM(G30:G36)</f>
        <v/>
      </c>
      <c r="H37" s="162">
        <f>SUM(H30:H36)</f>
        <v/>
      </c>
      <c r="I37" s="162">
        <f>SUM(I30:I36)</f>
        <v/>
      </c>
      <c r="J37" s="162">
        <f>SUM(J30:J36)</f>
        <v/>
      </c>
      <c r="K37" s="162">
        <f>SUM(K30:K36)</f>
        <v/>
      </c>
      <c r="L37" s="162">
        <f>SUM(L30:L36)</f>
        <v/>
      </c>
      <c r="M37" s="162">
        <f>SUM(M30:M36)</f>
        <v/>
      </c>
      <c r="N37" s="162">
        <f>SUM(N30:N36)</f>
        <v/>
      </c>
      <c r="O37" s="162">
        <f>SUM(O30:O36)</f>
        <v/>
      </c>
      <c r="P37" s="140" t="n"/>
      <c r="Q37" s="140" t="n"/>
      <c r="R37" s="140" t="n"/>
      <c r="S37" s="140" t="n"/>
      <c r="T37" s="140" t="n"/>
      <c r="U37" s="140" t="n"/>
      <c r="V37" s="140" t="n"/>
      <c r="W37" s="140" t="n"/>
      <c r="X37" s="140" t="n"/>
      <c r="Y37" s="140" t="n"/>
      <c r="Z37" s="140" t="n"/>
    </row>
    <row r="38" ht="13.5" customHeight="1" s="105">
      <c r="A38" s="158" t="n"/>
      <c r="C38" s="158" t="n"/>
      <c r="F38" s="131" t="n"/>
      <c r="G38" s="131" t="n"/>
      <c r="H38" s="131" t="n"/>
      <c r="I38" s="131" t="n"/>
      <c r="J38" s="131" t="n"/>
      <c r="K38" s="131" t="n"/>
      <c r="L38" s="131" t="n"/>
      <c r="M38" s="131" t="n"/>
      <c r="N38" s="131" t="n"/>
      <c r="O38" s="131" t="n"/>
      <c r="P38" s="131" t="n"/>
      <c r="Q38" s="131" t="n"/>
      <c r="R38" s="131" t="n"/>
      <c r="S38" s="131" t="n"/>
      <c r="T38" s="131" t="n"/>
      <c r="U38" s="131" t="n"/>
      <c r="V38" s="131" t="n"/>
      <c r="W38" s="131" t="n"/>
      <c r="X38" s="131" t="n"/>
      <c r="Y38" s="131" t="n"/>
      <c r="Z38" s="131" t="n"/>
    </row>
    <row r="39" ht="14.25" customHeight="1" s="105">
      <c r="A39" s="163" t="inlineStr">
        <is>
          <t>Net Change in Cash</t>
        </is>
      </c>
      <c r="B39" s="164" t="n"/>
      <c r="C39" s="165" t="n"/>
      <c r="D39" s="164" t="n"/>
      <c r="E39" s="164" t="n"/>
      <c r="F39" s="166" t="n"/>
      <c r="G39" s="167">
        <f>G37+G27+G18</f>
        <v/>
      </c>
      <c r="H39" s="167">
        <f>H37+H27+H18</f>
        <v/>
      </c>
      <c r="I39" s="167">
        <f>I37+I27+I18</f>
        <v/>
      </c>
      <c r="J39" s="167">
        <f>J37+J27+J18</f>
        <v/>
      </c>
      <c r="K39" s="167">
        <f>K37+K27+K18</f>
        <v/>
      </c>
      <c r="L39" s="167">
        <f>L37+L27+L18</f>
        <v/>
      </c>
      <c r="M39" s="167">
        <f>M37+M27+M18</f>
        <v/>
      </c>
      <c r="N39" s="167">
        <f>N37+N27+N18</f>
        <v/>
      </c>
      <c r="O39" s="167">
        <f>O37+O27+O18</f>
        <v/>
      </c>
      <c r="P39" s="131" t="n"/>
      <c r="Q39" s="131" t="n"/>
      <c r="R39" s="131" t="n"/>
      <c r="S39" s="131" t="n"/>
      <c r="T39" s="131" t="n"/>
      <c r="U39" s="131" t="n"/>
      <c r="V39" s="131" t="n"/>
      <c r="W39" s="131" t="n"/>
      <c r="X39" s="131" t="n"/>
      <c r="Y39" s="131" t="n"/>
      <c r="Z39" s="131" t="n"/>
    </row>
    <row r="40" ht="13.5" customHeight="1" s="105">
      <c r="A40" s="158" t="n"/>
      <c r="C40" s="158" t="n"/>
      <c r="F40" s="131" t="n"/>
      <c r="G40" s="131" t="n"/>
      <c r="H40" s="131" t="n"/>
      <c r="I40" s="131" t="n"/>
      <c r="J40" s="131" t="n"/>
      <c r="K40" s="131" t="n"/>
      <c r="L40" s="131" t="n"/>
      <c r="M40" s="131" t="n"/>
      <c r="N40" s="131" t="n"/>
      <c r="O40" s="131" t="n"/>
      <c r="P40" s="131" t="n"/>
      <c r="Q40" s="131" t="n"/>
      <c r="R40" s="131" t="n"/>
      <c r="S40" s="131" t="n"/>
      <c r="T40" s="131" t="n"/>
      <c r="U40" s="131" t="n"/>
      <c r="V40" s="131" t="n"/>
      <c r="W40" s="131" t="n"/>
      <c r="X40" s="131" t="n"/>
      <c r="Y40" s="131" t="n"/>
      <c r="Z40" s="131" t="n"/>
    </row>
    <row r="41" ht="12.75" customHeight="1" s="105">
      <c r="A41" s="158" t="n"/>
      <c r="B41" s="130" t="inlineStr">
        <is>
          <t>Cash Balance</t>
        </is>
      </c>
      <c r="C41" s="158" t="n"/>
      <c r="F41" s="131" t="n"/>
      <c r="G41" s="131" t="n"/>
      <c r="H41" s="131" t="n"/>
      <c r="I41" s="131" t="n"/>
      <c r="J41" s="131" t="n"/>
      <c r="K41" s="131" t="n"/>
      <c r="L41" s="131" t="n"/>
      <c r="M41" s="131" t="n"/>
      <c r="N41" s="131" t="n"/>
      <c r="O41" s="131" t="n"/>
      <c r="P41" s="131" t="n"/>
      <c r="Q41" s="131" t="n"/>
      <c r="R41" s="131" t="n"/>
      <c r="S41" s="131" t="n"/>
      <c r="T41" s="131" t="n"/>
      <c r="U41" s="131" t="n"/>
      <c r="V41" s="131" t="n"/>
      <c r="W41" s="131" t="n"/>
      <c r="X41" s="131" t="n"/>
      <c r="Y41" s="131" t="n"/>
      <c r="Z41" s="131" t="n"/>
    </row>
    <row r="42" ht="12.75" customHeight="1" s="105">
      <c r="A42" s="158" t="n"/>
      <c r="C42" s="158" t="inlineStr">
        <is>
          <t>Opening Cash Balance</t>
        </is>
      </c>
      <c r="F42" s="131" t="n"/>
      <c r="G42" s="131">
        <f>BS!F22</f>
        <v/>
      </c>
      <c r="H42" s="131">
        <f>G44</f>
        <v/>
      </c>
      <c r="I42" s="131">
        <f>H44</f>
        <v/>
      </c>
      <c r="J42" s="131">
        <f>I44</f>
        <v/>
      </c>
      <c r="K42" s="131">
        <f>J44</f>
        <v/>
      </c>
      <c r="L42" s="131">
        <f>K44</f>
        <v/>
      </c>
      <c r="M42" s="131">
        <f>L44</f>
        <v/>
      </c>
      <c r="N42" s="131">
        <f>M44</f>
        <v/>
      </c>
      <c r="O42" s="131">
        <f>N44</f>
        <v/>
      </c>
      <c r="P42" s="131" t="n"/>
      <c r="Q42" s="131" t="n"/>
      <c r="R42" s="131" t="n"/>
      <c r="S42" s="131" t="n"/>
      <c r="T42" s="131" t="n"/>
      <c r="U42" s="131" t="n"/>
      <c r="V42" s="131" t="n"/>
      <c r="W42" s="131" t="n"/>
      <c r="X42" s="131" t="n"/>
      <c r="Y42" s="131" t="n"/>
      <c r="Z42" s="131" t="n"/>
    </row>
    <row r="43" ht="12.75" customHeight="1" s="105">
      <c r="A43" s="158" t="n"/>
      <c r="B43" s="168" t="n"/>
      <c r="C43" s="169" t="inlineStr">
        <is>
          <t>Net Cashflow</t>
        </is>
      </c>
      <c r="F43" s="131" t="n"/>
      <c r="G43" s="131">
        <f>G39</f>
        <v/>
      </c>
      <c r="H43" s="131">
        <f>H39</f>
        <v/>
      </c>
      <c r="I43" s="131">
        <f>I39</f>
        <v/>
      </c>
      <c r="J43" s="131">
        <f>J39</f>
        <v/>
      </c>
      <c r="K43" s="131">
        <f>K39</f>
        <v/>
      </c>
      <c r="L43" s="131">
        <f>L39</f>
        <v/>
      </c>
      <c r="M43" s="131">
        <f>M39</f>
        <v/>
      </c>
      <c r="N43" s="131">
        <f>N39</f>
        <v/>
      </c>
      <c r="O43" s="131">
        <f>O39</f>
        <v/>
      </c>
      <c r="P43" s="131" t="n"/>
      <c r="Q43" s="131" t="n"/>
      <c r="R43" s="131" t="n"/>
      <c r="S43" s="131" t="n"/>
      <c r="T43" s="131" t="n"/>
      <c r="U43" s="131" t="n"/>
      <c r="V43" s="131" t="n"/>
      <c r="W43" s="131" t="n"/>
      <c r="X43" s="131" t="n"/>
      <c r="Y43" s="131" t="n"/>
      <c r="Z43" s="131" t="n"/>
    </row>
    <row r="44" ht="12.75" customFormat="1" customHeight="1" s="130">
      <c r="A44" s="157" t="n"/>
      <c r="B44" s="130" t="n"/>
      <c r="C44" s="157" t="inlineStr">
        <is>
          <t>Closing Cash Balance</t>
        </is>
      </c>
      <c r="D44" s="126" t="n"/>
      <c r="E44" s="126" t="n"/>
      <c r="F44" s="140" t="n"/>
      <c r="G44" s="140">
        <f>G43+G42</f>
        <v/>
      </c>
      <c r="H44" s="140">
        <f>H43+H42</f>
        <v/>
      </c>
      <c r="I44" s="140">
        <f>I43+I42</f>
        <v/>
      </c>
      <c r="J44" s="140">
        <f>J43+J42</f>
        <v/>
      </c>
      <c r="K44" s="140">
        <f>K43+K42</f>
        <v/>
      </c>
      <c r="L44" s="140">
        <f>L43+L42</f>
        <v/>
      </c>
      <c r="M44" s="140">
        <f>M43+M42</f>
        <v/>
      </c>
      <c r="N44" s="140">
        <f>N43+N42</f>
        <v/>
      </c>
      <c r="O44" s="140">
        <f>O43+O42</f>
        <v/>
      </c>
      <c r="P44" s="140" t="n"/>
      <c r="Q44" s="140" t="n"/>
      <c r="R44" s="140" t="n"/>
      <c r="S44" s="140" t="n"/>
      <c r="T44" s="140" t="n"/>
      <c r="U44" s="140" t="n"/>
      <c r="V44" s="140" t="n"/>
      <c r="W44" s="140" t="n"/>
      <c r="X44" s="140" t="n"/>
      <c r="Y44" s="140" t="n"/>
      <c r="Z44" s="140" t="n"/>
    </row>
    <row r="46" ht="12.75" customHeight="1" s="105">
      <c r="A46" s="130" t="inlineStr">
        <is>
          <t>Cash Balance in Balance Sheet</t>
        </is>
      </c>
      <c r="B46" s="130" t="n"/>
      <c r="C46" s="130" t="n"/>
      <c r="D46" s="130" t="n"/>
      <c r="E46" s="130" t="n"/>
      <c r="F46" s="140">
        <f>BS!F22</f>
        <v/>
      </c>
      <c r="G46" s="140">
        <f>BS!G22</f>
        <v/>
      </c>
      <c r="H46" s="140">
        <f>BS!H22</f>
        <v/>
      </c>
      <c r="I46" s="140">
        <f>BS!I22</f>
        <v/>
      </c>
      <c r="J46" s="140">
        <f>BS!J22</f>
        <v/>
      </c>
      <c r="K46" s="140">
        <f>BS!K22</f>
        <v/>
      </c>
      <c r="L46" s="140">
        <f>BS!L22</f>
        <v/>
      </c>
      <c r="M46" s="140">
        <f>BS!M22</f>
        <v/>
      </c>
      <c r="N46" s="140">
        <f>BS!N22</f>
        <v/>
      </c>
      <c r="O46" s="140">
        <f>BS!O22</f>
        <v/>
      </c>
    </row>
    <row r="48" ht="12.75" customHeight="1" s="105">
      <c r="G48" s="126">
        <f>ABS(G44-G46)&lt;1</f>
        <v/>
      </c>
      <c r="H48" s="126">
        <f>ABS(H44-H46)&lt;1</f>
        <v/>
      </c>
      <c r="I48" s="126">
        <f>ABS(I44-I46)&lt;1</f>
        <v/>
      </c>
      <c r="J48" s="126">
        <f>ABS(J44-J46)&lt;1</f>
        <v/>
      </c>
      <c r="K48" s="126">
        <f>ABS(K44-K46)&lt;1</f>
        <v/>
      </c>
      <c r="L48" s="126">
        <f>ABS(L44-L46)&lt;1</f>
        <v/>
      </c>
      <c r="M48" s="126">
        <f>ABS(M44-M46)&lt;1</f>
        <v/>
      </c>
      <c r="N48" s="126">
        <f>ABS(N44-N46)&lt;1</f>
        <v/>
      </c>
      <c r="O48" s="126">
        <f>ABS(O44-O46)&lt;1</f>
        <v/>
      </c>
    </row>
    <row r="50" ht="12.75" customHeight="1" s="105">
      <c r="G50" s="170" t="n"/>
      <c r="H50" s="170" t="n"/>
      <c r="I50" s="170" t="n"/>
      <c r="J50" s="170" t="n"/>
      <c r="K50" s="170" t="n"/>
      <c r="L50" s="170" t="n"/>
      <c r="M50" s="170" t="n"/>
      <c r="N50" s="170" t="n"/>
      <c r="O50" s="170" t="n"/>
    </row>
    <row r="52" ht="12.75" customHeight="1" s="105">
      <c r="G52" s="150" t="n"/>
      <c r="H52" s="150" t="n"/>
      <c r="I52" s="150" t="n"/>
      <c r="J52" s="150" t="n"/>
      <c r="K52" s="150" t="n"/>
      <c r="L52" s="150" t="n"/>
      <c r="M52" s="150" t="n"/>
      <c r="N52" s="150" t="n"/>
      <c r="O52" s="150"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O40"/>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27" activeCellId="0" sqref="G27"/>
    </sheetView>
  </sheetViews>
  <sheetFormatPr baseColWidth="8" defaultColWidth="9.13671875" defaultRowHeight="12.75" zeroHeight="0" outlineLevelRow="0"/>
  <cols>
    <col width="3.7" customWidth="1" style="126" min="1" max="2"/>
    <col width="40.66" customWidth="1" style="126" min="3" max="3"/>
    <col width="6.69" customWidth="1" style="126" min="4" max="5"/>
    <col width="10.69" customWidth="1" style="126" min="6" max="26"/>
    <col width="9.130000000000001" customWidth="1" style="126" min="27" max="257"/>
  </cols>
  <sheetData>
    <row r="1" ht="12.75" customHeight="1" s="105">
      <c r="A1" s="130" t="inlineStr">
        <is>
          <t>Reserves</t>
        </is>
      </c>
    </row>
    <row r="4" ht="12.75" customHeight="1" s="105">
      <c r="A4" s="128" t="inlineStr">
        <is>
          <t>(Unless otherwise specified, all financials are in INR Million)</t>
        </is>
      </c>
      <c r="F4" s="136">
        <f>BS!F4</f>
        <v/>
      </c>
      <c r="G4" s="136">
        <f>BS!G4</f>
        <v/>
      </c>
      <c r="H4" s="136">
        <f>BS!H4</f>
        <v/>
      </c>
      <c r="I4" s="136">
        <f>BS!I4</f>
        <v/>
      </c>
      <c r="J4" s="136">
        <f>BS!J4</f>
        <v/>
      </c>
      <c r="K4" s="136">
        <f>BS!K4</f>
        <v/>
      </c>
      <c r="L4" s="136">
        <f>BS!L4</f>
        <v/>
      </c>
      <c r="M4" s="136">
        <f>BS!M4</f>
        <v/>
      </c>
      <c r="N4" s="136">
        <f>BS!N4</f>
        <v/>
      </c>
      <c r="O4" s="136">
        <f>BS!O4</f>
        <v/>
      </c>
    </row>
    <row r="6" ht="12.75" customHeight="1" s="105">
      <c r="A6" s="130" t="inlineStr">
        <is>
          <t>Share Capital</t>
        </is>
      </c>
      <c r="F6" s="138" t="n">
        <v>63163.64</v>
      </c>
      <c r="G6" s="138" t="n">
        <v>63163.64</v>
      </c>
      <c r="H6" s="138" t="n">
        <v>63163.64</v>
      </c>
      <c r="I6" s="138" t="n">
        <v>63163.64</v>
      </c>
      <c r="J6" s="138" t="n">
        <v>63163.64</v>
      </c>
      <c r="K6" s="138" t="n">
        <v>63163.64</v>
      </c>
      <c r="L6" s="138" t="n">
        <v>63163.64</v>
      </c>
      <c r="M6" s="138" t="n">
        <v>63163.64</v>
      </c>
      <c r="N6" s="138" t="n">
        <v>63163.64</v>
      </c>
      <c r="O6" s="138" t="n">
        <v>63163.64</v>
      </c>
    </row>
    <row r="7" ht="12.75" customHeight="1" s="105">
      <c r="B7" s="130" t="inlineStr">
        <is>
          <t>Reserves</t>
        </is>
      </c>
    </row>
    <row r="8" ht="12.75" customHeight="1" s="105">
      <c r="C8" s="126" t="inlineStr">
        <is>
          <t>Capital Reserves</t>
        </is>
      </c>
      <c r="F8" s="138" t="n">
        <v>165.84</v>
      </c>
      <c r="G8" s="138" t="n">
        <v>161.51</v>
      </c>
      <c r="H8" s="138" t="n">
        <v>157.23</v>
      </c>
      <c r="I8" s="138" t="n">
        <v>151.79</v>
      </c>
      <c r="J8" s="138" t="n">
        <v>104.41</v>
      </c>
      <c r="K8" s="150">
        <f>J8</f>
        <v/>
      </c>
      <c r="L8" s="150">
        <f>K8</f>
        <v/>
      </c>
      <c r="M8" s="150">
        <f>L8</f>
        <v/>
      </c>
      <c r="N8" s="150">
        <f>M8</f>
        <v/>
      </c>
      <c r="O8" s="150">
        <f>N8</f>
        <v/>
      </c>
    </row>
    <row r="9" ht="12.75" customHeight="1" s="105">
      <c r="C9" s="126" t="inlineStr">
        <is>
          <t>Capital Redemption Reserves</t>
        </is>
      </c>
      <c r="F9" s="138" t="n">
        <v>18083.6</v>
      </c>
      <c r="G9" s="138" t="n">
        <v>18083.6</v>
      </c>
      <c r="H9" s="138" t="n">
        <v>18083.6</v>
      </c>
      <c r="I9" s="138" t="n">
        <v>18083.6</v>
      </c>
      <c r="J9" s="138" t="n">
        <v>18083.6</v>
      </c>
      <c r="K9" s="150">
        <f>J9</f>
        <v/>
      </c>
      <c r="L9" s="150">
        <f>K9</f>
        <v/>
      </c>
      <c r="M9" s="150">
        <f>L9</f>
        <v/>
      </c>
      <c r="N9" s="150">
        <f>M9</f>
        <v/>
      </c>
      <c r="O9" s="150">
        <f>N9</f>
        <v/>
      </c>
    </row>
    <row r="10" ht="12.75" customHeight="1" s="105">
      <c r="C10" s="126" t="inlineStr">
        <is>
          <t>Reserve for Foreign Exchange Transactions</t>
        </is>
      </c>
      <c r="F10" s="138" t="n">
        <v>911.59</v>
      </c>
      <c r="G10" s="131">
        <f>F10+'P&amp;L'!G59</f>
        <v/>
      </c>
      <c r="H10" s="131">
        <f>G10+'P&amp;L'!H59</f>
        <v/>
      </c>
      <c r="I10" s="131">
        <f>H10+'P&amp;L'!I59</f>
        <v/>
      </c>
      <c r="J10" s="131">
        <f>I10+'P&amp;L'!J59</f>
        <v/>
      </c>
      <c r="K10" s="131">
        <f>J10+'P&amp;L'!K59</f>
        <v/>
      </c>
      <c r="L10" s="131">
        <f>K10+'P&amp;L'!L59</f>
        <v/>
      </c>
      <c r="M10" s="131">
        <f>L10+'P&amp;L'!M59</f>
        <v/>
      </c>
      <c r="N10" s="131">
        <f>M10+'P&amp;L'!N59</f>
        <v/>
      </c>
      <c r="O10" s="131">
        <f>N10+'P&amp;L'!O59</f>
        <v/>
      </c>
    </row>
    <row r="11" ht="12.75" customHeight="1" s="105">
      <c r="C11" s="126" t="inlineStr">
        <is>
          <t>CSR Reserve</t>
        </is>
      </c>
      <c r="F11" s="138" t="n">
        <v>0</v>
      </c>
      <c r="G11" s="138" t="n">
        <v>0</v>
      </c>
      <c r="H11" s="138" t="n">
        <v>0</v>
      </c>
      <c r="I11" s="138" t="n">
        <v>0</v>
      </c>
      <c r="J11" s="138" t="n">
        <v>1519.06</v>
      </c>
      <c r="K11" s="131">
        <f>J11+'P&amp;L'!K61</f>
        <v/>
      </c>
      <c r="L11" s="131">
        <f>K11+'P&amp;L'!L61</f>
        <v/>
      </c>
      <c r="M11" s="131">
        <f>L11+'P&amp;L'!M61</f>
        <v/>
      </c>
      <c r="N11" s="131">
        <f>M11+'P&amp;L'!N61</f>
        <v/>
      </c>
      <c r="O11" s="131">
        <f>N11+'P&amp;L'!O61</f>
        <v/>
      </c>
    </row>
    <row r="12" ht="12.75" customHeight="1" s="105">
      <c r="C12" s="126" t="inlineStr">
        <is>
          <t>General Reserve (Including Bond Redemption Reserve)</t>
        </is>
      </c>
      <c r="F12" s="138" t="n">
        <v>41888.05</v>
      </c>
      <c r="G12" s="138" t="n">
        <v>48684.97</v>
      </c>
      <c r="H12" s="138" t="n">
        <v>57397.45</v>
      </c>
      <c r="I12" s="138" t="n">
        <v>66736.3</v>
      </c>
      <c r="J12" s="138" t="n">
        <v>79480.39</v>
      </c>
      <c r="K12" s="150">
        <f>J12+'P&amp;L'!K60</f>
        <v/>
      </c>
      <c r="L12" s="150">
        <f>K12+'P&amp;L'!L60</f>
        <v/>
      </c>
      <c r="M12" s="150">
        <f>L12+'P&amp;L'!M60</f>
        <v/>
      </c>
      <c r="N12" s="150">
        <f>M12+'P&amp;L'!N60</f>
        <v/>
      </c>
      <c r="O12" s="150">
        <f>N12+'P&amp;L'!O60</f>
        <v/>
      </c>
    </row>
    <row r="13" ht="12.75" customFormat="1" customHeight="1" s="130">
      <c r="A13" s="171" t="n"/>
      <c r="B13" s="171" t="n"/>
      <c r="C13" s="171" t="inlineStr">
        <is>
          <t>Total Reserves</t>
        </is>
      </c>
      <c r="D13" s="171" t="n"/>
      <c r="E13" s="171" t="n"/>
      <c r="F13" s="172">
        <f>SUM(F8:F12)</f>
        <v/>
      </c>
      <c r="G13" s="172">
        <f>SUM(G8:G12)</f>
        <v/>
      </c>
      <c r="H13" s="172">
        <f>SUM(H8:H12)</f>
        <v/>
      </c>
      <c r="I13" s="172">
        <f>SUM(I8:I12)</f>
        <v/>
      </c>
      <c r="J13" s="172">
        <f>SUM(J8:J12)</f>
        <v/>
      </c>
      <c r="K13" s="172">
        <f>SUM(K8:K12)</f>
        <v/>
      </c>
      <c r="L13" s="172">
        <f>SUM(L8:L12)</f>
        <v/>
      </c>
      <c r="M13" s="172">
        <f>SUM(M8:M12)</f>
        <v/>
      </c>
      <c r="N13" s="172">
        <f>SUM(N8:N12)</f>
        <v/>
      </c>
      <c r="O13" s="172">
        <f>SUM(O8:O12)</f>
        <v/>
      </c>
    </row>
    <row r="14" ht="12.75" customFormat="1" customHeight="1" s="130">
      <c r="F14" s="140" t="n"/>
      <c r="G14" s="140" t="n"/>
      <c r="H14" s="140" t="n"/>
      <c r="I14" s="140" t="n"/>
      <c r="J14" s="140" t="n"/>
    </row>
    <row r="15" ht="12.75" customHeight="1" s="105">
      <c r="C15" s="126" t="inlineStr">
        <is>
          <t>Balance Carried Forward</t>
        </is>
      </c>
      <c r="F15" s="131">
        <f>'P&amp;L'!F66</f>
        <v/>
      </c>
      <c r="G15" s="131">
        <f>'P&amp;L'!G66</f>
        <v/>
      </c>
      <c r="H15" s="131">
        <f>'P&amp;L'!H66</f>
        <v/>
      </c>
      <c r="I15" s="131">
        <f>'P&amp;L'!I66</f>
        <v/>
      </c>
      <c r="J15" s="131">
        <f>'P&amp;L'!J66</f>
        <v/>
      </c>
      <c r="K15" s="131">
        <f>'P&amp;L'!K66</f>
        <v/>
      </c>
      <c r="L15" s="131">
        <f>'P&amp;L'!L66</f>
        <v/>
      </c>
      <c r="M15" s="131">
        <f>'P&amp;L'!M66</f>
        <v/>
      </c>
      <c r="N15" s="131">
        <f>'P&amp;L'!N66</f>
        <v/>
      </c>
      <c r="O15" s="131">
        <f>'P&amp;L'!O66</f>
        <v/>
      </c>
    </row>
    <row r="16" ht="13.5" customFormat="1" customHeight="1" s="130">
      <c r="A16" s="173" t="inlineStr">
        <is>
          <t>Total Reserve and Surplus</t>
        </is>
      </c>
      <c r="B16" s="173" t="n"/>
      <c r="C16" s="173" t="n"/>
      <c r="D16" s="173" t="n"/>
      <c r="E16" s="173" t="n"/>
      <c r="F16" s="174">
        <f>F13+F15</f>
        <v/>
      </c>
      <c r="G16" s="174">
        <f>G13+G15</f>
        <v/>
      </c>
      <c r="H16" s="174">
        <f>H13+H15</f>
        <v/>
      </c>
      <c r="I16" s="174">
        <f>I13+I15</f>
        <v/>
      </c>
      <c r="J16" s="174">
        <f>J13+J15</f>
        <v/>
      </c>
      <c r="K16" s="174">
        <f>K13+K15</f>
        <v/>
      </c>
      <c r="L16" s="174">
        <f>L13+L15</f>
        <v/>
      </c>
      <c r="M16" s="174">
        <f>M13+M15</f>
        <v/>
      </c>
      <c r="N16" s="174">
        <f>N13+N15</f>
        <v/>
      </c>
      <c r="O16" s="174">
        <f>O13+O15</f>
        <v/>
      </c>
    </row>
    <row r="17" ht="13.5" customHeight="1" s="105">
      <c r="B17" s="126" t="inlineStr">
        <is>
          <t>Less: Miscellaneous Expenditure(Not written off)</t>
        </is>
      </c>
      <c r="F17" s="131" t="n">
        <v>0</v>
      </c>
      <c r="G17" s="131" t="n">
        <v>0</v>
      </c>
      <c r="H17" s="131" t="n">
        <v>0</v>
      </c>
      <c r="I17" s="131" t="n">
        <v>0.24</v>
      </c>
      <c r="J17" s="131" t="n">
        <v>15.35</v>
      </c>
      <c r="K17" s="131" t="n">
        <v>0</v>
      </c>
      <c r="L17" s="131" t="n">
        <v>0</v>
      </c>
      <c r="M17" s="131" t="n">
        <v>0</v>
      </c>
      <c r="N17" s="131" t="n">
        <v>0</v>
      </c>
      <c r="O17" s="131" t="n">
        <v>0</v>
      </c>
    </row>
    <row r="18" ht="12.75" customHeight="1" s="105">
      <c r="A18" s="126" t="n"/>
      <c r="B18" s="126" t="n"/>
    </row>
    <row r="19" ht="13.5" customHeight="1" s="105">
      <c r="A19" s="173" t="inlineStr">
        <is>
          <t>Net Worth</t>
        </is>
      </c>
      <c r="B19" s="173" t="n"/>
      <c r="C19" s="173" t="n"/>
      <c r="D19" s="173" t="n"/>
      <c r="E19" s="173" t="n"/>
      <c r="F19" s="174">
        <f>F6+F16-F17</f>
        <v/>
      </c>
      <c r="G19" s="174">
        <f>G6+G16-G17</f>
        <v/>
      </c>
      <c r="H19" s="174">
        <f>H6+H16-H17</f>
        <v/>
      </c>
      <c r="I19" s="174">
        <f>I6+I16-I17</f>
        <v/>
      </c>
      <c r="J19" s="174">
        <f>J6+J16-J17</f>
        <v/>
      </c>
      <c r="K19" s="174">
        <f>K6+K16-K17</f>
        <v/>
      </c>
      <c r="L19" s="174">
        <f>L6+L16-L17</f>
        <v/>
      </c>
      <c r="M19" s="174">
        <f>M6+M16-M17</f>
        <v/>
      </c>
      <c r="N19" s="174">
        <f>N6+N16-N17</f>
        <v/>
      </c>
      <c r="O19" s="174">
        <f>O6+O16-O17</f>
        <v/>
      </c>
    </row>
    <row r="20" ht="13.5" customHeight="1" s="105"/>
    <row r="21" ht="12.75" customHeight="1" s="105">
      <c r="G21" s="150" t="n"/>
      <c r="H21" s="150" t="n"/>
      <c r="I21" s="150" t="n"/>
      <c r="J21" s="150" t="n"/>
      <c r="K21" s="150" t="n"/>
      <c r="L21" s="150" t="n"/>
      <c r="M21" s="150" t="n"/>
      <c r="N21" s="150" t="n"/>
      <c r="O21" s="150" t="n"/>
    </row>
    <row r="22" ht="12.75" customHeight="1" s="105">
      <c r="G22" s="150" t="n"/>
      <c r="H22" s="150" t="n"/>
      <c r="I22" s="150" t="n"/>
      <c r="J22" s="150" t="n"/>
      <c r="K22" s="150" t="n"/>
      <c r="L22" s="150" t="n"/>
      <c r="M22" s="150" t="n"/>
      <c r="N22" s="150" t="n"/>
      <c r="O22" s="150" t="n"/>
    </row>
    <row r="23" ht="12.75" customHeight="1" s="105">
      <c r="G23" s="150" t="n"/>
      <c r="H23" s="150" t="n"/>
      <c r="I23" s="150" t="n"/>
      <c r="J23" s="150" t="n"/>
      <c r="K23" s="150" t="n"/>
      <c r="L23" s="150" t="n"/>
      <c r="M23" s="150" t="n"/>
      <c r="N23" s="150" t="n"/>
      <c r="O23" s="150" t="n"/>
    </row>
    <row r="26" ht="12.75" customHeight="1" s="105">
      <c r="G26" s="150" t="n"/>
      <c r="H26" s="150" t="n"/>
      <c r="I26" s="150" t="n"/>
      <c r="J26" s="150" t="n"/>
      <c r="K26" s="150" t="n"/>
      <c r="L26" s="150" t="n"/>
      <c r="M26" s="150" t="n"/>
      <c r="N26" s="150" t="n"/>
      <c r="O26" s="150" t="n"/>
    </row>
    <row r="27" ht="12.75" customHeight="1" s="105">
      <c r="G27" s="170" t="n"/>
      <c r="H27" s="170" t="n"/>
      <c r="I27" s="170" t="n"/>
      <c r="J27" s="170" t="n"/>
      <c r="K27" s="170" t="n"/>
      <c r="L27" s="170" t="n"/>
      <c r="M27" s="170" t="n"/>
      <c r="N27" s="170" t="n"/>
      <c r="O27" s="170" t="n"/>
    </row>
    <row r="37" ht="12.75" customHeight="1" s="105">
      <c r="F37" s="150" t="n"/>
      <c r="G37" s="150" t="n"/>
      <c r="H37" s="150" t="n"/>
      <c r="I37" s="150" t="n"/>
      <c r="J37" s="150" t="n"/>
      <c r="K37" s="150" t="n"/>
      <c r="L37" s="150" t="n"/>
      <c r="M37" s="150" t="n"/>
      <c r="N37" s="150" t="n"/>
      <c r="O37" s="150" t="n"/>
    </row>
    <row r="38" ht="12.75" customHeight="1" s="105">
      <c r="G38" s="170" t="n"/>
      <c r="H38" s="170" t="n"/>
      <c r="I38" s="170" t="n"/>
      <c r="J38" s="170" t="n"/>
    </row>
    <row r="39" ht="12.75" customHeight="1" s="105">
      <c r="G39" s="150" t="n"/>
      <c r="H39" s="150" t="n"/>
      <c r="I39" s="150" t="n"/>
      <c r="J39" s="150" t="n"/>
      <c r="K39" s="150" t="n"/>
      <c r="L39" s="150" t="n"/>
      <c r="M39" s="150" t="n"/>
    </row>
    <row r="40" ht="12.75" customHeight="1" s="105">
      <c r="G40" s="150" t="n"/>
      <c r="H40" s="150" t="n"/>
      <c r="I40" s="150" t="n"/>
      <c r="J40" s="150"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O22"/>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G24" activeCellId="0" sqref="G24"/>
    </sheetView>
  </sheetViews>
  <sheetFormatPr baseColWidth="8" defaultColWidth="9.13671875" defaultRowHeight="12.75" zeroHeight="0" outlineLevelRow="0"/>
  <cols>
    <col width="3.7" customWidth="1" style="126" min="1" max="1"/>
    <col width="3.7" customWidth="1" style="126" min="2" max="2"/>
    <col width="40.66" customWidth="1" style="126" min="3" max="3"/>
    <col width="6.69" customWidth="1" style="156" min="4" max="4"/>
    <col width="6.69" customWidth="1" style="126" min="5" max="5"/>
    <col width="11.69" customWidth="1" style="126" min="6" max="26"/>
    <col width="9.130000000000001" customWidth="1" style="126" min="27" max="257"/>
  </cols>
  <sheetData>
    <row r="1" ht="12.75" customHeight="1" s="105">
      <c r="A1" s="130" t="inlineStr">
        <is>
          <t>Debt Schedule</t>
        </is>
      </c>
    </row>
    <row r="4" ht="12.75" customHeight="1" s="105">
      <c r="A4" s="128" t="inlineStr">
        <is>
          <t>(Unless otherwise specified, all financials are in INR Million)</t>
        </is>
      </c>
      <c r="F4" s="156">
        <f>'Asset Schedule'!F4</f>
        <v/>
      </c>
      <c r="G4" s="156">
        <f>'Asset Schedule'!G4</f>
        <v/>
      </c>
      <c r="H4" s="156">
        <f>'Asset Schedule'!H4</f>
        <v/>
      </c>
      <c r="I4" s="156">
        <f>'Asset Schedule'!I4</f>
        <v/>
      </c>
      <c r="J4" s="156">
        <f>'Asset Schedule'!J4</f>
        <v/>
      </c>
      <c r="K4" s="156">
        <f>'Asset Schedule'!K4</f>
        <v/>
      </c>
      <c r="L4" s="156">
        <f>'Asset Schedule'!L4</f>
        <v/>
      </c>
      <c r="M4" s="156">
        <f>'Asset Schedule'!M4</f>
        <v/>
      </c>
      <c r="N4" s="156">
        <f>'Asset Schedule'!N4</f>
        <v/>
      </c>
      <c r="O4" s="156">
        <f>'Asset Schedule'!O4</f>
        <v/>
      </c>
    </row>
    <row r="6" ht="15" customHeight="1" s="105">
      <c r="A6" s="175" t="inlineStr">
        <is>
          <t>Unsecured Loans</t>
        </is>
      </c>
      <c r="B6" s="176" t="n"/>
    </row>
    <row r="7" ht="15" customHeight="1" s="105">
      <c r="A7" s="176" t="n"/>
      <c r="B7" s="176" t="inlineStr">
        <is>
          <t>Opening Balance</t>
        </is>
      </c>
      <c r="G7" s="150">
        <f>F10</f>
        <v/>
      </c>
      <c r="H7" s="150">
        <f>G10</f>
        <v/>
      </c>
      <c r="I7" s="150">
        <f>H10</f>
        <v/>
      </c>
      <c r="J7" s="150">
        <f>I10</f>
        <v/>
      </c>
      <c r="K7" s="150">
        <f>J10</f>
        <v/>
      </c>
      <c r="L7" s="150">
        <f>K10</f>
        <v/>
      </c>
      <c r="M7" s="150">
        <f>L10</f>
        <v/>
      </c>
      <c r="N7" s="150">
        <f>M10</f>
        <v/>
      </c>
      <c r="O7" s="150">
        <f>N10</f>
        <v/>
      </c>
    </row>
    <row r="8" ht="15" customHeight="1" s="105">
      <c r="A8" s="176" t="n"/>
      <c r="B8" s="176" t="inlineStr">
        <is>
          <t>Add: New Issued</t>
        </is>
      </c>
      <c r="G8" s="138" t="n">
        <v>0</v>
      </c>
      <c r="H8" s="138" t="n">
        <v>0</v>
      </c>
      <c r="I8" s="138" t="n">
        <v>3088.14</v>
      </c>
      <c r="J8" s="138" t="n">
        <v>0</v>
      </c>
      <c r="K8" s="138" t="n">
        <v>0</v>
      </c>
      <c r="L8" s="138" t="n">
        <v>0</v>
      </c>
      <c r="M8" s="138" t="n">
        <v>0</v>
      </c>
      <c r="N8" s="138" t="n">
        <v>0</v>
      </c>
      <c r="O8" s="138" t="n">
        <v>0</v>
      </c>
    </row>
    <row r="9" ht="15" customHeight="1" s="105">
      <c r="A9" s="176" t="n"/>
      <c r="B9" s="176" t="inlineStr">
        <is>
          <t>Less: Repayments</t>
        </is>
      </c>
      <c r="G9" s="138" t="n">
        <v>-2600.79</v>
      </c>
      <c r="H9" s="138" t="n">
        <v>-1519.9</v>
      </c>
      <c r="I9" s="138" t="n">
        <v>0</v>
      </c>
      <c r="J9" s="138" t="n">
        <v>-3480.74</v>
      </c>
      <c r="K9" s="138" t="n">
        <v>0</v>
      </c>
      <c r="L9" s="138" t="n">
        <v>0</v>
      </c>
      <c r="M9" s="138" t="n">
        <v>0</v>
      </c>
      <c r="N9" s="138" t="n">
        <v>0</v>
      </c>
      <c r="O9" s="138" t="n">
        <v>0</v>
      </c>
    </row>
    <row r="10" ht="15" customHeight="1" s="105">
      <c r="A10" s="176" t="n"/>
      <c r="B10" s="175" t="inlineStr">
        <is>
          <t>Closing Balance</t>
        </is>
      </c>
      <c r="F10" s="138" t="n">
        <v>20712.72</v>
      </c>
      <c r="G10" s="150">
        <f>SUM(G7:G9)</f>
        <v/>
      </c>
      <c r="H10" s="150">
        <f>SUM(H7:H9)</f>
        <v/>
      </c>
      <c r="I10" s="150">
        <f>SUM(I7:I9)</f>
        <v/>
      </c>
      <c r="J10" s="150">
        <f>SUM(J7:J9)</f>
        <v/>
      </c>
      <c r="K10" s="150">
        <f>SUM(K7:K9)</f>
        <v/>
      </c>
      <c r="L10" s="150">
        <f>SUM(L7:L9)</f>
        <v/>
      </c>
      <c r="M10" s="150">
        <f>SUM(M7:M9)</f>
        <v/>
      </c>
      <c r="N10" s="150">
        <f>SUM(N7:N9)</f>
        <v/>
      </c>
      <c r="O10" s="150">
        <f>SUM(O7:O9)</f>
        <v/>
      </c>
    </row>
    <row r="11" ht="15" customHeight="1" s="105">
      <c r="A11" s="176" t="n"/>
      <c r="B11" s="176" t="n"/>
    </row>
    <row r="12" ht="15" customHeight="1" s="105">
      <c r="A12" s="175" t="inlineStr">
        <is>
          <t>Secured Loans</t>
        </is>
      </c>
      <c r="B12" s="176" t="n"/>
    </row>
    <row r="13" ht="15" customHeight="1" s="105">
      <c r="A13" s="176" t="n"/>
      <c r="B13" s="176" t="inlineStr">
        <is>
          <t>Opening Balance</t>
        </is>
      </c>
      <c r="F13" s="150" t="n"/>
      <c r="G13" s="150">
        <f>F16</f>
        <v/>
      </c>
      <c r="H13" s="150">
        <f>G16</f>
        <v/>
      </c>
      <c r="I13" s="150">
        <f>H16</f>
        <v/>
      </c>
      <c r="J13" s="150">
        <f>I16</f>
        <v/>
      </c>
      <c r="K13" s="150">
        <f>J16</f>
        <v/>
      </c>
      <c r="L13" s="150">
        <f>K16</f>
        <v/>
      </c>
      <c r="M13" s="150">
        <f>L16</f>
        <v/>
      </c>
      <c r="N13" s="150">
        <f>M16</f>
        <v/>
      </c>
      <c r="O13" s="150">
        <f>N16</f>
        <v/>
      </c>
    </row>
    <row r="14" ht="15" customHeight="1" s="105">
      <c r="A14" s="176" t="n"/>
      <c r="B14" s="176" t="inlineStr">
        <is>
          <t>Add: New Issued</t>
        </is>
      </c>
      <c r="F14" s="150" t="n"/>
      <c r="G14" s="138" t="n">
        <v>849.87</v>
      </c>
      <c r="H14" s="138" t="n">
        <v>0</v>
      </c>
      <c r="I14" s="138" t="n">
        <v>0</v>
      </c>
      <c r="J14" s="138" t="n">
        <v>2864.45</v>
      </c>
      <c r="K14" s="138" t="n">
        <v>0</v>
      </c>
      <c r="L14" s="138" t="n">
        <v>0</v>
      </c>
      <c r="M14" s="138" t="n">
        <v>0</v>
      </c>
      <c r="N14" s="138" t="n">
        <v>0</v>
      </c>
      <c r="O14" s="138" t="n">
        <v>0</v>
      </c>
    </row>
    <row r="15" ht="15" customHeight="1" s="105">
      <c r="A15" s="176" t="n"/>
      <c r="B15" s="176" t="inlineStr">
        <is>
          <t>Less: Repayments</t>
        </is>
      </c>
      <c r="F15" s="150" t="n"/>
      <c r="G15" s="138" t="n">
        <v>0</v>
      </c>
      <c r="H15" s="138" t="n">
        <v>-1079.98</v>
      </c>
      <c r="I15" s="138" t="n">
        <v>-442.44</v>
      </c>
      <c r="J15" s="138" t="n">
        <v>0</v>
      </c>
      <c r="K15" s="138" t="n">
        <v>0</v>
      </c>
      <c r="L15" s="138" t="n">
        <v>0</v>
      </c>
      <c r="M15" s="138" t="n">
        <v>0</v>
      </c>
      <c r="N15" s="138" t="n">
        <v>0</v>
      </c>
      <c r="O15" s="138" t="n">
        <v>0</v>
      </c>
    </row>
    <row r="16" ht="15" customHeight="1" s="105">
      <c r="A16" s="176" t="n"/>
      <c r="B16" s="175" t="inlineStr">
        <is>
          <t>Closing Balance</t>
        </is>
      </c>
      <c r="F16" s="150" t="n">
        <v>2477.18</v>
      </c>
      <c r="G16" s="150">
        <f>SUM(G13:G15)</f>
        <v/>
      </c>
      <c r="H16" s="150">
        <f>SUM(H13:H15)</f>
        <v/>
      </c>
      <c r="I16" s="150">
        <f>SUM(I13:I15)</f>
        <v/>
      </c>
      <c r="J16" s="150">
        <f>SUM(J13:J15)</f>
        <v/>
      </c>
      <c r="K16" s="150">
        <f>SUM(K13:K15)</f>
        <v/>
      </c>
      <c r="L16" s="150">
        <f>SUM(L13:L15)</f>
        <v/>
      </c>
      <c r="M16" s="150">
        <f>SUM(M13:M15)</f>
        <v/>
      </c>
      <c r="N16" s="150">
        <f>SUM(N13:N15)</f>
        <v/>
      </c>
      <c r="O16" s="150">
        <f>SUM(O13:O15)</f>
        <v/>
      </c>
    </row>
    <row r="17" ht="15" customHeight="1" s="105">
      <c r="A17" s="176" t="n"/>
      <c r="B17" s="176" t="n"/>
    </row>
    <row r="18" ht="15" customHeight="1" s="105">
      <c r="A18" s="176" t="n"/>
      <c r="B18" s="176" t="inlineStr">
        <is>
          <t>Average Loan Outstanding</t>
        </is>
      </c>
      <c r="G18" s="150">
        <f>AVERAGE(G16,G13,G10,G7)</f>
        <v/>
      </c>
      <c r="H18" s="150">
        <f>AVERAGE(H16,H13,H10,H7)</f>
        <v/>
      </c>
      <c r="I18" s="150">
        <f>AVERAGE(I16,I13,I10,I7)</f>
        <v/>
      </c>
      <c r="J18" s="150">
        <f>AVERAGE(J16,J13,J10,J7)</f>
        <v/>
      </c>
      <c r="K18" s="150">
        <f>AVERAGE(K16,K13,K10,K7)</f>
        <v/>
      </c>
      <c r="L18" s="150">
        <f>AVERAGE(L16,L13,L10,L7)</f>
        <v/>
      </c>
      <c r="M18" s="150">
        <f>AVERAGE(M16,M13,M10,M7)</f>
        <v/>
      </c>
      <c r="N18" s="150">
        <f>AVERAGE(N16,N13,N10,N7)</f>
        <v/>
      </c>
      <c r="O18" s="150">
        <f>AVERAGE(O16,O13,O10,O7)</f>
        <v/>
      </c>
    </row>
    <row r="19" ht="15" customHeight="1" s="105">
      <c r="A19" s="176" t="n"/>
      <c r="B19" s="176" t="inlineStr">
        <is>
          <t>Interest Rate</t>
        </is>
      </c>
      <c r="D19" s="156" t="inlineStr">
        <is>
          <t>%</t>
        </is>
      </c>
      <c r="G19" s="143" t="n">
        <v>0.0761193200456745</v>
      </c>
      <c r="H19" s="143" t="n">
        <v>0.148897862062938</v>
      </c>
      <c r="I19" s="143" t="n">
        <v>0.155239944549014</v>
      </c>
      <c r="J19" s="143" t="n">
        <v>0.128876822142118</v>
      </c>
      <c r="K19" s="143" t="n">
        <v>0.13</v>
      </c>
      <c r="L19" s="143" t="n">
        <v>0.13</v>
      </c>
      <c r="M19" s="143" t="n">
        <v>0.13</v>
      </c>
      <c r="N19" s="143" t="n">
        <v>0.13</v>
      </c>
      <c r="O19" s="143" t="n">
        <v>0.13</v>
      </c>
    </row>
    <row r="20" ht="15" customHeight="1" s="105">
      <c r="A20" s="176" t="n"/>
      <c r="B20" s="176" t="inlineStr">
        <is>
          <t>Interest Expense</t>
        </is>
      </c>
      <c r="G20" s="177">
        <f>G18*G19</f>
        <v/>
      </c>
      <c r="H20" s="177">
        <f>H18*H19</f>
        <v/>
      </c>
      <c r="I20" s="177">
        <f>I18*I19</f>
        <v/>
      </c>
      <c r="J20" s="177">
        <f>J18*J19</f>
        <v/>
      </c>
      <c r="K20" s="177">
        <f>K18*K19</f>
        <v/>
      </c>
      <c r="L20" s="177">
        <f>L18*L19</f>
        <v/>
      </c>
      <c r="M20" s="177">
        <f>M18*M19</f>
        <v/>
      </c>
      <c r="N20" s="177">
        <f>N18*N19</f>
        <v/>
      </c>
      <c r="O20" s="177">
        <f>O18*O19</f>
        <v/>
      </c>
    </row>
    <row r="21" ht="15" customHeight="1" s="105">
      <c r="A21" s="176" t="n"/>
      <c r="B21" s="176" t="n"/>
    </row>
    <row r="22" ht="12.75" customHeight="1" s="105">
      <c r="A22" s="175" t="n"/>
      <c r="B22" s="175" t="n"/>
    </row>
  </sheetData>
  <printOptions horizontalCentered="0" verticalCentered="0" headings="0" gridLines="0" gridLinesSet="1"/>
  <pageMargins left="0.7" right="0.7" top="0.75" bottom="0.75" header="0.511805555555555" footer="0.511805555555555"/>
  <pageSetup orientation="portrait" paperSize="9"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O236"/>
  <sheetViews>
    <sheetView showFormulas="0" showGridLines="0" showRowColHeaders="1" showZeros="1" rightToLeft="0" tabSelected="0" showOutlineSymbols="1" defaultGridColor="1" view="normal" topLeftCell="A1" colorId="64" zoomScale="80" zoomScaleNormal="8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H30" activeCellId="0" sqref="H30"/>
    </sheetView>
  </sheetViews>
  <sheetFormatPr baseColWidth="8" defaultColWidth="9.13671875" defaultRowHeight="12.75" zeroHeight="0" outlineLevelRow="1"/>
  <cols>
    <col width="3.7" customWidth="1" style="126" min="1" max="2"/>
    <col width="45.65" customWidth="1" style="126" min="3" max="3"/>
    <col width="6.69" customWidth="1" style="126" min="4" max="5"/>
    <col width="10.69" customWidth="1" style="126" min="6" max="15"/>
    <col width="9.130000000000001" customWidth="1" style="126" min="16" max="257"/>
  </cols>
  <sheetData>
    <row r="1" ht="12.75" customHeight="1" s="105">
      <c r="A1" s="130" t="inlineStr">
        <is>
          <t>Asset Schedule</t>
        </is>
      </c>
    </row>
    <row r="4" ht="12.75" customHeight="1" s="105">
      <c r="A4" s="128" t="inlineStr">
        <is>
          <t>(Unless otherwise specified, all financials are in INR Million)</t>
        </is>
      </c>
      <c r="F4" s="136">
        <f>CF!F4</f>
        <v/>
      </c>
      <c r="G4" s="136">
        <f>CF!G4</f>
        <v/>
      </c>
      <c r="H4" s="136">
        <f>CF!H4</f>
        <v/>
      </c>
      <c r="I4" s="136">
        <f>CF!I4</f>
        <v/>
      </c>
      <c r="J4" s="136">
        <f>CF!J4</f>
        <v/>
      </c>
      <c r="K4" s="136">
        <f>CF!K4</f>
        <v/>
      </c>
      <c r="L4" s="136">
        <f>CF!L4</f>
        <v/>
      </c>
      <c r="M4" s="136">
        <f>CF!M4</f>
        <v/>
      </c>
      <c r="N4" s="136">
        <f>CF!N4</f>
        <v/>
      </c>
      <c r="O4" s="136">
        <f>CF!O4</f>
        <v/>
      </c>
    </row>
    <row r="6" ht="12.75" customFormat="1" customHeight="1" s="130">
      <c r="A6" s="130" t="inlineStr">
        <is>
          <t>Opening Gross Block</t>
        </is>
      </c>
      <c r="F6" s="138" t="n"/>
      <c r="G6" s="131">
        <f>F8</f>
        <v/>
      </c>
      <c r="H6" s="131">
        <f>G8</f>
        <v/>
      </c>
      <c r="I6" s="131">
        <f>H8</f>
        <v/>
      </c>
      <c r="J6" s="131">
        <f>I8</f>
        <v/>
      </c>
      <c r="K6" s="131">
        <f>J8</f>
        <v/>
      </c>
      <c r="L6" s="131">
        <f>K8</f>
        <v/>
      </c>
      <c r="M6" s="131">
        <f>L8</f>
        <v/>
      </c>
      <c r="N6" s="131">
        <f>M8</f>
        <v/>
      </c>
      <c r="O6" s="131">
        <f>N8</f>
        <v/>
      </c>
    </row>
    <row r="7" ht="12.75" customFormat="1" customHeight="1" s="130">
      <c r="B7" s="126" t="inlineStr">
        <is>
          <t>Addition of Asset</t>
        </is>
      </c>
      <c r="G7" s="138" t="n">
        <v>10283.01</v>
      </c>
      <c r="H7" s="138" t="n">
        <v>11575.26</v>
      </c>
      <c r="I7" s="138" t="n">
        <v>13957.45</v>
      </c>
      <c r="J7" s="138" t="n">
        <v>16903.31</v>
      </c>
      <c r="K7" s="138" t="n">
        <v>22800</v>
      </c>
      <c r="L7" s="138" t="n">
        <v>34875</v>
      </c>
      <c r="M7" s="138" t="n">
        <v>30000</v>
      </c>
      <c r="N7" s="138">
        <f>M7</f>
        <v/>
      </c>
      <c r="O7" s="138">
        <f>N7</f>
        <v/>
      </c>
    </row>
    <row r="8" ht="12.75" customFormat="1" customHeight="1" s="130">
      <c r="A8" s="130" t="inlineStr">
        <is>
          <t>Closing Gross Block</t>
        </is>
      </c>
      <c r="B8" s="126" t="n"/>
      <c r="F8" s="138" t="n">
        <v>296734.13</v>
      </c>
      <c r="G8" s="131">
        <f>G6+G7</f>
        <v/>
      </c>
      <c r="H8" s="131">
        <f>H6+H7</f>
        <v/>
      </c>
      <c r="I8" s="131">
        <f>I6+I7</f>
        <v/>
      </c>
      <c r="J8" s="131">
        <f>J6+J7</f>
        <v/>
      </c>
      <c r="K8" s="131">
        <f>K6+K7</f>
        <v/>
      </c>
      <c r="L8" s="131">
        <f>L6+L7</f>
        <v/>
      </c>
      <c r="M8" s="131">
        <f>M6+M7</f>
        <v/>
      </c>
      <c r="N8" s="131">
        <f>N6+N7</f>
        <v/>
      </c>
      <c r="O8" s="131">
        <f>O6+O7</f>
        <v/>
      </c>
    </row>
    <row r="9" ht="12.75" customFormat="1" customHeight="1" s="130">
      <c r="B9" s="126" t="n"/>
      <c r="F9" s="138" t="n"/>
      <c r="G9" s="138" t="n"/>
      <c r="H9" s="138" t="n"/>
      <c r="I9" s="138" t="n"/>
      <c r="J9" s="138" t="n"/>
      <c r="K9" s="140" t="n"/>
      <c r="L9" s="140" t="n"/>
      <c r="M9" s="140" t="n"/>
      <c r="N9" s="140" t="n"/>
      <c r="O9" s="140" t="n"/>
    </row>
    <row r="10" hidden="1" outlineLevel="1" ht="12.75" customFormat="1" customHeight="1" s="130">
      <c r="C10" s="126" t="inlineStr">
        <is>
          <t>P&amp;L Item: Depreciation Expense</t>
        </is>
      </c>
      <c r="F10" s="131">
        <f>'P&amp;L'!F25</f>
        <v/>
      </c>
      <c r="G10" s="131">
        <f>'P&amp;L'!G25</f>
        <v/>
      </c>
      <c r="H10" s="131">
        <f>'P&amp;L'!H25</f>
        <v/>
      </c>
      <c r="I10" s="131">
        <f>'P&amp;L'!I25</f>
        <v/>
      </c>
      <c r="J10" s="131">
        <f>'P&amp;L'!J25</f>
        <v/>
      </c>
      <c r="K10" s="131">
        <f>'P&amp;L'!K25</f>
        <v/>
      </c>
      <c r="L10" s="131">
        <f>'P&amp;L'!L25</f>
        <v/>
      </c>
      <c r="M10" s="131">
        <f>'P&amp;L'!M25</f>
        <v/>
      </c>
      <c r="N10" s="131">
        <f>'P&amp;L'!N25</f>
        <v/>
      </c>
      <c r="O10" s="131">
        <f>'P&amp;L'!O25</f>
        <v/>
      </c>
    </row>
    <row r="11" hidden="1" outlineLevel="1" ht="12.75" customFormat="1" customHeight="1" s="130">
      <c r="C11" s="126" t="inlineStr">
        <is>
          <t>P&amp;L Item: Depreciation Non-Expense</t>
        </is>
      </c>
      <c r="F11" s="131" t="n"/>
      <c r="G11" s="138" t="n">
        <v>8278.01</v>
      </c>
      <c r="H11" s="138" t="n">
        <v>-4514.9</v>
      </c>
      <c r="I11" s="138" t="n">
        <v>-8695.65</v>
      </c>
      <c r="J11" s="138" t="n">
        <v>-6255.29000000001</v>
      </c>
      <c r="K11" s="138" t="n">
        <v>0</v>
      </c>
      <c r="L11" s="138" t="n">
        <v>0</v>
      </c>
      <c r="M11" s="138" t="n">
        <v>0</v>
      </c>
      <c r="N11" s="138" t="n">
        <v>0</v>
      </c>
      <c r="O11" s="138" t="n">
        <v>0</v>
      </c>
    </row>
    <row r="12" ht="12.75" customFormat="1" customHeight="1" s="130">
      <c r="C12" s="126" t="n"/>
      <c r="F12" s="131" t="n"/>
      <c r="G12" s="131" t="n"/>
      <c r="H12" s="131" t="n"/>
      <c r="I12" s="131" t="n"/>
      <c r="J12" s="131" t="n"/>
      <c r="K12" s="140" t="n"/>
      <c r="L12" s="140" t="n"/>
      <c r="M12" s="140" t="n"/>
      <c r="N12" s="140" t="n"/>
      <c r="O12" s="140" t="n"/>
    </row>
    <row r="13" ht="12.75" customFormat="1" customHeight="1" s="130">
      <c r="B13" s="126" t="inlineStr">
        <is>
          <t>Accumulated Depreciation</t>
        </is>
      </c>
      <c r="F13" s="138" t="n">
        <v>177915.74</v>
      </c>
      <c r="G13" s="131">
        <f>F13+G10+G11</f>
        <v/>
      </c>
      <c r="H13" s="131">
        <f>G13+H10+H11</f>
        <v/>
      </c>
      <c r="I13" s="131">
        <f>H13+I10+I11</f>
        <v/>
      </c>
      <c r="J13" s="131">
        <f>I13+J10+J11</f>
        <v/>
      </c>
      <c r="K13" s="131">
        <f>J13+K10+K11</f>
        <v/>
      </c>
      <c r="L13" s="131">
        <f>K13+L10+L11</f>
        <v/>
      </c>
      <c r="M13" s="131">
        <f>L13+M10+M11</f>
        <v/>
      </c>
      <c r="N13" s="131">
        <f>M13+N10+N11</f>
        <v/>
      </c>
      <c r="O13" s="131">
        <f>N13+O10+O11</f>
        <v/>
      </c>
    </row>
    <row r="14" ht="12.75" customFormat="1" customHeight="1" s="130">
      <c r="B14" s="126" t="inlineStr">
        <is>
          <t>Less: Provision for Impairment</t>
        </is>
      </c>
      <c r="F14" s="138" t="n">
        <v>15520.17</v>
      </c>
      <c r="G14" s="138" t="n">
        <v>3776.69</v>
      </c>
      <c r="H14" s="138" t="n">
        <v>4106.47</v>
      </c>
      <c r="I14" s="138" t="n">
        <v>4429.6</v>
      </c>
      <c r="J14" s="138" t="n">
        <v>4228.42</v>
      </c>
      <c r="K14" s="138" t="n">
        <v>4228.42</v>
      </c>
      <c r="L14" s="138" t="n">
        <v>4228.42</v>
      </c>
      <c r="M14" s="138" t="n">
        <v>4228.42</v>
      </c>
      <c r="N14" s="138" t="n">
        <v>4228.42</v>
      </c>
      <c r="O14" s="138" t="n">
        <v>4228.42</v>
      </c>
    </row>
    <row r="15" ht="12.75" customFormat="1" customHeight="1" s="130">
      <c r="B15" s="126" t="inlineStr">
        <is>
          <t>Less: Other provisions</t>
        </is>
      </c>
      <c r="F15" s="138" t="n"/>
      <c r="G15" s="138" t="n">
        <v>4.93</v>
      </c>
      <c r="H15" s="138" t="n">
        <v>4.04</v>
      </c>
      <c r="I15" s="138" t="n">
        <v>4.15</v>
      </c>
      <c r="J15" s="138" t="n">
        <v>3.73</v>
      </c>
      <c r="K15" s="138" t="n">
        <v>3.73</v>
      </c>
      <c r="L15" s="138" t="n">
        <v>3.73</v>
      </c>
      <c r="M15" s="138" t="n">
        <v>3.73</v>
      </c>
      <c r="N15" s="138" t="n">
        <v>3.73</v>
      </c>
      <c r="O15" s="138" t="n">
        <v>3.73</v>
      </c>
    </row>
    <row r="16" ht="12.75" customFormat="1" customHeight="1" s="130">
      <c r="B16" s="130" t="inlineStr">
        <is>
          <t>Net Block</t>
        </is>
      </c>
      <c r="F16" s="140">
        <f>F8-SUM(F13:F15)</f>
        <v/>
      </c>
      <c r="G16" s="140">
        <f>G8-SUM(G13:G15)</f>
        <v/>
      </c>
      <c r="H16" s="140">
        <f>H8-SUM(H13:H15)</f>
        <v/>
      </c>
      <c r="I16" s="140">
        <f>I8-SUM(I13:I15)</f>
        <v/>
      </c>
      <c r="J16" s="140">
        <f>J8-SUM(J13:J15)</f>
        <v/>
      </c>
      <c r="K16" s="140">
        <f>K8-SUM(K13:K15)</f>
        <v/>
      </c>
      <c r="L16" s="140">
        <f>L8-SUM(L13:L15)</f>
        <v/>
      </c>
      <c r="M16" s="140">
        <f>M8-SUM(M13:M15)</f>
        <v/>
      </c>
      <c r="N16" s="140">
        <f>N8-SUM(N13:N15)</f>
        <v/>
      </c>
      <c r="O16" s="140">
        <f>O8-SUM(O13:O15)</f>
        <v/>
      </c>
    </row>
    <row r="17" ht="12.75" customHeight="1" s="105">
      <c r="F17" s="131" t="n"/>
      <c r="G17" s="131" t="n"/>
      <c r="H17" s="131" t="n"/>
      <c r="I17" s="131" t="n"/>
      <c r="J17" s="131" t="n"/>
      <c r="K17" s="131" t="n"/>
      <c r="L17" s="131" t="n"/>
      <c r="M17" s="131" t="n"/>
      <c r="N17" s="131" t="n"/>
      <c r="O17" s="131" t="n"/>
    </row>
    <row r="18" ht="12.75" customHeight="1" s="105">
      <c r="F18" s="131" t="n"/>
      <c r="G18" s="131" t="n"/>
      <c r="H18" s="131" t="n"/>
      <c r="I18" s="131" t="n"/>
      <c r="J18" s="131" t="n"/>
      <c r="K18" s="131" t="n"/>
      <c r="L18" s="131" t="n"/>
      <c r="M18" s="131" t="n"/>
      <c r="N18" s="131" t="n"/>
      <c r="O18" s="131" t="n"/>
    </row>
    <row r="19" ht="12.75" customHeight="1" s="105">
      <c r="F19" s="131" t="n"/>
      <c r="G19" s="131" t="n"/>
      <c r="H19" s="131" t="n"/>
      <c r="I19" s="131" t="n"/>
      <c r="J19" s="131" t="n"/>
      <c r="K19" s="132" t="n"/>
      <c r="L19" s="132" t="n"/>
      <c r="M19" s="132" t="n"/>
      <c r="N19" s="131" t="n"/>
      <c r="O19" s="131" t="n"/>
    </row>
    <row r="20" ht="12.75" customHeight="1" s="105">
      <c r="F20" s="131" t="n"/>
      <c r="G20" s="131" t="n"/>
      <c r="H20" s="131" t="n"/>
      <c r="I20" s="131" t="n"/>
      <c r="J20" s="131" t="n"/>
      <c r="K20" s="131" t="n"/>
      <c r="L20" s="131" t="n"/>
      <c r="M20" s="131" t="n"/>
      <c r="N20" s="131" t="n"/>
      <c r="O20" s="131" t="n"/>
    </row>
    <row r="21" ht="12.75" customHeight="1" s="105">
      <c r="F21" s="131" t="n"/>
      <c r="G21" s="131" t="n"/>
      <c r="H21" s="131" t="n"/>
      <c r="I21" s="131" t="n"/>
      <c r="J21" s="131" t="n"/>
      <c r="K21" s="131" t="n"/>
      <c r="L21" s="131" t="n"/>
      <c r="M21" s="131" t="n"/>
      <c r="N21" s="131" t="n"/>
      <c r="O21" s="131" t="n"/>
    </row>
    <row r="22" ht="12.75" customHeight="1" s="105">
      <c r="F22" s="131" t="n"/>
      <c r="G22" s="131" t="n"/>
      <c r="H22" s="131" t="n"/>
      <c r="I22" s="131" t="n"/>
      <c r="J22" s="131" t="n"/>
      <c r="K22" s="131" t="n"/>
      <c r="L22" s="131" t="n"/>
      <c r="M22" s="131" t="n"/>
      <c r="N22" s="131" t="n"/>
      <c r="O22" s="131" t="n"/>
    </row>
    <row r="23" ht="12.75" customHeight="1" s="105">
      <c r="F23" s="131" t="n"/>
      <c r="G23" s="131" t="n"/>
      <c r="H23" s="131" t="n"/>
      <c r="I23" s="131" t="n"/>
      <c r="J23" s="131" t="n"/>
      <c r="K23" s="131" t="n"/>
      <c r="L23" s="131" t="n"/>
      <c r="M23" s="131" t="n"/>
      <c r="N23" s="131" t="n"/>
      <c r="O23" s="131" t="n"/>
    </row>
    <row r="24" ht="12.75" customHeight="1" s="105">
      <c r="F24" s="131" t="n"/>
      <c r="G24" s="131" t="n"/>
      <c r="H24" s="131" t="n"/>
      <c r="I24" s="131" t="n"/>
      <c r="J24" s="131" t="n"/>
      <c r="K24" s="131" t="n"/>
      <c r="L24" s="131" t="n"/>
      <c r="M24" s="131" t="n"/>
      <c r="N24" s="131" t="n"/>
      <c r="O24" s="131" t="n"/>
    </row>
    <row r="25" ht="12.75" customHeight="1" s="105">
      <c r="F25" s="131" t="n"/>
      <c r="G25" s="131" t="n"/>
      <c r="H25" s="131" t="n"/>
      <c r="I25" s="131" t="n"/>
      <c r="J25" s="131" t="n"/>
      <c r="K25" s="131" t="n"/>
      <c r="L25" s="131" t="n"/>
      <c r="M25" s="131" t="n"/>
      <c r="N25" s="131" t="n"/>
      <c r="O25" s="131" t="n"/>
    </row>
    <row r="26" ht="12.75" customHeight="1" s="105">
      <c r="F26" s="131" t="n"/>
      <c r="G26" s="131" t="n"/>
      <c r="H26" s="131" t="n"/>
      <c r="I26" s="131" t="n"/>
      <c r="J26" s="131" t="n"/>
      <c r="K26" s="131" t="n"/>
      <c r="L26" s="131" t="n"/>
      <c r="M26" s="131" t="n"/>
      <c r="N26" s="131" t="n"/>
      <c r="O26" s="131" t="n"/>
    </row>
    <row r="27" ht="12.75" customHeight="1" s="105">
      <c r="F27" s="131" t="n"/>
      <c r="G27" s="131" t="n"/>
      <c r="H27" s="131" t="n"/>
      <c r="I27" s="131" t="n"/>
      <c r="J27" s="131" t="n"/>
      <c r="K27" s="131" t="n"/>
      <c r="L27" s="131" t="n"/>
      <c r="M27" s="131" t="n"/>
      <c r="N27" s="131" t="n"/>
      <c r="O27" s="131" t="n"/>
    </row>
    <row r="28" ht="12.75" customHeight="1" s="105">
      <c r="F28" s="131" t="n"/>
      <c r="G28" s="131" t="n"/>
      <c r="H28" s="131" t="n"/>
      <c r="I28" s="131" t="n"/>
      <c r="J28" s="131" t="n"/>
      <c r="K28" s="131" t="n"/>
      <c r="L28" s="131" t="n"/>
      <c r="M28" s="131" t="n"/>
      <c r="N28" s="131" t="n"/>
      <c r="O28" s="131" t="n"/>
    </row>
    <row r="29" ht="12.75" customHeight="1" s="105">
      <c r="F29" s="131" t="n"/>
      <c r="G29" s="131" t="n"/>
      <c r="H29" s="131" t="n"/>
      <c r="I29" s="131" t="n"/>
      <c r="J29" s="131" t="n"/>
      <c r="K29" s="131" t="n"/>
      <c r="L29" s="131" t="n"/>
      <c r="M29" s="131" t="n"/>
      <c r="N29" s="131" t="n"/>
      <c r="O29" s="131" t="n"/>
    </row>
    <row r="30" ht="12.75" customHeight="1" s="105">
      <c r="F30" s="131" t="n"/>
      <c r="G30" s="131" t="n"/>
      <c r="H30" s="131" t="n"/>
      <c r="I30" s="131" t="n"/>
      <c r="J30" s="131" t="n"/>
      <c r="K30" s="131" t="n"/>
      <c r="L30" s="131" t="n"/>
      <c r="M30" s="131" t="n"/>
      <c r="N30" s="131" t="n"/>
      <c r="O30" s="131" t="n"/>
    </row>
    <row r="31" ht="12.75" customHeight="1" s="105">
      <c r="F31" s="131" t="n"/>
      <c r="G31" s="131" t="n"/>
      <c r="H31" s="131" t="n"/>
      <c r="I31" s="131" t="n"/>
      <c r="J31" s="131" t="n"/>
      <c r="K31" s="131" t="n"/>
      <c r="L31" s="131" t="n"/>
      <c r="M31" s="131" t="n"/>
      <c r="N31" s="131" t="n"/>
      <c r="O31" s="131" t="n"/>
    </row>
    <row r="32" ht="12.75" customHeight="1" s="105">
      <c r="F32" s="131" t="n"/>
      <c r="G32" s="131" t="n"/>
      <c r="H32" s="131" t="n"/>
      <c r="I32" s="131" t="n"/>
      <c r="J32" s="131" t="n"/>
      <c r="K32" s="131" t="n"/>
      <c r="L32" s="131" t="n"/>
      <c r="M32" s="131" t="n"/>
      <c r="N32" s="131" t="n"/>
      <c r="O32" s="131" t="n"/>
    </row>
    <row r="33" ht="12.75" customHeight="1" s="105">
      <c r="F33" s="131" t="n"/>
      <c r="G33" s="131" t="n"/>
      <c r="H33" s="131" t="n"/>
      <c r="I33" s="131" t="n"/>
      <c r="J33" s="131" t="n"/>
      <c r="K33" s="131" t="n"/>
      <c r="L33" s="131" t="n"/>
      <c r="M33" s="131" t="n"/>
      <c r="N33" s="131" t="n"/>
      <c r="O33" s="131" t="n"/>
    </row>
    <row r="34" ht="12.75" customHeight="1" s="105">
      <c r="F34" s="131" t="n"/>
      <c r="G34" s="131" t="n"/>
      <c r="H34" s="131" t="n"/>
      <c r="I34" s="131" t="n"/>
      <c r="J34" s="131" t="n"/>
      <c r="K34" s="131" t="n"/>
      <c r="L34" s="131" t="n"/>
      <c r="M34" s="131" t="n"/>
      <c r="N34" s="131" t="n"/>
      <c r="O34" s="131" t="n"/>
    </row>
    <row r="35" ht="12.75" customHeight="1" s="105">
      <c r="F35" s="131" t="n"/>
      <c r="G35" s="131" t="n"/>
      <c r="H35" s="131" t="n"/>
      <c r="I35" s="131" t="n"/>
      <c r="J35" s="131" t="n"/>
      <c r="K35" s="131" t="n"/>
      <c r="L35" s="131" t="n"/>
      <c r="M35" s="131" t="n"/>
      <c r="N35" s="131" t="n"/>
      <c r="O35" s="131" t="n"/>
    </row>
    <row r="36" ht="12.75" customHeight="1" s="105">
      <c r="F36" s="131" t="n"/>
      <c r="G36" s="131" t="n"/>
      <c r="H36" s="131" t="n"/>
      <c r="I36" s="131" t="n"/>
      <c r="J36" s="131" t="n"/>
      <c r="K36" s="131" t="n"/>
      <c r="L36" s="131" t="n"/>
      <c r="M36" s="131" t="n"/>
      <c r="N36" s="131" t="n"/>
      <c r="O36" s="131" t="n"/>
    </row>
    <row r="37" ht="12.75" customHeight="1" s="105">
      <c r="F37" s="131" t="n"/>
      <c r="G37" s="131" t="n"/>
      <c r="H37" s="131" t="n"/>
      <c r="I37" s="131" t="n"/>
      <c r="J37" s="131" t="n"/>
      <c r="K37" s="131" t="n"/>
      <c r="L37" s="131" t="n"/>
      <c r="M37" s="131" t="n"/>
      <c r="N37" s="131" t="n"/>
      <c r="O37" s="131" t="n"/>
    </row>
    <row r="38" ht="12.75" customHeight="1" s="105">
      <c r="F38" s="131" t="n"/>
      <c r="G38" s="131" t="n"/>
      <c r="H38" s="131" t="n"/>
      <c r="I38" s="131" t="n"/>
      <c r="J38" s="131" t="n"/>
      <c r="K38" s="131" t="n"/>
      <c r="L38" s="131" t="n"/>
      <c r="M38" s="131" t="n"/>
      <c r="N38" s="131" t="n"/>
      <c r="O38" s="131" t="n"/>
    </row>
    <row r="39" ht="12.75" customHeight="1" s="105">
      <c r="F39" s="131" t="n"/>
      <c r="G39" s="131" t="n"/>
      <c r="H39" s="131" t="n"/>
      <c r="I39" s="131" t="n"/>
      <c r="J39" s="131" t="n"/>
      <c r="K39" s="131" t="n"/>
      <c r="L39" s="131" t="n"/>
      <c r="M39" s="131" t="n"/>
      <c r="N39" s="131" t="n"/>
      <c r="O39" s="131" t="n"/>
    </row>
    <row r="40" ht="12.75" customHeight="1" s="105">
      <c r="F40" s="131" t="n"/>
      <c r="G40" s="131" t="n"/>
      <c r="H40" s="131" t="n"/>
      <c r="I40" s="131" t="n"/>
      <c r="J40" s="131" t="n"/>
      <c r="K40" s="131" t="n"/>
      <c r="L40" s="131" t="n"/>
      <c r="M40" s="131" t="n"/>
      <c r="N40" s="131" t="n"/>
      <c r="O40" s="131" t="n"/>
    </row>
    <row r="41" ht="12.75" customHeight="1" s="105">
      <c r="F41" s="131" t="n"/>
      <c r="G41" s="131" t="n"/>
      <c r="H41" s="131" t="n"/>
      <c r="I41" s="131" t="n"/>
      <c r="J41" s="131" t="n"/>
      <c r="K41" s="131" t="n"/>
      <c r="L41" s="131" t="n"/>
      <c r="M41" s="131" t="n"/>
      <c r="N41" s="131" t="n"/>
      <c r="O41" s="131" t="n"/>
    </row>
    <row r="42" ht="12.75" customHeight="1" s="105">
      <c r="F42" s="131" t="n"/>
      <c r="G42" s="131" t="n"/>
      <c r="H42" s="131" t="n"/>
      <c r="I42" s="131" t="n"/>
      <c r="J42" s="131" t="n"/>
      <c r="K42" s="131" t="n"/>
      <c r="L42" s="131" t="n"/>
      <c r="M42" s="131" t="n"/>
      <c r="N42" s="131" t="n"/>
      <c r="O42" s="131" t="n"/>
    </row>
    <row r="43" ht="12.75" customHeight="1" s="105">
      <c r="F43" s="131" t="n"/>
      <c r="G43" s="131" t="n"/>
      <c r="H43" s="131" t="n"/>
      <c r="I43" s="131" t="n"/>
      <c r="J43" s="131" t="n"/>
      <c r="K43" s="131" t="n"/>
      <c r="L43" s="131" t="n"/>
      <c r="M43" s="131" t="n"/>
      <c r="N43" s="131" t="n"/>
      <c r="O43" s="131" t="n"/>
    </row>
    <row r="44" ht="12.75" customHeight="1" s="105">
      <c r="F44" s="131" t="n"/>
      <c r="G44" s="131" t="n"/>
      <c r="H44" s="131" t="n"/>
      <c r="I44" s="131" t="n"/>
      <c r="J44" s="131" t="n"/>
      <c r="K44" s="131" t="n"/>
      <c r="L44" s="131" t="n"/>
      <c r="M44" s="131" t="n"/>
      <c r="N44" s="131" t="n"/>
      <c r="O44" s="131" t="n"/>
    </row>
    <row r="45" ht="12.75" customHeight="1" s="105">
      <c r="F45" s="131" t="n"/>
      <c r="G45" s="131" t="n"/>
      <c r="H45" s="131" t="n"/>
      <c r="I45" s="131" t="n"/>
      <c r="J45" s="131" t="n"/>
      <c r="K45" s="131" t="n"/>
      <c r="L45" s="131" t="n"/>
      <c r="M45" s="131" t="n"/>
      <c r="N45" s="131" t="n"/>
      <c r="O45" s="131" t="n"/>
    </row>
    <row r="46" ht="12.75" customHeight="1" s="105">
      <c r="F46" s="131" t="n"/>
      <c r="G46" s="131" t="n"/>
      <c r="H46" s="131" t="n"/>
      <c r="I46" s="131" t="n"/>
      <c r="J46" s="131" t="n"/>
      <c r="K46" s="131" t="n"/>
      <c r="L46" s="131" t="n"/>
      <c r="M46" s="131" t="n"/>
      <c r="N46" s="131" t="n"/>
      <c r="O46" s="131" t="n"/>
    </row>
    <row r="47" ht="12.75" customHeight="1" s="105">
      <c r="F47" s="131" t="n"/>
      <c r="G47" s="131" t="n"/>
      <c r="H47" s="131" t="n"/>
      <c r="I47" s="131" t="n"/>
      <c r="J47" s="131" t="n"/>
      <c r="K47" s="131" t="n"/>
      <c r="L47" s="131" t="n"/>
      <c r="M47" s="131" t="n"/>
      <c r="N47" s="131" t="n"/>
      <c r="O47" s="131" t="n"/>
    </row>
    <row r="48" ht="12.75" customHeight="1" s="105">
      <c r="F48" s="131" t="n"/>
      <c r="G48" s="131" t="n"/>
      <c r="H48" s="131" t="n"/>
      <c r="I48" s="131" t="n"/>
      <c r="J48" s="131" t="n"/>
      <c r="K48" s="131" t="n"/>
      <c r="L48" s="131" t="n"/>
      <c r="M48" s="131" t="n"/>
      <c r="N48" s="131" t="n"/>
      <c r="O48" s="131" t="n"/>
    </row>
    <row r="49" ht="12.75" customHeight="1" s="105">
      <c r="F49" s="131" t="n"/>
      <c r="G49" s="131" t="n"/>
      <c r="H49" s="131" t="n"/>
      <c r="I49" s="131" t="n"/>
      <c r="J49" s="131" t="n"/>
      <c r="K49" s="131" t="n"/>
      <c r="L49" s="131" t="n"/>
      <c r="M49" s="131" t="n"/>
      <c r="N49" s="131" t="n"/>
      <c r="O49" s="131" t="n"/>
    </row>
    <row r="50" ht="12.75" customHeight="1" s="105">
      <c r="F50" s="131" t="n"/>
      <c r="G50" s="131" t="n"/>
      <c r="H50" s="131" t="n"/>
      <c r="I50" s="131" t="n"/>
      <c r="J50" s="131" t="n"/>
      <c r="K50" s="131" t="n"/>
      <c r="L50" s="131" t="n"/>
      <c r="M50" s="131" t="n"/>
      <c r="N50" s="131" t="n"/>
      <c r="O50" s="131" t="n"/>
    </row>
    <row r="51" ht="12.75" customHeight="1" s="105">
      <c r="F51" s="131" t="n"/>
      <c r="G51" s="131" t="n"/>
      <c r="H51" s="131" t="n"/>
      <c r="I51" s="131" t="n"/>
      <c r="J51" s="131" t="n"/>
      <c r="K51" s="131" t="n"/>
      <c r="L51" s="131" t="n"/>
      <c r="M51" s="131" t="n"/>
      <c r="N51" s="131" t="n"/>
      <c r="O51" s="131" t="n"/>
    </row>
    <row r="52" ht="12.75" customHeight="1" s="105">
      <c r="F52" s="131" t="n"/>
      <c r="G52" s="131" t="n"/>
      <c r="H52" s="131" t="n"/>
      <c r="I52" s="131" t="n"/>
      <c r="J52" s="131" t="n"/>
      <c r="K52" s="131" t="n"/>
      <c r="L52" s="131" t="n"/>
      <c r="M52" s="131" t="n"/>
      <c r="N52" s="131" t="n"/>
      <c r="O52" s="131" t="n"/>
    </row>
    <row r="53" ht="12.75" customHeight="1" s="105">
      <c r="F53" s="131" t="n"/>
      <c r="G53" s="131" t="n"/>
      <c r="H53" s="131" t="n"/>
      <c r="I53" s="131" t="n"/>
      <c r="J53" s="131" t="n"/>
      <c r="K53" s="131" t="n"/>
      <c r="L53" s="131" t="n"/>
      <c r="M53" s="131" t="n"/>
      <c r="N53" s="131" t="n"/>
      <c r="O53" s="131" t="n"/>
    </row>
    <row r="54" ht="12.75" customHeight="1" s="105">
      <c r="F54" s="131" t="n"/>
      <c r="G54" s="131" t="n"/>
      <c r="H54" s="131" t="n"/>
      <c r="I54" s="131" t="n"/>
      <c r="J54" s="131" t="n"/>
      <c r="K54" s="131" t="n"/>
      <c r="L54" s="131" t="n"/>
      <c r="M54" s="131" t="n"/>
      <c r="N54" s="131" t="n"/>
      <c r="O54" s="131" t="n"/>
    </row>
    <row r="55" ht="12.75" customHeight="1" s="105">
      <c r="F55" s="131" t="n"/>
      <c r="G55" s="131" t="n"/>
      <c r="H55" s="131" t="n"/>
      <c r="I55" s="131" t="n"/>
      <c r="J55" s="131" t="n"/>
      <c r="K55" s="131" t="n"/>
      <c r="L55" s="131" t="n"/>
      <c r="M55" s="131" t="n"/>
      <c r="N55" s="131" t="n"/>
      <c r="O55" s="131" t="n"/>
    </row>
    <row r="56" ht="12.75" customHeight="1" s="105">
      <c r="F56" s="131" t="n"/>
      <c r="G56" s="131" t="n"/>
      <c r="H56" s="131" t="n"/>
      <c r="I56" s="131" t="n"/>
      <c r="J56" s="131" t="n"/>
      <c r="K56" s="131" t="n"/>
      <c r="L56" s="131" t="n"/>
      <c r="M56" s="131" t="n"/>
      <c r="N56" s="131" t="n"/>
      <c r="O56" s="131" t="n"/>
    </row>
    <row r="57" ht="12.75" customHeight="1" s="105">
      <c r="F57" s="131" t="n"/>
      <c r="G57" s="131" t="n"/>
      <c r="H57" s="131" t="n"/>
      <c r="I57" s="131" t="n"/>
      <c r="J57" s="131" t="n"/>
      <c r="K57" s="131" t="n"/>
      <c r="L57" s="131" t="n"/>
      <c r="M57" s="131" t="n"/>
      <c r="N57" s="131" t="n"/>
      <c r="O57" s="131" t="n"/>
    </row>
    <row r="58" ht="12.75" customHeight="1" s="105">
      <c r="F58" s="131" t="n"/>
      <c r="G58" s="131" t="n"/>
      <c r="H58" s="131" t="n"/>
      <c r="I58" s="131" t="n"/>
      <c r="J58" s="131" t="n"/>
      <c r="K58" s="131" t="n"/>
      <c r="L58" s="131" t="n"/>
      <c r="M58" s="131" t="n"/>
      <c r="N58" s="131" t="n"/>
      <c r="O58" s="131" t="n"/>
    </row>
    <row r="59" ht="12.75" customHeight="1" s="105">
      <c r="F59" s="131" t="n"/>
      <c r="G59" s="131" t="n"/>
      <c r="H59" s="131" t="n"/>
      <c r="I59" s="131" t="n"/>
      <c r="J59" s="131" t="n"/>
      <c r="K59" s="131" t="n"/>
      <c r="L59" s="131" t="n"/>
      <c r="M59" s="131" t="n"/>
      <c r="N59" s="131" t="n"/>
      <c r="O59" s="131" t="n"/>
    </row>
    <row r="60" ht="12.75" customHeight="1" s="105">
      <c r="F60" s="131" t="n"/>
      <c r="G60" s="131" t="n"/>
      <c r="H60" s="131" t="n"/>
      <c r="I60" s="131" t="n"/>
      <c r="J60" s="131" t="n"/>
      <c r="K60" s="131" t="n"/>
      <c r="L60" s="131" t="n"/>
      <c r="M60" s="131" t="n"/>
      <c r="N60" s="131" t="n"/>
      <c r="O60" s="131" t="n"/>
    </row>
    <row r="61" ht="12.75" customHeight="1" s="105">
      <c r="F61" s="131" t="n"/>
      <c r="G61" s="131" t="n"/>
      <c r="H61" s="131" t="n"/>
      <c r="I61" s="131" t="n"/>
      <c r="J61" s="131" t="n"/>
      <c r="K61" s="131" t="n"/>
      <c r="L61" s="131" t="n"/>
      <c r="M61" s="131" t="n"/>
      <c r="N61" s="131" t="n"/>
      <c r="O61" s="131" t="n"/>
    </row>
    <row r="62" ht="12.75" customHeight="1" s="105">
      <c r="F62" s="131" t="n"/>
      <c r="G62" s="131" t="n"/>
      <c r="H62" s="131" t="n"/>
      <c r="I62" s="131" t="n"/>
      <c r="J62" s="131" t="n"/>
      <c r="K62" s="131" t="n"/>
      <c r="L62" s="131" t="n"/>
      <c r="M62" s="131" t="n"/>
      <c r="N62" s="131" t="n"/>
      <c r="O62" s="131" t="n"/>
    </row>
    <row r="63" ht="12.75" customHeight="1" s="105">
      <c r="F63" s="131" t="n"/>
      <c r="G63" s="131" t="n"/>
      <c r="H63" s="131" t="n"/>
      <c r="I63" s="131" t="n"/>
      <c r="J63" s="131" t="n"/>
      <c r="K63" s="131" t="n"/>
      <c r="L63" s="131" t="n"/>
      <c r="M63" s="131" t="n"/>
      <c r="N63" s="131" t="n"/>
      <c r="O63" s="131" t="n"/>
    </row>
    <row r="64" ht="12.75" customHeight="1" s="105">
      <c r="F64" s="131" t="n"/>
      <c r="G64" s="131" t="n"/>
      <c r="H64" s="131" t="n"/>
      <c r="I64" s="131" t="n"/>
      <c r="J64" s="131" t="n"/>
      <c r="K64" s="131" t="n"/>
      <c r="L64" s="131" t="n"/>
      <c r="M64" s="131" t="n"/>
      <c r="N64" s="131" t="n"/>
      <c r="O64" s="131" t="n"/>
    </row>
    <row r="65" ht="12.75" customHeight="1" s="105">
      <c r="F65" s="131" t="n"/>
      <c r="G65" s="131" t="n"/>
      <c r="H65" s="131" t="n"/>
      <c r="I65" s="131" t="n"/>
      <c r="J65" s="131" t="n"/>
      <c r="K65" s="131" t="n"/>
      <c r="L65" s="131" t="n"/>
      <c r="M65" s="131" t="n"/>
      <c r="N65" s="131" t="n"/>
      <c r="O65" s="131" t="n"/>
    </row>
    <row r="66" ht="12.75" customHeight="1" s="105">
      <c r="F66" s="131" t="n"/>
      <c r="G66" s="131" t="n"/>
      <c r="H66" s="131" t="n"/>
      <c r="I66" s="131" t="n"/>
      <c r="J66" s="131" t="n"/>
      <c r="K66" s="131" t="n"/>
      <c r="L66" s="131" t="n"/>
      <c r="M66" s="131" t="n"/>
      <c r="N66" s="131" t="n"/>
      <c r="O66" s="131" t="n"/>
    </row>
    <row r="67" ht="12.75" customHeight="1" s="105">
      <c r="F67" s="131" t="n"/>
      <c r="G67" s="131" t="n"/>
      <c r="H67" s="131" t="n"/>
      <c r="I67" s="131" t="n"/>
      <c r="J67" s="131" t="n"/>
      <c r="K67" s="131" t="n"/>
      <c r="L67" s="131" t="n"/>
      <c r="M67" s="131" t="n"/>
      <c r="N67" s="131" t="n"/>
      <c r="O67" s="131" t="n"/>
    </row>
    <row r="68" ht="12.75" customHeight="1" s="105">
      <c r="F68" s="131" t="n"/>
      <c r="G68" s="131" t="n"/>
      <c r="H68" s="131" t="n"/>
      <c r="I68" s="131" t="n"/>
      <c r="J68" s="131" t="n"/>
      <c r="K68" s="131" t="n"/>
      <c r="L68" s="131" t="n"/>
      <c r="M68" s="131" t="n"/>
      <c r="N68" s="131" t="n"/>
      <c r="O68" s="131" t="n"/>
    </row>
    <row r="69" ht="12.75" customHeight="1" s="105">
      <c r="F69" s="131" t="n"/>
      <c r="G69" s="131" t="n"/>
      <c r="H69" s="131" t="n"/>
      <c r="I69" s="131" t="n"/>
      <c r="J69" s="131" t="n"/>
      <c r="K69" s="131" t="n"/>
      <c r="L69" s="131" t="n"/>
      <c r="M69" s="131" t="n"/>
      <c r="N69" s="131" t="n"/>
      <c r="O69" s="131" t="n"/>
    </row>
    <row r="70" ht="12.75" customHeight="1" s="105">
      <c r="F70" s="131" t="n"/>
      <c r="G70" s="131" t="n"/>
      <c r="H70" s="131" t="n"/>
      <c r="I70" s="131" t="n"/>
      <c r="J70" s="131" t="n"/>
      <c r="K70" s="131" t="n"/>
      <c r="L70" s="131" t="n"/>
      <c r="M70" s="131" t="n"/>
      <c r="N70" s="131" t="n"/>
      <c r="O70" s="131" t="n"/>
    </row>
    <row r="71" ht="12.75" customHeight="1" s="105">
      <c r="F71" s="131" t="n"/>
      <c r="G71" s="131" t="n"/>
      <c r="H71" s="131" t="n"/>
      <c r="I71" s="131" t="n"/>
      <c r="J71" s="131" t="n"/>
      <c r="K71" s="131" t="n"/>
      <c r="L71" s="131" t="n"/>
      <c r="M71" s="131" t="n"/>
      <c r="N71" s="131" t="n"/>
      <c r="O71" s="131" t="n"/>
    </row>
    <row r="72" ht="12.75" customHeight="1" s="105">
      <c r="F72" s="131" t="n"/>
      <c r="G72" s="131" t="n"/>
      <c r="H72" s="131" t="n"/>
      <c r="I72" s="131" t="n"/>
      <c r="J72" s="131" t="n"/>
      <c r="K72" s="131" t="n"/>
      <c r="L72" s="131" t="n"/>
      <c r="M72" s="131" t="n"/>
      <c r="N72" s="131" t="n"/>
      <c r="O72" s="131" t="n"/>
    </row>
    <row r="73" ht="12.75" customHeight="1" s="105">
      <c r="F73" s="131" t="n"/>
      <c r="G73" s="131" t="n"/>
      <c r="H73" s="131" t="n"/>
      <c r="I73" s="131" t="n"/>
      <c r="J73" s="131" t="n"/>
      <c r="K73" s="131" t="n"/>
      <c r="L73" s="131" t="n"/>
      <c r="M73" s="131" t="n"/>
      <c r="N73" s="131" t="n"/>
      <c r="O73" s="131" t="n"/>
    </row>
    <row r="74" ht="12.75" customHeight="1" s="105">
      <c r="F74" s="131" t="n"/>
      <c r="G74" s="131" t="n"/>
      <c r="H74" s="131" t="n"/>
      <c r="I74" s="131" t="n"/>
      <c r="J74" s="131" t="n"/>
      <c r="K74" s="131" t="n"/>
      <c r="L74" s="131" t="n"/>
      <c r="M74" s="131" t="n"/>
      <c r="N74" s="131" t="n"/>
      <c r="O74" s="131" t="n"/>
    </row>
    <row r="75" ht="12.75" customHeight="1" s="105">
      <c r="F75" s="131" t="n"/>
      <c r="G75" s="131" t="n"/>
      <c r="H75" s="131" t="n"/>
      <c r="I75" s="131" t="n"/>
      <c r="J75" s="131" t="n"/>
      <c r="K75" s="131" t="n"/>
      <c r="L75" s="131" t="n"/>
      <c r="M75" s="131" t="n"/>
      <c r="N75" s="131" t="n"/>
      <c r="O75" s="131" t="n"/>
    </row>
    <row r="76" ht="12.75" customHeight="1" s="105">
      <c r="F76" s="131" t="n"/>
      <c r="G76" s="131" t="n"/>
      <c r="H76" s="131" t="n"/>
      <c r="I76" s="131" t="n"/>
      <c r="J76" s="131" t="n"/>
      <c r="K76" s="131" t="n"/>
      <c r="L76" s="131" t="n"/>
      <c r="M76" s="131" t="n"/>
      <c r="N76" s="131" t="n"/>
      <c r="O76" s="131" t="n"/>
    </row>
    <row r="77" ht="12.75" customHeight="1" s="105">
      <c r="F77" s="131" t="n"/>
      <c r="G77" s="131" t="n"/>
      <c r="H77" s="131" t="n"/>
      <c r="I77" s="131" t="n"/>
      <c r="J77" s="131" t="n"/>
      <c r="K77" s="131" t="n"/>
      <c r="L77" s="131" t="n"/>
      <c r="M77" s="131" t="n"/>
      <c r="N77" s="131" t="n"/>
      <c r="O77" s="131" t="n"/>
    </row>
    <row r="78" ht="12.75" customHeight="1" s="105">
      <c r="F78" s="131" t="n"/>
      <c r="G78" s="131" t="n"/>
      <c r="H78" s="131" t="n"/>
      <c r="I78" s="131" t="n"/>
      <c r="J78" s="131" t="n"/>
      <c r="K78" s="131" t="n"/>
      <c r="L78" s="131" t="n"/>
      <c r="M78" s="131" t="n"/>
      <c r="N78" s="131" t="n"/>
      <c r="O78" s="131" t="n"/>
    </row>
    <row r="79" ht="12.75" customHeight="1" s="105">
      <c r="F79" s="131" t="n"/>
      <c r="G79" s="131" t="n"/>
      <c r="H79" s="131" t="n"/>
      <c r="I79" s="131" t="n"/>
      <c r="J79" s="131" t="n"/>
      <c r="K79" s="131" t="n"/>
      <c r="L79" s="131" t="n"/>
      <c r="M79" s="131" t="n"/>
      <c r="N79" s="131" t="n"/>
      <c r="O79" s="131" t="n"/>
    </row>
    <row r="80" ht="12.75" customHeight="1" s="105">
      <c r="F80" s="131" t="n"/>
      <c r="G80" s="131" t="n"/>
      <c r="H80" s="131" t="n"/>
      <c r="I80" s="131" t="n"/>
      <c r="J80" s="131" t="n"/>
      <c r="K80" s="131" t="n"/>
      <c r="L80" s="131" t="n"/>
      <c r="M80" s="131" t="n"/>
      <c r="N80" s="131" t="n"/>
      <c r="O80" s="131" t="n"/>
    </row>
    <row r="81" ht="12.75" customHeight="1" s="105">
      <c r="F81" s="131" t="n"/>
      <c r="G81" s="131" t="n"/>
      <c r="H81" s="131" t="n"/>
      <c r="I81" s="131" t="n"/>
      <c r="J81" s="131" t="n"/>
      <c r="K81" s="131" t="n"/>
      <c r="L81" s="131" t="n"/>
      <c r="M81" s="131" t="n"/>
      <c r="N81" s="131" t="n"/>
      <c r="O81" s="131" t="n"/>
    </row>
    <row r="82" ht="12.75" customHeight="1" s="105">
      <c r="F82" s="131" t="n"/>
      <c r="G82" s="131" t="n"/>
      <c r="H82" s="131" t="n"/>
      <c r="I82" s="131" t="n"/>
      <c r="J82" s="131" t="n"/>
      <c r="K82" s="131" t="n"/>
      <c r="L82" s="131" t="n"/>
      <c r="M82" s="131" t="n"/>
      <c r="N82" s="131" t="n"/>
      <c r="O82" s="131" t="n"/>
    </row>
    <row r="83" ht="12.75" customHeight="1" s="105">
      <c r="F83" s="131" t="n"/>
      <c r="G83" s="131" t="n"/>
      <c r="H83" s="131" t="n"/>
      <c r="I83" s="131" t="n"/>
      <c r="J83" s="131" t="n"/>
      <c r="K83" s="131" t="n"/>
      <c r="L83" s="131" t="n"/>
      <c r="M83" s="131" t="n"/>
      <c r="N83" s="131" t="n"/>
      <c r="O83" s="131" t="n"/>
    </row>
    <row r="84" ht="12.75" customHeight="1" s="105">
      <c r="F84" s="131" t="n"/>
      <c r="G84" s="131" t="n"/>
      <c r="H84" s="131" t="n"/>
      <c r="I84" s="131" t="n"/>
      <c r="J84" s="131" t="n"/>
      <c r="K84" s="131" t="n"/>
      <c r="L84" s="131" t="n"/>
      <c r="M84" s="131" t="n"/>
      <c r="N84" s="131" t="n"/>
      <c r="O84" s="131" t="n"/>
    </row>
    <row r="85" ht="12.75" customHeight="1" s="105">
      <c r="F85" s="131" t="n"/>
      <c r="G85" s="131" t="n"/>
      <c r="H85" s="131" t="n"/>
      <c r="I85" s="131" t="n"/>
      <c r="J85" s="131" t="n"/>
      <c r="K85" s="131" t="n"/>
      <c r="L85" s="131" t="n"/>
      <c r="M85" s="131" t="n"/>
      <c r="N85" s="131" t="n"/>
      <c r="O85" s="131" t="n"/>
    </row>
    <row r="86" ht="12.75" customHeight="1" s="105">
      <c r="F86" s="131" t="n"/>
      <c r="G86" s="131" t="n"/>
      <c r="H86" s="131" t="n"/>
      <c r="I86" s="131" t="n"/>
      <c r="J86" s="131" t="n"/>
      <c r="K86" s="131" t="n"/>
      <c r="L86" s="131" t="n"/>
      <c r="M86" s="131" t="n"/>
      <c r="N86" s="131" t="n"/>
      <c r="O86" s="131" t="n"/>
    </row>
    <row r="87" ht="12.75" customHeight="1" s="105">
      <c r="F87" s="131" t="n"/>
      <c r="G87" s="131" t="n"/>
      <c r="H87" s="131" t="n"/>
      <c r="I87" s="131" t="n"/>
      <c r="J87" s="131" t="n"/>
      <c r="K87" s="131" t="n"/>
      <c r="L87" s="131" t="n"/>
      <c r="M87" s="131" t="n"/>
      <c r="N87" s="131" t="n"/>
      <c r="O87" s="131" t="n"/>
    </row>
    <row r="88" ht="12.75" customHeight="1" s="105">
      <c r="F88" s="131" t="n"/>
      <c r="G88" s="131" t="n"/>
      <c r="H88" s="131" t="n"/>
      <c r="I88" s="131" t="n"/>
      <c r="J88" s="131" t="n"/>
      <c r="K88" s="131" t="n"/>
      <c r="L88" s="131" t="n"/>
      <c r="M88" s="131" t="n"/>
      <c r="N88" s="131" t="n"/>
      <c r="O88" s="131" t="n"/>
    </row>
    <row r="89" ht="12.75" customHeight="1" s="105">
      <c r="F89" s="131" t="n"/>
      <c r="G89" s="131" t="n"/>
      <c r="H89" s="131" t="n"/>
      <c r="I89" s="131" t="n"/>
      <c r="J89" s="131" t="n"/>
      <c r="K89" s="131" t="n"/>
      <c r="L89" s="131" t="n"/>
      <c r="M89" s="131" t="n"/>
      <c r="N89" s="131" t="n"/>
      <c r="O89" s="131" t="n"/>
    </row>
    <row r="90" ht="12.75" customHeight="1" s="105">
      <c r="F90" s="131" t="n"/>
      <c r="G90" s="131" t="n"/>
      <c r="H90" s="131" t="n"/>
      <c r="I90" s="131" t="n"/>
      <c r="J90" s="131" t="n"/>
      <c r="K90" s="131" t="n"/>
      <c r="L90" s="131" t="n"/>
      <c r="M90" s="131" t="n"/>
      <c r="N90" s="131" t="n"/>
      <c r="O90" s="131" t="n"/>
    </row>
    <row r="91" ht="12.75" customHeight="1" s="105">
      <c r="F91" s="131" t="n"/>
      <c r="G91" s="131" t="n"/>
      <c r="H91" s="131" t="n"/>
      <c r="I91" s="131" t="n"/>
      <c r="J91" s="131" t="n"/>
      <c r="K91" s="131" t="n"/>
      <c r="L91" s="131" t="n"/>
      <c r="M91" s="131" t="n"/>
      <c r="N91" s="131" t="n"/>
      <c r="O91" s="131" t="n"/>
    </row>
    <row r="92" ht="12.75" customHeight="1" s="105">
      <c r="F92" s="131" t="n"/>
      <c r="G92" s="131" t="n"/>
      <c r="H92" s="131" t="n"/>
      <c r="I92" s="131" t="n"/>
      <c r="J92" s="131" t="n"/>
      <c r="K92" s="131" t="n"/>
      <c r="L92" s="131" t="n"/>
      <c r="M92" s="131" t="n"/>
      <c r="N92" s="131" t="n"/>
      <c r="O92" s="131" t="n"/>
    </row>
    <row r="93" ht="12.75" customHeight="1" s="105">
      <c r="F93" s="131" t="n"/>
      <c r="G93" s="131" t="n"/>
      <c r="H93" s="131" t="n"/>
      <c r="I93" s="131" t="n"/>
      <c r="J93" s="131" t="n"/>
      <c r="K93" s="131" t="n"/>
      <c r="L93" s="131" t="n"/>
      <c r="M93" s="131" t="n"/>
      <c r="N93" s="131" t="n"/>
      <c r="O93" s="131" t="n"/>
    </row>
    <row r="94" ht="12.75" customHeight="1" s="105">
      <c r="F94" s="131" t="n"/>
      <c r="G94" s="131" t="n"/>
      <c r="H94" s="131" t="n"/>
      <c r="I94" s="131" t="n"/>
      <c r="J94" s="131" t="n"/>
      <c r="K94" s="131" t="n"/>
      <c r="L94" s="131" t="n"/>
      <c r="M94" s="131" t="n"/>
      <c r="N94" s="131" t="n"/>
      <c r="O94" s="131" t="n"/>
    </row>
    <row r="95" ht="12.75" customHeight="1" s="105">
      <c r="F95" s="131" t="n"/>
      <c r="G95" s="131" t="n"/>
      <c r="H95" s="131" t="n"/>
      <c r="I95" s="131" t="n"/>
      <c r="J95" s="131" t="n"/>
      <c r="K95" s="131" t="n"/>
      <c r="L95" s="131" t="n"/>
      <c r="M95" s="131" t="n"/>
      <c r="N95" s="131" t="n"/>
      <c r="O95" s="131" t="n"/>
    </row>
    <row r="96" ht="12.75" customHeight="1" s="105">
      <c r="F96" s="131" t="n"/>
      <c r="G96" s="131" t="n"/>
      <c r="H96" s="131" t="n"/>
      <c r="I96" s="131" t="n"/>
      <c r="J96" s="131" t="n"/>
      <c r="K96" s="131" t="n"/>
      <c r="L96" s="131" t="n"/>
      <c r="M96" s="131" t="n"/>
      <c r="N96" s="131" t="n"/>
      <c r="O96" s="131" t="n"/>
    </row>
    <row r="97" ht="12.75" customHeight="1" s="105">
      <c r="F97" s="131" t="n"/>
      <c r="G97" s="131" t="n"/>
      <c r="H97" s="131" t="n"/>
      <c r="I97" s="131" t="n"/>
      <c r="J97" s="131" t="n"/>
      <c r="K97" s="131" t="n"/>
      <c r="L97" s="131" t="n"/>
      <c r="M97" s="131" t="n"/>
      <c r="N97" s="131" t="n"/>
      <c r="O97" s="131" t="n"/>
    </row>
    <row r="98" ht="12.75" customHeight="1" s="105">
      <c r="F98" s="131" t="n"/>
      <c r="G98" s="131" t="n"/>
      <c r="H98" s="131" t="n"/>
      <c r="I98" s="131" t="n"/>
      <c r="J98" s="131" t="n"/>
      <c r="K98" s="131" t="n"/>
      <c r="L98" s="131" t="n"/>
      <c r="M98" s="131" t="n"/>
      <c r="N98" s="131" t="n"/>
      <c r="O98" s="131" t="n"/>
    </row>
    <row r="99" ht="12.75" customHeight="1" s="105">
      <c r="F99" s="131" t="n"/>
      <c r="G99" s="131" t="n"/>
      <c r="H99" s="131" t="n"/>
      <c r="I99" s="131" t="n"/>
      <c r="J99" s="131" t="n"/>
      <c r="K99" s="131" t="n"/>
      <c r="L99" s="131" t="n"/>
      <c r="M99" s="131" t="n"/>
      <c r="N99" s="131" t="n"/>
      <c r="O99" s="131" t="n"/>
    </row>
    <row r="100" ht="12.75" customHeight="1" s="105">
      <c r="F100" s="131" t="n"/>
      <c r="G100" s="131" t="n"/>
      <c r="H100" s="131" t="n"/>
      <c r="I100" s="131" t="n"/>
      <c r="J100" s="131" t="n"/>
      <c r="K100" s="131" t="n"/>
      <c r="L100" s="131" t="n"/>
      <c r="M100" s="131" t="n"/>
      <c r="N100" s="131" t="n"/>
      <c r="O100" s="131" t="n"/>
    </row>
    <row r="101" ht="12.75" customHeight="1" s="105">
      <c r="F101" s="131" t="n"/>
      <c r="G101" s="131" t="n"/>
      <c r="H101" s="131" t="n"/>
      <c r="I101" s="131" t="n"/>
      <c r="J101" s="131" t="n"/>
      <c r="K101" s="131" t="n"/>
      <c r="L101" s="131" t="n"/>
      <c r="M101" s="131" t="n"/>
      <c r="N101" s="131" t="n"/>
      <c r="O101" s="131" t="n"/>
    </row>
    <row r="102" ht="12.75" customHeight="1" s="105">
      <c r="F102" s="131" t="n"/>
      <c r="G102" s="131" t="n"/>
      <c r="H102" s="131" t="n"/>
      <c r="I102" s="131" t="n"/>
      <c r="J102" s="131" t="n"/>
      <c r="K102" s="131" t="n"/>
      <c r="L102" s="131" t="n"/>
      <c r="M102" s="131" t="n"/>
      <c r="N102" s="131" t="n"/>
      <c r="O102" s="131" t="n"/>
    </row>
    <row r="103" ht="12.75" customHeight="1" s="105">
      <c r="F103" s="131" t="n"/>
      <c r="G103" s="131" t="n"/>
      <c r="H103" s="131" t="n"/>
      <c r="I103" s="131" t="n"/>
      <c r="J103" s="131" t="n"/>
      <c r="K103" s="131" t="n"/>
      <c r="L103" s="131" t="n"/>
      <c r="M103" s="131" t="n"/>
      <c r="N103" s="131" t="n"/>
      <c r="O103" s="131" t="n"/>
    </row>
    <row r="104" ht="12.75" customHeight="1" s="105">
      <c r="F104" s="131" t="n"/>
      <c r="G104" s="131" t="n"/>
      <c r="H104" s="131" t="n"/>
      <c r="I104" s="131" t="n"/>
      <c r="J104" s="131" t="n"/>
      <c r="K104" s="131" t="n"/>
      <c r="L104" s="131" t="n"/>
      <c r="M104" s="131" t="n"/>
      <c r="N104" s="131" t="n"/>
      <c r="O104" s="131" t="n"/>
    </row>
    <row r="105" ht="12.75" customHeight="1" s="105">
      <c r="F105" s="131" t="n"/>
      <c r="G105" s="131" t="n"/>
      <c r="H105" s="131" t="n"/>
      <c r="I105" s="131" t="n"/>
      <c r="J105" s="131" t="n"/>
      <c r="K105" s="131" t="n"/>
      <c r="L105" s="131" t="n"/>
      <c r="M105" s="131" t="n"/>
      <c r="N105" s="131" t="n"/>
      <c r="O105" s="131" t="n"/>
    </row>
    <row r="106" ht="12.75" customHeight="1" s="105">
      <c r="F106" s="131" t="n"/>
      <c r="G106" s="131" t="n"/>
      <c r="H106" s="131" t="n"/>
      <c r="I106" s="131" t="n"/>
      <c r="J106" s="131" t="n"/>
      <c r="K106" s="131" t="n"/>
      <c r="L106" s="131" t="n"/>
      <c r="M106" s="131" t="n"/>
      <c r="N106" s="131" t="n"/>
      <c r="O106" s="131" t="n"/>
    </row>
    <row r="107" ht="12.75" customHeight="1" s="105">
      <c r="F107" s="131" t="n"/>
      <c r="G107" s="131" t="n"/>
      <c r="H107" s="131" t="n"/>
      <c r="I107" s="131" t="n"/>
      <c r="J107" s="131" t="n"/>
      <c r="K107" s="131" t="n"/>
      <c r="L107" s="131" t="n"/>
      <c r="M107" s="131" t="n"/>
      <c r="N107" s="131" t="n"/>
      <c r="O107" s="131" t="n"/>
    </row>
    <row r="108" ht="12.75" customHeight="1" s="105">
      <c r="F108" s="131" t="n"/>
      <c r="G108" s="131" t="n"/>
      <c r="H108" s="131" t="n"/>
      <c r="I108" s="131" t="n"/>
      <c r="J108" s="131" t="n"/>
      <c r="K108" s="131" t="n"/>
      <c r="L108" s="131" t="n"/>
      <c r="M108" s="131" t="n"/>
      <c r="N108" s="131" t="n"/>
      <c r="O108" s="131" t="n"/>
    </row>
    <row r="109" ht="12.75" customHeight="1" s="105">
      <c r="F109" s="131" t="n"/>
      <c r="G109" s="131" t="n"/>
      <c r="H109" s="131" t="n"/>
      <c r="I109" s="131" t="n"/>
      <c r="J109" s="131" t="n"/>
      <c r="K109" s="131" t="n"/>
      <c r="L109" s="131" t="n"/>
      <c r="M109" s="131" t="n"/>
      <c r="N109" s="131" t="n"/>
      <c r="O109" s="131" t="n"/>
    </row>
    <row r="110" ht="12.75" customHeight="1" s="105">
      <c r="F110" s="131" t="n"/>
      <c r="G110" s="131" t="n"/>
      <c r="H110" s="131" t="n"/>
      <c r="I110" s="131" t="n"/>
      <c r="J110" s="131" t="n"/>
      <c r="K110" s="131" t="n"/>
      <c r="L110" s="131" t="n"/>
      <c r="M110" s="131" t="n"/>
      <c r="N110" s="131" t="n"/>
      <c r="O110" s="131" t="n"/>
    </row>
    <row r="111" ht="12.75" customHeight="1" s="105">
      <c r="F111" s="131" t="n"/>
      <c r="G111" s="131" t="n"/>
      <c r="H111" s="131" t="n"/>
      <c r="I111" s="131" t="n"/>
      <c r="J111" s="131" t="n"/>
      <c r="K111" s="131" t="n"/>
      <c r="L111" s="131" t="n"/>
      <c r="M111" s="131" t="n"/>
      <c r="N111" s="131" t="n"/>
      <c r="O111" s="131" t="n"/>
    </row>
    <row r="112" ht="12.75" customHeight="1" s="105">
      <c r="F112" s="131" t="n"/>
      <c r="G112" s="131" t="n"/>
      <c r="H112" s="131" t="n"/>
      <c r="I112" s="131" t="n"/>
      <c r="J112" s="131" t="n"/>
      <c r="K112" s="131" t="n"/>
      <c r="L112" s="131" t="n"/>
      <c r="M112" s="131" t="n"/>
      <c r="N112" s="131" t="n"/>
      <c r="O112" s="131" t="n"/>
    </row>
    <row r="113" ht="12.75" customHeight="1" s="105">
      <c r="F113" s="131" t="n"/>
      <c r="G113" s="131" t="n"/>
      <c r="H113" s="131" t="n"/>
      <c r="I113" s="131" t="n"/>
      <c r="J113" s="131" t="n"/>
      <c r="K113" s="131" t="n"/>
      <c r="L113" s="131" t="n"/>
      <c r="M113" s="131" t="n"/>
      <c r="N113" s="131" t="n"/>
      <c r="O113" s="131" t="n"/>
    </row>
    <row r="114" ht="12.75" customHeight="1" s="105">
      <c r="F114" s="131" t="n"/>
      <c r="G114" s="131" t="n"/>
      <c r="H114" s="131" t="n"/>
      <c r="I114" s="131" t="n"/>
      <c r="J114" s="131" t="n"/>
      <c r="K114" s="131" t="n"/>
      <c r="L114" s="131" t="n"/>
      <c r="M114" s="131" t="n"/>
      <c r="N114" s="131" t="n"/>
      <c r="O114" s="131" t="n"/>
    </row>
    <row r="115" ht="12.75" customHeight="1" s="105">
      <c r="F115" s="131" t="n"/>
      <c r="G115" s="131" t="n"/>
      <c r="H115" s="131" t="n"/>
      <c r="I115" s="131" t="n"/>
      <c r="J115" s="131" t="n"/>
      <c r="K115" s="131" t="n"/>
      <c r="L115" s="131" t="n"/>
      <c r="M115" s="131" t="n"/>
      <c r="N115" s="131" t="n"/>
      <c r="O115" s="131" t="n"/>
    </row>
    <row r="116" ht="12.75" customHeight="1" s="105">
      <c r="F116" s="131" t="n"/>
      <c r="G116" s="131" t="n"/>
      <c r="H116" s="131" t="n"/>
      <c r="I116" s="131" t="n"/>
      <c r="J116" s="131" t="n"/>
      <c r="K116" s="131" t="n"/>
      <c r="L116" s="131" t="n"/>
      <c r="M116" s="131" t="n"/>
      <c r="N116" s="131" t="n"/>
      <c r="O116" s="131" t="n"/>
    </row>
    <row r="117" ht="12.75" customHeight="1" s="105">
      <c r="F117" s="131" t="n"/>
      <c r="G117" s="131" t="n"/>
      <c r="H117" s="131" t="n"/>
      <c r="I117" s="131" t="n"/>
      <c r="J117" s="131" t="n"/>
      <c r="K117" s="131" t="n"/>
      <c r="L117" s="131" t="n"/>
      <c r="M117" s="131" t="n"/>
      <c r="N117" s="131" t="n"/>
      <c r="O117" s="131" t="n"/>
    </row>
    <row r="118" ht="12.75" customHeight="1" s="105">
      <c r="F118" s="131" t="n"/>
      <c r="G118" s="131" t="n"/>
      <c r="H118" s="131" t="n"/>
      <c r="I118" s="131" t="n"/>
      <c r="J118" s="131" t="n"/>
      <c r="K118" s="131" t="n"/>
      <c r="L118" s="131" t="n"/>
      <c r="M118" s="131" t="n"/>
      <c r="N118" s="131" t="n"/>
      <c r="O118" s="131" t="n"/>
    </row>
    <row r="119" ht="12.75" customHeight="1" s="105">
      <c r="F119" s="131" t="n"/>
      <c r="G119" s="131" t="n"/>
      <c r="H119" s="131" t="n"/>
      <c r="I119" s="131" t="n"/>
      <c r="J119" s="131" t="n"/>
      <c r="K119" s="131" t="n"/>
      <c r="L119" s="131" t="n"/>
      <c r="M119" s="131" t="n"/>
      <c r="N119" s="131" t="n"/>
      <c r="O119" s="131" t="n"/>
    </row>
    <row r="120" ht="12.75" customHeight="1" s="105">
      <c r="F120" s="131" t="n"/>
      <c r="G120" s="131" t="n"/>
      <c r="H120" s="131" t="n"/>
      <c r="I120" s="131" t="n"/>
      <c r="J120" s="131" t="n"/>
      <c r="K120" s="131" t="n"/>
      <c r="L120" s="131" t="n"/>
      <c r="M120" s="131" t="n"/>
      <c r="N120" s="131" t="n"/>
      <c r="O120" s="131" t="n"/>
    </row>
    <row r="121" ht="12.75" customHeight="1" s="105">
      <c r="F121" s="131" t="n"/>
      <c r="G121" s="131" t="n"/>
      <c r="H121" s="131" t="n"/>
      <c r="I121" s="131" t="n"/>
      <c r="J121" s="131" t="n"/>
      <c r="K121" s="131" t="n"/>
      <c r="L121" s="131" t="n"/>
      <c r="M121" s="131" t="n"/>
      <c r="N121" s="131" t="n"/>
      <c r="O121" s="131" t="n"/>
    </row>
    <row r="122" ht="12.75" customHeight="1" s="105">
      <c r="F122" s="131" t="n"/>
      <c r="G122" s="131" t="n"/>
      <c r="H122" s="131" t="n"/>
      <c r="I122" s="131" t="n"/>
      <c r="J122" s="131" t="n"/>
      <c r="K122" s="131" t="n"/>
      <c r="L122" s="131" t="n"/>
      <c r="M122" s="131" t="n"/>
      <c r="N122" s="131" t="n"/>
      <c r="O122" s="131" t="n"/>
    </row>
    <row r="123" ht="12.75" customHeight="1" s="105">
      <c r="F123" s="131" t="n"/>
      <c r="G123" s="131" t="n"/>
      <c r="H123" s="131" t="n"/>
      <c r="I123" s="131" t="n"/>
      <c r="J123" s="131" t="n"/>
      <c r="K123" s="131" t="n"/>
      <c r="L123" s="131" t="n"/>
      <c r="M123" s="131" t="n"/>
      <c r="N123" s="131" t="n"/>
      <c r="O123" s="131" t="n"/>
    </row>
    <row r="124" ht="12.75" customHeight="1" s="105">
      <c r="F124" s="131" t="n"/>
      <c r="G124" s="131" t="n"/>
      <c r="H124" s="131" t="n"/>
      <c r="I124" s="131" t="n"/>
      <c r="J124" s="131" t="n"/>
      <c r="K124" s="131" t="n"/>
      <c r="L124" s="131" t="n"/>
      <c r="M124" s="131" t="n"/>
      <c r="N124" s="131" t="n"/>
      <c r="O124" s="131" t="n"/>
    </row>
    <row r="125" ht="12.75" customHeight="1" s="105">
      <c r="F125" s="131" t="n"/>
      <c r="G125" s="131" t="n"/>
      <c r="H125" s="131" t="n"/>
      <c r="I125" s="131" t="n"/>
      <c r="J125" s="131" t="n"/>
      <c r="K125" s="131" t="n"/>
      <c r="L125" s="131" t="n"/>
      <c r="M125" s="131" t="n"/>
      <c r="N125" s="131" t="n"/>
      <c r="O125" s="131" t="n"/>
    </row>
    <row r="126" ht="12.75" customHeight="1" s="105">
      <c r="F126" s="131" t="n"/>
      <c r="G126" s="131" t="n"/>
      <c r="H126" s="131" t="n"/>
      <c r="I126" s="131" t="n"/>
      <c r="J126" s="131" t="n"/>
      <c r="K126" s="131" t="n"/>
      <c r="L126" s="131" t="n"/>
      <c r="M126" s="131" t="n"/>
      <c r="N126" s="131" t="n"/>
      <c r="O126" s="131" t="n"/>
    </row>
    <row r="127" ht="12.75" customHeight="1" s="105">
      <c r="F127" s="131" t="n"/>
      <c r="G127" s="131" t="n"/>
      <c r="H127" s="131" t="n"/>
      <c r="I127" s="131" t="n"/>
      <c r="J127" s="131" t="n"/>
      <c r="K127" s="131" t="n"/>
      <c r="L127" s="131" t="n"/>
      <c r="M127" s="131" t="n"/>
      <c r="N127" s="131" t="n"/>
      <c r="O127" s="131" t="n"/>
    </row>
    <row r="128" ht="12.75" customHeight="1" s="105">
      <c r="F128" s="131" t="n"/>
      <c r="G128" s="131" t="n"/>
      <c r="H128" s="131" t="n"/>
      <c r="I128" s="131" t="n"/>
      <c r="J128" s="131" t="n"/>
      <c r="K128" s="131" t="n"/>
      <c r="L128" s="131" t="n"/>
      <c r="M128" s="131" t="n"/>
      <c r="N128" s="131" t="n"/>
      <c r="O128" s="131" t="n"/>
    </row>
    <row r="129" ht="12.75" customHeight="1" s="105">
      <c r="F129" s="131" t="n"/>
      <c r="G129" s="131" t="n"/>
      <c r="H129" s="131" t="n"/>
      <c r="I129" s="131" t="n"/>
      <c r="J129" s="131" t="n"/>
      <c r="K129" s="131" t="n"/>
      <c r="L129" s="131" t="n"/>
      <c r="M129" s="131" t="n"/>
      <c r="N129" s="131" t="n"/>
      <c r="O129" s="131" t="n"/>
    </row>
    <row r="130" ht="12.75" customHeight="1" s="105">
      <c r="F130" s="131" t="n"/>
      <c r="G130" s="131" t="n"/>
      <c r="H130" s="131" t="n"/>
      <c r="I130" s="131" t="n"/>
      <c r="J130" s="131" t="n"/>
      <c r="K130" s="131" t="n"/>
      <c r="L130" s="131" t="n"/>
      <c r="M130" s="131" t="n"/>
      <c r="N130" s="131" t="n"/>
      <c r="O130" s="131" t="n"/>
    </row>
    <row r="131" ht="12.75" customHeight="1" s="105">
      <c r="F131" s="131" t="n"/>
      <c r="G131" s="131" t="n"/>
      <c r="H131" s="131" t="n"/>
      <c r="I131" s="131" t="n"/>
      <c r="J131" s="131" t="n"/>
      <c r="K131" s="131" t="n"/>
      <c r="L131" s="131" t="n"/>
      <c r="M131" s="131" t="n"/>
      <c r="N131" s="131" t="n"/>
      <c r="O131" s="131" t="n"/>
    </row>
    <row r="132" ht="12.75" customHeight="1" s="105">
      <c r="F132" s="131" t="n"/>
      <c r="G132" s="131" t="n"/>
      <c r="H132" s="131" t="n"/>
      <c r="I132" s="131" t="n"/>
      <c r="J132" s="131" t="n"/>
      <c r="K132" s="131" t="n"/>
      <c r="L132" s="131" t="n"/>
      <c r="M132" s="131" t="n"/>
      <c r="N132" s="131" t="n"/>
      <c r="O132" s="131" t="n"/>
    </row>
    <row r="133" ht="12.75" customHeight="1" s="105">
      <c r="F133" s="131" t="n"/>
      <c r="G133" s="131" t="n"/>
      <c r="H133" s="131" t="n"/>
      <c r="I133" s="131" t="n"/>
      <c r="J133" s="131" t="n"/>
      <c r="K133" s="131" t="n"/>
      <c r="L133" s="131" t="n"/>
      <c r="M133" s="131" t="n"/>
      <c r="N133" s="131" t="n"/>
      <c r="O133" s="131" t="n"/>
    </row>
    <row r="134" ht="12.75" customHeight="1" s="105">
      <c r="F134" s="131" t="n"/>
      <c r="G134" s="131" t="n"/>
      <c r="H134" s="131" t="n"/>
      <c r="I134" s="131" t="n"/>
      <c r="J134" s="131" t="n"/>
      <c r="K134" s="131" t="n"/>
      <c r="L134" s="131" t="n"/>
      <c r="M134" s="131" t="n"/>
      <c r="N134" s="131" t="n"/>
      <c r="O134" s="131" t="n"/>
    </row>
    <row r="135" ht="12.75" customHeight="1" s="105">
      <c r="F135" s="131" t="n"/>
      <c r="G135" s="131" t="n"/>
      <c r="H135" s="131" t="n"/>
      <c r="I135" s="131" t="n"/>
      <c r="J135" s="131" t="n"/>
      <c r="K135" s="131" t="n"/>
      <c r="L135" s="131" t="n"/>
      <c r="M135" s="131" t="n"/>
      <c r="N135" s="131" t="n"/>
      <c r="O135" s="131" t="n"/>
    </row>
    <row r="136" ht="12.75" customHeight="1" s="105">
      <c r="F136" s="131" t="n"/>
      <c r="G136" s="131" t="n"/>
      <c r="H136" s="131" t="n"/>
      <c r="I136" s="131" t="n"/>
      <c r="J136" s="131" t="n"/>
      <c r="K136" s="131" t="n"/>
      <c r="L136" s="131" t="n"/>
      <c r="M136" s="131" t="n"/>
      <c r="N136" s="131" t="n"/>
      <c r="O136" s="131" t="n"/>
    </row>
    <row r="137" ht="12.75" customHeight="1" s="105">
      <c r="F137" s="131" t="n"/>
      <c r="G137" s="131" t="n"/>
      <c r="H137" s="131" t="n"/>
      <c r="I137" s="131" t="n"/>
      <c r="J137" s="131" t="n"/>
      <c r="K137" s="131" t="n"/>
      <c r="L137" s="131" t="n"/>
      <c r="M137" s="131" t="n"/>
      <c r="N137" s="131" t="n"/>
      <c r="O137" s="131" t="n"/>
    </row>
    <row r="138" ht="12.75" customHeight="1" s="105">
      <c r="F138" s="131" t="n"/>
      <c r="G138" s="131" t="n"/>
      <c r="H138" s="131" t="n"/>
      <c r="I138" s="131" t="n"/>
      <c r="J138" s="131" t="n"/>
      <c r="K138" s="131" t="n"/>
      <c r="L138" s="131" t="n"/>
      <c r="M138" s="131" t="n"/>
      <c r="N138" s="131" t="n"/>
      <c r="O138" s="131" t="n"/>
    </row>
    <row r="139" ht="12.75" customHeight="1" s="105">
      <c r="F139" s="131" t="n"/>
      <c r="G139" s="131" t="n"/>
      <c r="H139" s="131" t="n"/>
      <c r="I139" s="131" t="n"/>
      <c r="J139" s="131" t="n"/>
      <c r="K139" s="131" t="n"/>
      <c r="L139" s="131" t="n"/>
      <c r="M139" s="131" t="n"/>
      <c r="N139" s="131" t="n"/>
      <c r="O139" s="131" t="n"/>
    </row>
    <row r="140" ht="12.75" customHeight="1" s="105">
      <c r="F140" s="131" t="n"/>
      <c r="G140" s="131" t="n"/>
      <c r="H140" s="131" t="n"/>
      <c r="I140" s="131" t="n"/>
      <c r="J140" s="131" t="n"/>
      <c r="K140" s="131" t="n"/>
      <c r="L140" s="131" t="n"/>
      <c r="M140" s="131" t="n"/>
      <c r="N140" s="131" t="n"/>
      <c r="O140" s="131" t="n"/>
    </row>
    <row r="141" ht="12.75" customHeight="1" s="105">
      <c r="F141" s="131" t="n"/>
      <c r="G141" s="131" t="n"/>
      <c r="H141" s="131" t="n"/>
      <c r="I141" s="131" t="n"/>
      <c r="J141" s="131" t="n"/>
      <c r="K141" s="131" t="n"/>
      <c r="L141" s="131" t="n"/>
      <c r="M141" s="131" t="n"/>
      <c r="N141" s="131" t="n"/>
      <c r="O141" s="131" t="n"/>
    </row>
    <row r="142" ht="12.75" customHeight="1" s="105">
      <c r="F142" s="131" t="n"/>
      <c r="G142" s="131" t="n"/>
      <c r="H142" s="131" t="n"/>
      <c r="I142" s="131" t="n"/>
      <c r="J142" s="131" t="n"/>
      <c r="K142" s="131" t="n"/>
      <c r="L142" s="131" t="n"/>
      <c r="M142" s="131" t="n"/>
      <c r="N142" s="131" t="n"/>
      <c r="O142" s="131" t="n"/>
    </row>
    <row r="143" ht="12.75" customHeight="1" s="105">
      <c r="F143" s="131" t="n"/>
      <c r="G143" s="131" t="n"/>
      <c r="H143" s="131" t="n"/>
      <c r="I143" s="131" t="n"/>
      <c r="J143" s="131" t="n"/>
      <c r="K143" s="131" t="n"/>
      <c r="L143" s="131" t="n"/>
      <c r="M143" s="131" t="n"/>
      <c r="N143" s="131" t="n"/>
      <c r="O143" s="131" t="n"/>
    </row>
    <row r="144" ht="12.75" customHeight="1" s="105">
      <c r="F144" s="131" t="n"/>
      <c r="G144" s="131" t="n"/>
      <c r="H144" s="131" t="n"/>
      <c r="I144" s="131" t="n"/>
      <c r="J144" s="131" t="n"/>
      <c r="K144" s="131" t="n"/>
      <c r="L144" s="131" t="n"/>
      <c r="M144" s="131" t="n"/>
      <c r="N144" s="131" t="n"/>
      <c r="O144" s="131" t="n"/>
    </row>
    <row r="145" ht="12.75" customHeight="1" s="105">
      <c r="F145" s="131" t="n"/>
      <c r="G145" s="131" t="n"/>
      <c r="H145" s="131" t="n"/>
      <c r="I145" s="131" t="n"/>
      <c r="J145" s="131" t="n"/>
      <c r="K145" s="131" t="n"/>
      <c r="L145" s="131" t="n"/>
      <c r="M145" s="131" t="n"/>
      <c r="N145" s="131" t="n"/>
      <c r="O145" s="131" t="n"/>
    </row>
    <row r="146" ht="12.75" customHeight="1" s="105">
      <c r="F146" s="131" t="n"/>
      <c r="G146" s="131" t="n"/>
      <c r="H146" s="131" t="n"/>
      <c r="I146" s="131" t="n"/>
      <c r="J146" s="131" t="n"/>
      <c r="K146" s="131" t="n"/>
      <c r="L146" s="131" t="n"/>
      <c r="M146" s="131" t="n"/>
      <c r="N146" s="131" t="n"/>
      <c r="O146" s="131" t="n"/>
    </row>
    <row r="147" ht="12.75" customHeight="1" s="105">
      <c r="F147" s="131" t="n"/>
      <c r="G147" s="131" t="n"/>
      <c r="H147" s="131" t="n"/>
      <c r="I147" s="131" t="n"/>
      <c r="J147" s="131" t="n"/>
      <c r="K147" s="131" t="n"/>
      <c r="L147" s="131" t="n"/>
      <c r="M147" s="131" t="n"/>
      <c r="N147" s="131" t="n"/>
      <c r="O147" s="131" t="n"/>
    </row>
    <row r="148" ht="12.75" customHeight="1" s="105">
      <c r="F148" s="131" t="n"/>
      <c r="G148" s="131" t="n"/>
      <c r="H148" s="131" t="n"/>
      <c r="I148" s="131" t="n"/>
      <c r="J148" s="131" t="n"/>
      <c r="K148" s="131" t="n"/>
      <c r="L148" s="131" t="n"/>
      <c r="M148" s="131" t="n"/>
      <c r="N148" s="131" t="n"/>
      <c r="O148" s="131" t="n"/>
    </row>
    <row r="149" ht="12.75" customHeight="1" s="105">
      <c r="F149" s="131" t="n"/>
      <c r="G149" s="131" t="n"/>
      <c r="H149" s="131" t="n"/>
      <c r="I149" s="131" t="n"/>
      <c r="J149" s="131" t="n"/>
      <c r="K149" s="131" t="n"/>
      <c r="L149" s="131" t="n"/>
      <c r="M149" s="131" t="n"/>
      <c r="N149" s="131" t="n"/>
      <c r="O149" s="131" t="n"/>
    </row>
    <row r="150" ht="12.75" customHeight="1" s="105">
      <c r="F150" s="131" t="n"/>
      <c r="G150" s="131" t="n"/>
      <c r="H150" s="131" t="n"/>
      <c r="I150" s="131" t="n"/>
      <c r="J150" s="131" t="n"/>
      <c r="K150" s="131" t="n"/>
      <c r="L150" s="131" t="n"/>
      <c r="M150" s="131" t="n"/>
      <c r="N150" s="131" t="n"/>
      <c r="O150" s="131" t="n"/>
    </row>
    <row r="151" ht="12.75" customHeight="1" s="105">
      <c r="F151" s="131" t="n"/>
      <c r="G151" s="131" t="n"/>
      <c r="H151" s="131" t="n"/>
      <c r="I151" s="131" t="n"/>
      <c r="J151" s="131" t="n"/>
      <c r="K151" s="131" t="n"/>
      <c r="L151" s="131" t="n"/>
      <c r="M151" s="131" t="n"/>
      <c r="N151" s="131" t="n"/>
      <c r="O151" s="131" t="n"/>
    </row>
    <row r="152" ht="12.75" customHeight="1" s="105">
      <c r="F152" s="131" t="n"/>
      <c r="G152" s="131" t="n"/>
      <c r="H152" s="131" t="n"/>
      <c r="I152" s="131" t="n"/>
      <c r="J152" s="131" t="n"/>
      <c r="K152" s="131" t="n"/>
      <c r="L152" s="131" t="n"/>
      <c r="M152" s="131" t="n"/>
      <c r="N152" s="131" t="n"/>
      <c r="O152" s="131" t="n"/>
    </row>
    <row r="153" ht="12.75" customHeight="1" s="105">
      <c r="F153" s="131" t="n"/>
      <c r="G153" s="131" t="n"/>
      <c r="H153" s="131" t="n"/>
      <c r="I153" s="131" t="n"/>
      <c r="J153" s="131" t="n"/>
      <c r="K153" s="131" t="n"/>
      <c r="L153" s="131" t="n"/>
      <c r="M153" s="131" t="n"/>
      <c r="N153" s="131" t="n"/>
      <c r="O153" s="131" t="n"/>
    </row>
    <row r="154" ht="12.75" customHeight="1" s="105">
      <c r="F154" s="131" t="n"/>
      <c r="G154" s="131" t="n"/>
      <c r="H154" s="131" t="n"/>
      <c r="I154" s="131" t="n"/>
      <c r="J154" s="131" t="n"/>
      <c r="K154" s="131" t="n"/>
      <c r="L154" s="131" t="n"/>
      <c r="M154" s="131" t="n"/>
      <c r="N154" s="131" t="n"/>
      <c r="O154" s="131" t="n"/>
    </row>
    <row r="155" ht="12.75" customHeight="1" s="105">
      <c r="F155" s="131" t="n"/>
      <c r="G155" s="131" t="n"/>
      <c r="H155" s="131" t="n"/>
      <c r="I155" s="131" t="n"/>
      <c r="J155" s="131" t="n"/>
      <c r="K155" s="131" t="n"/>
      <c r="L155" s="131" t="n"/>
      <c r="M155" s="131" t="n"/>
      <c r="N155" s="131" t="n"/>
      <c r="O155" s="131" t="n"/>
    </row>
    <row r="156" ht="12.75" customHeight="1" s="105">
      <c r="F156" s="131" t="n"/>
      <c r="G156" s="131" t="n"/>
      <c r="H156" s="131" t="n"/>
      <c r="I156" s="131" t="n"/>
      <c r="J156" s="131" t="n"/>
      <c r="K156" s="131" t="n"/>
      <c r="L156" s="131" t="n"/>
      <c r="M156" s="131" t="n"/>
      <c r="N156" s="131" t="n"/>
      <c r="O156" s="131" t="n"/>
    </row>
    <row r="157" ht="12.75" customHeight="1" s="105">
      <c r="F157" s="131" t="n"/>
      <c r="G157" s="131" t="n"/>
      <c r="H157" s="131" t="n"/>
      <c r="I157" s="131" t="n"/>
      <c r="J157" s="131" t="n"/>
      <c r="K157" s="131" t="n"/>
      <c r="L157" s="131" t="n"/>
      <c r="M157" s="131" t="n"/>
      <c r="N157" s="131" t="n"/>
      <c r="O157" s="131" t="n"/>
    </row>
    <row r="158" ht="12.75" customHeight="1" s="105">
      <c r="F158" s="131" t="n"/>
      <c r="G158" s="131" t="n"/>
      <c r="H158" s="131" t="n"/>
      <c r="I158" s="131" t="n"/>
      <c r="J158" s="131" t="n"/>
      <c r="K158" s="131" t="n"/>
      <c r="L158" s="131" t="n"/>
      <c r="M158" s="131" t="n"/>
      <c r="N158" s="131" t="n"/>
      <c r="O158" s="131" t="n"/>
    </row>
    <row r="159" ht="12.75" customHeight="1" s="105">
      <c r="F159" s="131" t="n"/>
      <c r="G159" s="131" t="n"/>
      <c r="H159" s="131" t="n"/>
      <c r="I159" s="131" t="n"/>
      <c r="J159" s="131" t="n"/>
      <c r="K159" s="131" t="n"/>
      <c r="L159" s="131" t="n"/>
      <c r="M159" s="131" t="n"/>
      <c r="N159" s="131" t="n"/>
      <c r="O159" s="131" t="n"/>
    </row>
    <row r="160" ht="12.75" customHeight="1" s="105">
      <c r="F160" s="131" t="n"/>
      <c r="G160" s="131" t="n"/>
      <c r="H160" s="131" t="n"/>
      <c r="I160" s="131" t="n"/>
      <c r="J160" s="131" t="n"/>
      <c r="K160" s="131" t="n"/>
      <c r="L160" s="131" t="n"/>
      <c r="M160" s="131" t="n"/>
      <c r="N160" s="131" t="n"/>
      <c r="O160" s="131" t="n"/>
    </row>
    <row r="161" ht="12.75" customHeight="1" s="105">
      <c r="F161" s="131" t="n"/>
      <c r="G161" s="131" t="n"/>
      <c r="H161" s="131" t="n"/>
      <c r="I161" s="131" t="n"/>
      <c r="J161" s="131" t="n"/>
      <c r="K161" s="131" t="n"/>
      <c r="L161" s="131" t="n"/>
      <c r="M161" s="131" t="n"/>
      <c r="N161" s="131" t="n"/>
      <c r="O161" s="131" t="n"/>
    </row>
    <row r="162" ht="12.75" customHeight="1" s="105">
      <c r="F162" s="131" t="n"/>
      <c r="G162" s="131" t="n"/>
      <c r="H162" s="131" t="n"/>
      <c r="I162" s="131" t="n"/>
      <c r="J162" s="131" t="n"/>
      <c r="K162" s="131" t="n"/>
      <c r="L162" s="131" t="n"/>
      <c r="M162" s="131" t="n"/>
      <c r="N162" s="131" t="n"/>
      <c r="O162" s="131" t="n"/>
    </row>
    <row r="163" ht="12.75" customHeight="1" s="105">
      <c r="F163" s="131" t="n"/>
      <c r="G163" s="131" t="n"/>
      <c r="H163" s="131" t="n"/>
      <c r="I163" s="131" t="n"/>
      <c r="J163" s="131" t="n"/>
      <c r="K163" s="131" t="n"/>
      <c r="L163" s="131" t="n"/>
      <c r="M163" s="131" t="n"/>
      <c r="N163" s="131" t="n"/>
      <c r="O163" s="131" t="n"/>
    </row>
    <row r="164" ht="12.75" customHeight="1" s="105">
      <c r="F164" s="131" t="n"/>
      <c r="G164" s="131" t="n"/>
      <c r="H164" s="131" t="n"/>
      <c r="I164" s="131" t="n"/>
      <c r="J164" s="131" t="n"/>
      <c r="K164" s="131" t="n"/>
      <c r="L164" s="131" t="n"/>
      <c r="M164" s="131" t="n"/>
      <c r="N164" s="131" t="n"/>
      <c r="O164" s="131" t="n"/>
    </row>
    <row r="165" ht="12.75" customHeight="1" s="105">
      <c r="F165" s="131" t="n"/>
      <c r="G165" s="131" t="n"/>
      <c r="H165" s="131" t="n"/>
      <c r="I165" s="131" t="n"/>
      <c r="J165" s="131" t="n"/>
      <c r="K165" s="131" t="n"/>
      <c r="L165" s="131" t="n"/>
      <c r="M165" s="131" t="n"/>
      <c r="N165" s="131" t="n"/>
      <c r="O165" s="131" t="n"/>
    </row>
    <row r="166" ht="12.75" customHeight="1" s="105">
      <c r="F166" s="131" t="n"/>
      <c r="G166" s="131" t="n"/>
      <c r="H166" s="131" t="n"/>
      <c r="I166" s="131" t="n"/>
      <c r="J166" s="131" t="n"/>
      <c r="K166" s="131" t="n"/>
      <c r="L166" s="131" t="n"/>
      <c r="M166" s="131" t="n"/>
      <c r="N166" s="131" t="n"/>
      <c r="O166" s="131" t="n"/>
    </row>
    <row r="167" ht="12.75" customHeight="1" s="105">
      <c r="F167" s="131" t="n"/>
      <c r="G167" s="131" t="n"/>
      <c r="H167" s="131" t="n"/>
      <c r="I167" s="131" t="n"/>
      <c r="J167" s="131" t="n"/>
      <c r="K167" s="131" t="n"/>
      <c r="L167" s="131" t="n"/>
      <c r="M167" s="131" t="n"/>
      <c r="N167" s="131" t="n"/>
      <c r="O167" s="131" t="n"/>
    </row>
    <row r="168" ht="12.75" customHeight="1" s="105">
      <c r="F168" s="131" t="n"/>
      <c r="G168" s="131" t="n"/>
      <c r="H168" s="131" t="n"/>
      <c r="I168" s="131" t="n"/>
      <c r="J168" s="131" t="n"/>
      <c r="K168" s="131" t="n"/>
      <c r="L168" s="131" t="n"/>
      <c r="M168" s="131" t="n"/>
      <c r="N168" s="131" t="n"/>
      <c r="O168" s="131" t="n"/>
    </row>
    <row r="169" ht="12.75" customHeight="1" s="105">
      <c r="F169" s="131" t="n"/>
      <c r="G169" s="131" t="n"/>
      <c r="H169" s="131" t="n"/>
      <c r="I169" s="131" t="n"/>
      <c r="J169" s="131" t="n"/>
      <c r="K169" s="131" t="n"/>
      <c r="L169" s="131" t="n"/>
      <c r="M169" s="131" t="n"/>
      <c r="N169" s="131" t="n"/>
      <c r="O169" s="131" t="n"/>
    </row>
    <row r="170" ht="12.75" customHeight="1" s="105">
      <c r="F170" s="131" t="n"/>
      <c r="G170" s="131" t="n"/>
      <c r="H170" s="131" t="n"/>
      <c r="I170" s="131" t="n"/>
      <c r="J170" s="131" t="n"/>
      <c r="K170" s="131" t="n"/>
      <c r="L170" s="131" t="n"/>
      <c r="M170" s="131" t="n"/>
      <c r="N170" s="131" t="n"/>
      <c r="O170" s="131" t="n"/>
    </row>
    <row r="171" ht="12.75" customHeight="1" s="105">
      <c r="F171" s="131" t="n"/>
      <c r="G171" s="131" t="n"/>
      <c r="H171" s="131" t="n"/>
      <c r="I171" s="131" t="n"/>
      <c r="J171" s="131" t="n"/>
      <c r="K171" s="131" t="n"/>
      <c r="L171" s="131" t="n"/>
      <c r="M171" s="131" t="n"/>
      <c r="N171" s="131" t="n"/>
      <c r="O171" s="131" t="n"/>
    </row>
    <row r="172" ht="12.75" customHeight="1" s="105">
      <c r="F172" s="131" t="n"/>
      <c r="G172" s="131" t="n"/>
      <c r="H172" s="131" t="n"/>
      <c r="I172" s="131" t="n"/>
      <c r="J172" s="131" t="n"/>
      <c r="K172" s="131" t="n"/>
      <c r="L172" s="131" t="n"/>
      <c r="M172" s="131" t="n"/>
      <c r="N172" s="131" t="n"/>
      <c r="O172" s="131" t="n"/>
    </row>
    <row r="173" ht="12.75" customHeight="1" s="105">
      <c r="F173" s="131" t="n"/>
      <c r="G173" s="131" t="n"/>
      <c r="H173" s="131" t="n"/>
      <c r="I173" s="131" t="n"/>
      <c r="J173" s="131" t="n"/>
      <c r="K173" s="131" t="n"/>
      <c r="L173" s="131" t="n"/>
      <c r="M173" s="131" t="n"/>
      <c r="N173" s="131" t="n"/>
      <c r="O173" s="131" t="n"/>
    </row>
    <row r="174" ht="12.75" customHeight="1" s="105">
      <c r="F174" s="131" t="n"/>
      <c r="G174" s="131" t="n"/>
      <c r="H174" s="131" t="n"/>
      <c r="I174" s="131" t="n"/>
      <c r="J174" s="131" t="n"/>
      <c r="K174" s="131" t="n"/>
      <c r="L174" s="131" t="n"/>
      <c r="M174" s="131" t="n"/>
      <c r="N174" s="131" t="n"/>
      <c r="O174" s="131" t="n"/>
    </row>
    <row r="175" ht="12.75" customHeight="1" s="105">
      <c r="F175" s="131" t="n"/>
      <c r="G175" s="131" t="n"/>
      <c r="H175" s="131" t="n"/>
      <c r="I175" s="131" t="n"/>
      <c r="J175" s="131" t="n"/>
      <c r="K175" s="131" t="n"/>
      <c r="L175" s="131" t="n"/>
      <c r="M175" s="131" t="n"/>
      <c r="N175" s="131" t="n"/>
      <c r="O175" s="131" t="n"/>
    </row>
    <row r="176" ht="12.75" customHeight="1" s="105">
      <c r="F176" s="131" t="n"/>
      <c r="G176" s="131" t="n"/>
      <c r="H176" s="131" t="n"/>
      <c r="I176" s="131" t="n"/>
      <c r="J176" s="131" t="n"/>
      <c r="K176" s="131" t="n"/>
      <c r="L176" s="131" t="n"/>
      <c r="M176" s="131" t="n"/>
      <c r="N176" s="131" t="n"/>
      <c r="O176" s="131" t="n"/>
    </row>
    <row r="177" ht="12.75" customHeight="1" s="105">
      <c r="F177" s="131" t="n"/>
      <c r="G177" s="131" t="n"/>
      <c r="H177" s="131" t="n"/>
      <c r="I177" s="131" t="n"/>
      <c r="J177" s="131" t="n"/>
      <c r="K177" s="131" t="n"/>
      <c r="L177" s="131" t="n"/>
      <c r="M177" s="131" t="n"/>
      <c r="N177" s="131" t="n"/>
      <c r="O177" s="131" t="n"/>
    </row>
    <row r="178" ht="12.75" customHeight="1" s="105">
      <c r="F178" s="131" t="n"/>
      <c r="G178" s="131" t="n"/>
      <c r="H178" s="131" t="n"/>
      <c r="I178" s="131" t="n"/>
      <c r="J178" s="131" t="n"/>
      <c r="K178" s="131" t="n"/>
      <c r="L178" s="131" t="n"/>
      <c r="M178" s="131" t="n"/>
      <c r="N178" s="131" t="n"/>
      <c r="O178" s="131" t="n"/>
    </row>
    <row r="179" ht="12.75" customHeight="1" s="105">
      <c r="F179" s="131" t="n"/>
      <c r="G179" s="131" t="n"/>
      <c r="H179" s="131" t="n"/>
      <c r="I179" s="131" t="n"/>
      <c r="J179" s="131" t="n"/>
      <c r="K179" s="131" t="n"/>
      <c r="L179" s="131" t="n"/>
      <c r="M179" s="131" t="n"/>
      <c r="N179" s="131" t="n"/>
      <c r="O179" s="131" t="n"/>
    </row>
    <row r="180" ht="12.75" customHeight="1" s="105">
      <c r="F180" s="131" t="n"/>
      <c r="G180" s="131" t="n"/>
      <c r="H180" s="131" t="n"/>
      <c r="I180" s="131" t="n"/>
      <c r="J180" s="131" t="n"/>
      <c r="K180" s="131" t="n"/>
      <c r="L180" s="131" t="n"/>
      <c r="M180" s="131" t="n"/>
      <c r="N180" s="131" t="n"/>
      <c r="O180" s="131" t="n"/>
    </row>
    <row r="181" ht="12.75" customHeight="1" s="105">
      <c r="F181" s="131" t="n"/>
      <c r="G181" s="131" t="n"/>
      <c r="H181" s="131" t="n"/>
      <c r="I181" s="131" t="n"/>
      <c r="J181" s="131" t="n"/>
      <c r="K181" s="131" t="n"/>
      <c r="L181" s="131" t="n"/>
      <c r="M181" s="131" t="n"/>
      <c r="N181" s="131" t="n"/>
      <c r="O181" s="131" t="n"/>
    </row>
    <row r="182" ht="12.75" customHeight="1" s="105">
      <c r="F182" s="131" t="n"/>
      <c r="G182" s="131" t="n"/>
      <c r="H182" s="131" t="n"/>
      <c r="I182" s="131" t="n"/>
      <c r="J182" s="131" t="n"/>
      <c r="K182" s="131" t="n"/>
      <c r="L182" s="131" t="n"/>
      <c r="M182" s="131" t="n"/>
      <c r="N182" s="131" t="n"/>
      <c r="O182" s="131" t="n"/>
    </row>
    <row r="183" ht="12.75" customHeight="1" s="105">
      <c r="F183" s="131" t="n"/>
      <c r="G183" s="131" t="n"/>
      <c r="H183" s="131" t="n"/>
      <c r="I183" s="131" t="n"/>
      <c r="J183" s="131" t="n"/>
      <c r="K183" s="131" t="n"/>
      <c r="L183" s="131" t="n"/>
      <c r="M183" s="131" t="n"/>
      <c r="N183" s="131" t="n"/>
      <c r="O183" s="131" t="n"/>
    </row>
    <row r="184" ht="12.75" customHeight="1" s="105">
      <c r="F184" s="131" t="n"/>
      <c r="G184" s="131" t="n"/>
      <c r="H184" s="131" t="n"/>
      <c r="I184" s="131" t="n"/>
      <c r="J184" s="131" t="n"/>
      <c r="K184" s="131" t="n"/>
      <c r="L184" s="131" t="n"/>
      <c r="M184" s="131" t="n"/>
      <c r="N184" s="131" t="n"/>
      <c r="O184" s="131" t="n"/>
    </row>
    <row r="185" ht="12.75" customHeight="1" s="105">
      <c r="F185" s="131" t="n"/>
      <c r="G185" s="131" t="n"/>
      <c r="H185" s="131" t="n"/>
      <c r="I185" s="131" t="n"/>
      <c r="J185" s="131" t="n"/>
      <c r="K185" s="131" t="n"/>
      <c r="L185" s="131" t="n"/>
      <c r="M185" s="131" t="n"/>
      <c r="N185" s="131" t="n"/>
      <c r="O185" s="131" t="n"/>
    </row>
    <row r="186" ht="12.75" customHeight="1" s="105">
      <c r="F186" s="131" t="n"/>
      <c r="G186" s="131" t="n"/>
      <c r="H186" s="131" t="n"/>
      <c r="I186" s="131" t="n"/>
      <c r="J186" s="131" t="n"/>
      <c r="K186" s="131" t="n"/>
      <c r="L186" s="131" t="n"/>
      <c r="M186" s="131" t="n"/>
      <c r="N186" s="131" t="n"/>
      <c r="O186" s="131" t="n"/>
    </row>
    <row r="187" ht="12.75" customHeight="1" s="105">
      <c r="F187" s="131" t="n"/>
      <c r="G187" s="131" t="n"/>
      <c r="H187" s="131" t="n"/>
      <c r="I187" s="131" t="n"/>
      <c r="J187" s="131" t="n"/>
      <c r="K187" s="131" t="n"/>
      <c r="L187" s="131" t="n"/>
      <c r="M187" s="131" t="n"/>
      <c r="N187" s="131" t="n"/>
      <c r="O187" s="131" t="n"/>
    </row>
    <row r="188" ht="12.75" customHeight="1" s="105">
      <c r="F188" s="131" t="n"/>
      <c r="G188" s="131" t="n"/>
      <c r="H188" s="131" t="n"/>
      <c r="I188" s="131" t="n"/>
      <c r="J188" s="131" t="n"/>
      <c r="K188" s="131" t="n"/>
      <c r="L188" s="131" t="n"/>
      <c r="M188" s="131" t="n"/>
      <c r="N188" s="131" t="n"/>
      <c r="O188" s="131" t="n"/>
    </row>
    <row r="189" ht="12.75" customHeight="1" s="105">
      <c r="F189" s="131" t="n"/>
      <c r="G189" s="131" t="n"/>
      <c r="H189" s="131" t="n"/>
      <c r="I189" s="131" t="n"/>
      <c r="J189" s="131" t="n"/>
      <c r="K189" s="131" t="n"/>
      <c r="L189" s="131" t="n"/>
      <c r="M189" s="131" t="n"/>
      <c r="N189" s="131" t="n"/>
      <c r="O189" s="131" t="n"/>
    </row>
    <row r="190" ht="12.75" customHeight="1" s="105">
      <c r="F190" s="131" t="n"/>
      <c r="G190" s="131" t="n"/>
      <c r="H190" s="131" t="n"/>
      <c r="I190" s="131" t="n"/>
      <c r="J190" s="131" t="n"/>
      <c r="K190" s="131" t="n"/>
      <c r="L190" s="131" t="n"/>
      <c r="M190" s="131" t="n"/>
      <c r="N190" s="131" t="n"/>
      <c r="O190" s="131" t="n"/>
    </row>
    <row r="191" ht="12.75" customHeight="1" s="105">
      <c r="F191" s="131" t="n"/>
      <c r="G191" s="131" t="n"/>
      <c r="H191" s="131" t="n"/>
      <c r="I191" s="131" t="n"/>
      <c r="J191" s="131" t="n"/>
      <c r="K191" s="131" t="n"/>
      <c r="L191" s="131" t="n"/>
      <c r="M191" s="131" t="n"/>
      <c r="N191" s="131" t="n"/>
      <c r="O191" s="131" t="n"/>
    </row>
    <row r="192" ht="12.75" customHeight="1" s="105">
      <c r="F192" s="131" t="n"/>
      <c r="G192" s="131" t="n"/>
      <c r="H192" s="131" t="n"/>
      <c r="I192" s="131" t="n"/>
      <c r="J192" s="131" t="n"/>
      <c r="K192" s="131" t="n"/>
      <c r="L192" s="131" t="n"/>
      <c r="M192" s="131" t="n"/>
      <c r="N192" s="131" t="n"/>
      <c r="O192" s="131" t="n"/>
    </row>
    <row r="193" ht="12.75" customHeight="1" s="105">
      <c r="F193" s="131" t="n"/>
      <c r="G193" s="131" t="n"/>
      <c r="H193" s="131" t="n"/>
      <c r="I193" s="131" t="n"/>
      <c r="J193" s="131" t="n"/>
      <c r="K193" s="131" t="n"/>
      <c r="L193" s="131" t="n"/>
      <c r="M193" s="131" t="n"/>
      <c r="N193" s="131" t="n"/>
      <c r="O193" s="131" t="n"/>
    </row>
    <row r="194" ht="12.75" customHeight="1" s="105">
      <c r="F194" s="131" t="n"/>
      <c r="G194" s="131" t="n"/>
      <c r="H194" s="131" t="n"/>
      <c r="I194" s="131" t="n"/>
      <c r="J194" s="131" t="n"/>
      <c r="K194" s="131" t="n"/>
      <c r="L194" s="131" t="n"/>
      <c r="M194" s="131" t="n"/>
      <c r="N194" s="131" t="n"/>
      <c r="O194" s="131" t="n"/>
    </row>
    <row r="195" ht="12.75" customHeight="1" s="105">
      <c r="F195" s="131" t="n"/>
      <c r="G195" s="131" t="n"/>
      <c r="H195" s="131" t="n"/>
      <c r="I195" s="131" t="n"/>
      <c r="J195" s="131" t="n"/>
      <c r="K195" s="131" t="n"/>
      <c r="L195" s="131" t="n"/>
      <c r="M195" s="131" t="n"/>
      <c r="N195" s="131" t="n"/>
      <c r="O195" s="131" t="n"/>
    </row>
    <row r="196" ht="12.75" customHeight="1" s="105">
      <c r="F196" s="131" t="n"/>
      <c r="G196" s="131" t="n"/>
      <c r="H196" s="131" t="n"/>
      <c r="I196" s="131" t="n"/>
      <c r="J196" s="131" t="n"/>
      <c r="K196" s="131" t="n"/>
      <c r="L196" s="131" t="n"/>
      <c r="M196" s="131" t="n"/>
      <c r="N196" s="131" t="n"/>
      <c r="O196" s="131" t="n"/>
    </row>
    <row r="197" ht="12.75" customHeight="1" s="105">
      <c r="F197" s="131" t="n"/>
      <c r="G197" s="131" t="n"/>
      <c r="H197" s="131" t="n"/>
      <c r="I197" s="131" t="n"/>
      <c r="J197" s="131" t="n"/>
      <c r="K197" s="131" t="n"/>
      <c r="L197" s="131" t="n"/>
      <c r="M197" s="131" t="n"/>
      <c r="N197" s="131" t="n"/>
      <c r="O197" s="131" t="n"/>
    </row>
    <row r="198" ht="12.75" customHeight="1" s="105">
      <c r="F198" s="131" t="n"/>
      <c r="G198" s="131" t="n"/>
      <c r="H198" s="131" t="n"/>
      <c r="I198" s="131" t="n"/>
      <c r="J198" s="131" t="n"/>
      <c r="K198" s="131" t="n"/>
      <c r="L198" s="131" t="n"/>
      <c r="M198" s="131" t="n"/>
      <c r="N198" s="131" t="n"/>
      <c r="O198" s="131" t="n"/>
    </row>
    <row r="199" ht="12.75" customHeight="1" s="105">
      <c r="F199" s="131" t="n"/>
      <c r="G199" s="131" t="n"/>
      <c r="H199" s="131" t="n"/>
      <c r="I199" s="131" t="n"/>
      <c r="J199" s="131" t="n"/>
      <c r="K199" s="131" t="n"/>
      <c r="L199" s="131" t="n"/>
      <c r="M199" s="131" t="n"/>
      <c r="N199" s="131" t="n"/>
      <c r="O199" s="131" t="n"/>
    </row>
    <row r="200" ht="12.75" customHeight="1" s="105">
      <c r="F200" s="131" t="n"/>
      <c r="G200" s="131" t="n"/>
      <c r="H200" s="131" t="n"/>
      <c r="I200" s="131" t="n"/>
      <c r="J200" s="131" t="n"/>
      <c r="K200" s="131" t="n"/>
      <c r="L200" s="131" t="n"/>
      <c r="M200" s="131" t="n"/>
      <c r="N200" s="131" t="n"/>
      <c r="O200" s="131" t="n"/>
    </row>
    <row r="201" ht="12.75" customHeight="1" s="105">
      <c r="F201" s="131" t="n"/>
      <c r="G201" s="131" t="n"/>
      <c r="H201" s="131" t="n"/>
      <c r="I201" s="131" t="n"/>
      <c r="J201" s="131" t="n"/>
      <c r="K201" s="131" t="n"/>
      <c r="L201" s="131" t="n"/>
      <c r="M201" s="131" t="n"/>
      <c r="N201" s="131" t="n"/>
      <c r="O201" s="131" t="n"/>
    </row>
    <row r="202" ht="12.75" customHeight="1" s="105">
      <c r="F202" s="131" t="n"/>
      <c r="G202" s="131" t="n"/>
      <c r="H202" s="131" t="n"/>
      <c r="I202" s="131" t="n"/>
      <c r="J202" s="131" t="n"/>
      <c r="K202" s="131" t="n"/>
      <c r="L202" s="131" t="n"/>
      <c r="M202" s="131" t="n"/>
      <c r="N202" s="131" t="n"/>
      <c r="O202" s="131" t="n"/>
    </row>
    <row r="203" ht="12.75" customHeight="1" s="105">
      <c r="F203" s="131" t="n"/>
      <c r="G203" s="131" t="n"/>
      <c r="H203" s="131" t="n"/>
      <c r="I203" s="131" t="n"/>
      <c r="J203" s="131" t="n"/>
      <c r="K203" s="131" t="n"/>
      <c r="L203" s="131" t="n"/>
      <c r="M203" s="131" t="n"/>
      <c r="N203" s="131" t="n"/>
      <c r="O203" s="131" t="n"/>
    </row>
    <row r="204" ht="12.75" customHeight="1" s="105">
      <c r="F204" s="131" t="n"/>
      <c r="G204" s="131" t="n"/>
      <c r="H204" s="131" t="n"/>
      <c r="I204" s="131" t="n"/>
      <c r="J204" s="131" t="n"/>
      <c r="K204" s="131" t="n"/>
      <c r="L204" s="131" t="n"/>
      <c r="M204" s="131" t="n"/>
      <c r="N204" s="131" t="n"/>
      <c r="O204" s="131" t="n"/>
    </row>
    <row r="205" ht="12.75" customHeight="1" s="105">
      <c r="F205" s="131" t="n"/>
      <c r="G205" s="131" t="n"/>
      <c r="H205" s="131" t="n"/>
      <c r="I205" s="131" t="n"/>
      <c r="J205" s="131" t="n"/>
      <c r="K205" s="131" t="n"/>
      <c r="L205" s="131" t="n"/>
      <c r="M205" s="131" t="n"/>
      <c r="N205" s="131" t="n"/>
      <c r="O205" s="131" t="n"/>
    </row>
    <row r="206" ht="12.75" customHeight="1" s="105">
      <c r="F206" s="131" t="n"/>
      <c r="G206" s="131" t="n"/>
      <c r="H206" s="131" t="n"/>
      <c r="I206" s="131" t="n"/>
      <c r="J206" s="131" t="n"/>
      <c r="K206" s="131" t="n"/>
      <c r="L206" s="131" t="n"/>
      <c r="M206" s="131" t="n"/>
      <c r="N206" s="131" t="n"/>
      <c r="O206" s="131" t="n"/>
    </row>
    <row r="207" ht="12.75" customHeight="1" s="105">
      <c r="F207" s="131" t="n"/>
      <c r="G207" s="131" t="n"/>
      <c r="H207" s="131" t="n"/>
      <c r="I207" s="131" t="n"/>
      <c r="J207" s="131" t="n"/>
      <c r="K207" s="131" t="n"/>
      <c r="L207" s="131" t="n"/>
      <c r="M207" s="131" t="n"/>
      <c r="N207" s="131" t="n"/>
      <c r="O207" s="131" t="n"/>
    </row>
    <row r="208" ht="12.75" customHeight="1" s="105">
      <c r="F208" s="131" t="n"/>
      <c r="G208" s="131" t="n"/>
      <c r="H208" s="131" t="n"/>
      <c r="I208" s="131" t="n"/>
      <c r="J208" s="131" t="n"/>
      <c r="K208" s="131" t="n"/>
      <c r="L208" s="131" t="n"/>
      <c r="M208" s="131" t="n"/>
      <c r="N208" s="131" t="n"/>
      <c r="O208" s="131" t="n"/>
    </row>
    <row r="209" ht="12.75" customHeight="1" s="105">
      <c r="F209" s="131" t="n"/>
      <c r="G209" s="131" t="n"/>
      <c r="H209" s="131" t="n"/>
      <c r="I209" s="131" t="n"/>
      <c r="J209" s="131" t="n"/>
      <c r="K209" s="131" t="n"/>
      <c r="L209" s="131" t="n"/>
      <c r="M209" s="131" t="n"/>
      <c r="N209" s="131" t="n"/>
      <c r="O209" s="131" t="n"/>
    </row>
    <row r="210" ht="12.75" customHeight="1" s="105">
      <c r="F210" s="131" t="n"/>
      <c r="G210" s="131" t="n"/>
      <c r="H210" s="131" t="n"/>
      <c r="I210" s="131" t="n"/>
      <c r="J210" s="131" t="n"/>
      <c r="K210" s="131" t="n"/>
      <c r="L210" s="131" t="n"/>
      <c r="M210" s="131" t="n"/>
      <c r="N210" s="131" t="n"/>
      <c r="O210" s="131" t="n"/>
    </row>
    <row r="211" ht="12.75" customHeight="1" s="105">
      <c r="F211" s="131" t="n"/>
      <c r="G211" s="131" t="n"/>
      <c r="H211" s="131" t="n"/>
      <c r="I211" s="131" t="n"/>
      <c r="J211" s="131" t="n"/>
      <c r="K211" s="131" t="n"/>
      <c r="L211" s="131" t="n"/>
      <c r="M211" s="131" t="n"/>
      <c r="N211" s="131" t="n"/>
      <c r="O211" s="131" t="n"/>
    </row>
    <row r="212" ht="12.75" customHeight="1" s="105">
      <c r="F212" s="131" t="n"/>
      <c r="G212" s="131" t="n"/>
      <c r="H212" s="131" t="n"/>
      <c r="I212" s="131" t="n"/>
      <c r="J212" s="131" t="n"/>
      <c r="K212" s="131" t="n"/>
      <c r="L212" s="131" t="n"/>
      <c r="M212" s="131" t="n"/>
      <c r="N212" s="131" t="n"/>
      <c r="O212" s="131" t="n"/>
    </row>
    <row r="213" ht="12.75" customHeight="1" s="105">
      <c r="F213" s="131" t="n"/>
      <c r="G213" s="131" t="n"/>
      <c r="H213" s="131" t="n"/>
      <c r="I213" s="131" t="n"/>
      <c r="J213" s="131" t="n"/>
      <c r="K213" s="131" t="n"/>
      <c r="L213" s="131" t="n"/>
      <c r="M213" s="131" t="n"/>
      <c r="N213" s="131" t="n"/>
      <c r="O213" s="131" t="n"/>
    </row>
    <row r="214" ht="12.75" customHeight="1" s="105">
      <c r="F214" s="131" t="n"/>
      <c r="G214" s="131" t="n"/>
      <c r="H214" s="131" t="n"/>
      <c r="I214" s="131" t="n"/>
      <c r="J214" s="131" t="n"/>
      <c r="K214" s="131" t="n"/>
      <c r="L214" s="131" t="n"/>
      <c r="M214" s="131" t="n"/>
      <c r="N214" s="131" t="n"/>
      <c r="O214" s="131" t="n"/>
    </row>
    <row r="215" ht="12.75" customHeight="1" s="105">
      <c r="F215" s="131" t="n"/>
      <c r="G215" s="131" t="n"/>
      <c r="H215" s="131" t="n"/>
      <c r="I215" s="131" t="n"/>
      <c r="J215" s="131" t="n"/>
      <c r="K215" s="131" t="n"/>
      <c r="L215" s="131" t="n"/>
      <c r="M215" s="131" t="n"/>
      <c r="N215" s="131" t="n"/>
      <c r="O215" s="131" t="n"/>
    </row>
    <row r="216" ht="12.75" customHeight="1" s="105">
      <c r="F216" s="131" t="n"/>
      <c r="G216" s="131" t="n"/>
      <c r="H216" s="131" t="n"/>
      <c r="I216" s="131" t="n"/>
      <c r="J216" s="131" t="n"/>
      <c r="K216" s="131" t="n"/>
      <c r="L216" s="131" t="n"/>
      <c r="M216" s="131" t="n"/>
      <c r="N216" s="131" t="n"/>
      <c r="O216" s="131" t="n"/>
    </row>
    <row r="217" ht="12.75" customHeight="1" s="105">
      <c r="F217" s="131" t="n"/>
      <c r="G217" s="131" t="n"/>
      <c r="H217" s="131" t="n"/>
      <c r="I217" s="131" t="n"/>
      <c r="J217" s="131" t="n"/>
      <c r="K217" s="131" t="n"/>
      <c r="L217" s="131" t="n"/>
      <c r="M217" s="131" t="n"/>
      <c r="N217" s="131" t="n"/>
      <c r="O217" s="131" t="n"/>
    </row>
    <row r="218" ht="12.75" customHeight="1" s="105">
      <c r="F218" s="131" t="n"/>
      <c r="G218" s="131" t="n"/>
      <c r="H218" s="131" t="n"/>
      <c r="I218" s="131" t="n"/>
      <c r="J218" s="131" t="n"/>
      <c r="K218" s="131" t="n"/>
      <c r="L218" s="131" t="n"/>
      <c r="M218" s="131" t="n"/>
      <c r="N218" s="131" t="n"/>
      <c r="O218" s="131" t="n"/>
    </row>
    <row r="219" ht="12.75" customHeight="1" s="105">
      <c r="F219" s="131" t="n"/>
      <c r="G219" s="131" t="n"/>
      <c r="H219" s="131" t="n"/>
      <c r="I219" s="131" t="n"/>
      <c r="J219" s="131" t="n"/>
      <c r="K219" s="131" t="n"/>
      <c r="L219" s="131" t="n"/>
      <c r="M219" s="131" t="n"/>
      <c r="N219" s="131" t="n"/>
      <c r="O219" s="131" t="n"/>
    </row>
    <row r="220" ht="12.75" customHeight="1" s="105">
      <c r="F220" s="131" t="n"/>
      <c r="G220" s="131" t="n"/>
      <c r="H220" s="131" t="n"/>
      <c r="I220" s="131" t="n"/>
      <c r="J220" s="131" t="n"/>
      <c r="K220" s="131" t="n"/>
      <c r="L220" s="131" t="n"/>
      <c r="M220" s="131" t="n"/>
      <c r="N220" s="131" t="n"/>
      <c r="O220" s="131" t="n"/>
    </row>
    <row r="221" ht="12.75" customHeight="1" s="105">
      <c r="F221" s="131" t="n"/>
      <c r="G221" s="131" t="n"/>
      <c r="H221" s="131" t="n"/>
      <c r="I221" s="131" t="n"/>
      <c r="J221" s="131" t="n"/>
      <c r="K221" s="131" t="n"/>
      <c r="L221" s="131" t="n"/>
      <c r="M221" s="131" t="n"/>
      <c r="N221" s="131" t="n"/>
      <c r="O221" s="131" t="n"/>
    </row>
    <row r="222" ht="12.75" customHeight="1" s="105">
      <c r="F222" s="131" t="n"/>
      <c r="G222" s="131" t="n"/>
      <c r="H222" s="131" t="n"/>
      <c r="I222" s="131" t="n"/>
      <c r="J222" s="131" t="n"/>
      <c r="K222" s="131" t="n"/>
      <c r="L222" s="131" t="n"/>
      <c r="M222" s="131" t="n"/>
      <c r="N222" s="131" t="n"/>
      <c r="O222" s="131" t="n"/>
    </row>
    <row r="223" ht="12.75" customHeight="1" s="105">
      <c r="F223" s="131" t="n"/>
      <c r="G223" s="131" t="n"/>
      <c r="H223" s="131" t="n"/>
      <c r="I223" s="131" t="n"/>
      <c r="J223" s="131" t="n"/>
      <c r="K223" s="131" t="n"/>
      <c r="L223" s="131" t="n"/>
      <c r="M223" s="131" t="n"/>
      <c r="N223" s="131" t="n"/>
      <c r="O223" s="131" t="n"/>
    </row>
    <row r="224" ht="12.75" customHeight="1" s="105">
      <c r="F224" s="131" t="n"/>
      <c r="G224" s="131" t="n"/>
      <c r="H224" s="131" t="n"/>
      <c r="I224" s="131" t="n"/>
      <c r="J224" s="131" t="n"/>
      <c r="K224" s="131" t="n"/>
      <c r="L224" s="131" t="n"/>
      <c r="M224" s="131" t="n"/>
      <c r="N224" s="131" t="n"/>
      <c r="O224" s="131" t="n"/>
    </row>
    <row r="225" ht="12.75" customHeight="1" s="105">
      <c r="F225" s="131" t="n"/>
      <c r="G225" s="131" t="n"/>
      <c r="H225" s="131" t="n"/>
      <c r="I225" s="131" t="n"/>
      <c r="J225" s="131" t="n"/>
      <c r="K225" s="131" t="n"/>
      <c r="L225" s="131" t="n"/>
      <c r="M225" s="131" t="n"/>
      <c r="N225" s="131" t="n"/>
      <c r="O225" s="131" t="n"/>
    </row>
    <row r="226" ht="12.75" customHeight="1" s="105">
      <c r="F226" s="131" t="n"/>
      <c r="G226" s="131" t="n"/>
      <c r="H226" s="131" t="n"/>
      <c r="I226" s="131" t="n"/>
      <c r="J226" s="131" t="n"/>
      <c r="K226" s="131" t="n"/>
      <c r="L226" s="131" t="n"/>
      <c r="M226" s="131" t="n"/>
      <c r="N226" s="131" t="n"/>
      <c r="O226" s="131" t="n"/>
    </row>
    <row r="227" ht="12.75" customHeight="1" s="105">
      <c r="F227" s="131" t="n"/>
      <c r="G227" s="131" t="n"/>
      <c r="H227" s="131" t="n"/>
      <c r="I227" s="131" t="n"/>
      <c r="J227" s="131" t="n"/>
      <c r="K227" s="131" t="n"/>
      <c r="L227" s="131" t="n"/>
      <c r="M227" s="131" t="n"/>
      <c r="N227" s="131" t="n"/>
      <c r="O227" s="131" t="n"/>
    </row>
    <row r="228" ht="12.75" customHeight="1" s="105">
      <c r="F228" s="131" t="n"/>
      <c r="G228" s="131" t="n"/>
      <c r="H228" s="131" t="n"/>
      <c r="I228" s="131" t="n"/>
      <c r="J228" s="131" t="n"/>
      <c r="K228" s="131" t="n"/>
      <c r="L228" s="131" t="n"/>
      <c r="M228" s="131" t="n"/>
      <c r="N228" s="131" t="n"/>
      <c r="O228" s="131" t="n"/>
    </row>
    <row r="229" ht="12.75" customHeight="1" s="105">
      <c r="F229" s="131" t="n"/>
      <c r="G229" s="131" t="n"/>
      <c r="H229" s="131" t="n"/>
      <c r="I229" s="131" t="n"/>
      <c r="J229" s="131" t="n"/>
      <c r="K229" s="131" t="n"/>
      <c r="L229" s="131" t="n"/>
      <c r="M229" s="131" t="n"/>
      <c r="N229" s="131" t="n"/>
      <c r="O229" s="131" t="n"/>
    </row>
    <row r="230" ht="12.75" customHeight="1" s="105">
      <c r="F230" s="131" t="n"/>
      <c r="G230" s="131" t="n"/>
      <c r="H230" s="131" t="n"/>
      <c r="I230" s="131" t="n"/>
      <c r="J230" s="131" t="n"/>
      <c r="K230" s="131" t="n"/>
      <c r="L230" s="131" t="n"/>
      <c r="M230" s="131" t="n"/>
      <c r="N230" s="131" t="n"/>
      <c r="O230" s="131" t="n"/>
    </row>
    <row r="231" ht="12.75" customHeight="1" s="105">
      <c r="F231" s="131" t="n"/>
      <c r="G231" s="131" t="n"/>
      <c r="H231" s="131" t="n"/>
      <c r="I231" s="131" t="n"/>
      <c r="J231" s="131" t="n"/>
      <c r="K231" s="131" t="n"/>
      <c r="L231" s="131" t="n"/>
      <c r="M231" s="131" t="n"/>
      <c r="N231" s="131" t="n"/>
      <c r="O231" s="131" t="n"/>
    </row>
    <row r="232" ht="12.75" customHeight="1" s="105">
      <c r="F232" s="131" t="n"/>
      <c r="G232" s="131" t="n"/>
      <c r="H232" s="131" t="n"/>
      <c r="I232" s="131" t="n"/>
      <c r="J232" s="131" t="n"/>
      <c r="K232" s="131" t="n"/>
      <c r="L232" s="131" t="n"/>
      <c r="M232" s="131" t="n"/>
      <c r="N232" s="131" t="n"/>
      <c r="O232" s="131" t="n"/>
    </row>
    <row r="233" ht="12.75" customHeight="1" s="105">
      <c r="F233" s="131" t="n"/>
      <c r="G233" s="131" t="n"/>
      <c r="H233" s="131" t="n"/>
      <c r="I233" s="131" t="n"/>
      <c r="J233" s="131" t="n"/>
      <c r="K233" s="131" t="n"/>
      <c r="L233" s="131" t="n"/>
      <c r="M233" s="131" t="n"/>
      <c r="N233" s="131" t="n"/>
      <c r="O233" s="131" t="n"/>
    </row>
    <row r="234" ht="12.75" customHeight="1" s="105">
      <c r="F234" s="131" t="n"/>
      <c r="G234" s="131" t="n"/>
      <c r="H234" s="131" t="n"/>
      <c r="I234" s="131" t="n"/>
      <c r="J234" s="131" t="n"/>
      <c r="K234" s="131" t="n"/>
      <c r="L234" s="131" t="n"/>
      <c r="M234" s="131" t="n"/>
      <c r="N234" s="131" t="n"/>
      <c r="O234" s="131" t="n"/>
    </row>
    <row r="235" ht="12.75" customHeight="1" s="105">
      <c r="F235" s="131" t="n"/>
      <c r="G235" s="131" t="n"/>
      <c r="H235" s="131" t="n"/>
      <c r="I235" s="131" t="n"/>
      <c r="J235" s="131" t="n"/>
      <c r="K235" s="131" t="n"/>
      <c r="L235" s="131" t="n"/>
      <c r="M235" s="131" t="n"/>
      <c r="N235" s="131" t="n"/>
      <c r="O235" s="131" t="n"/>
    </row>
    <row r="236" ht="12.75" customHeight="1" s="105">
      <c r="F236" s="131" t="n"/>
      <c r="G236" s="131" t="n"/>
      <c r="H236" s="131" t="n"/>
      <c r="I236" s="131" t="n"/>
      <c r="J236" s="131" t="n"/>
      <c r="K236" s="131" t="n"/>
      <c r="L236" s="131" t="n"/>
      <c r="M236" s="131" t="n"/>
      <c r="N236" s="131" t="n"/>
      <c r="O236" s="131"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W59"/>
  <sheetViews>
    <sheetView showFormulas="0" showGridLines="0" showRowColHeaders="1" showZeros="1" rightToLeft="0" tabSelected="0" showOutlineSymbols="1" defaultGridColor="1" view="normal" topLeftCell="A1" colorId="64" zoomScale="80" zoomScaleNormal="80" zoomScalePageLayoutView="100" workbookViewId="0">
      <pane xSplit="4" ySplit="11" topLeftCell="E12" activePane="bottomRight" state="frozen"/>
      <selection pane="topLeft" activeCell="A1" activeCellId="0" sqref="A1"/>
      <selection pane="topRight" activeCell="E1" activeCellId="0" sqref="E1"/>
      <selection pane="bottomLeft" activeCell="A12" activeCellId="0" sqref="A12"/>
      <selection pane="bottomRight" activeCell="M6" activeCellId="0" sqref="M6"/>
    </sheetView>
  </sheetViews>
  <sheetFormatPr baseColWidth="8" defaultColWidth="9.13671875" defaultRowHeight="12.75" zeroHeight="0" outlineLevelRow="0"/>
  <cols>
    <col width="4.41" customWidth="1" style="126" min="1" max="2"/>
    <col width="40.66" customWidth="1" style="126" min="3" max="3"/>
    <col width="9.130000000000001" customWidth="1" style="156" min="4" max="4"/>
    <col width="11.69" customWidth="1" style="126" min="5" max="6"/>
    <col hidden="1" outlineLevel="1" width="11.69" customWidth="1" style="126" min="7" max="10"/>
    <col width="11.69" customWidth="1" style="126" min="11" max="26"/>
    <col width="9.130000000000001" customWidth="1" style="126" min="27" max="257"/>
  </cols>
  <sheetData>
    <row r="1" ht="12.75" customHeight="1" s="105">
      <c r="A1" s="130" t="inlineStr">
        <is>
          <t>Valuation</t>
        </is>
      </c>
    </row>
    <row r="2" ht="12.75" customHeight="1" s="105">
      <c r="A2" s="130" t="n"/>
    </row>
    <row r="3" ht="12.75" customHeight="1" s="105">
      <c r="C3" s="126" t="inlineStr">
        <is>
          <t>Risk Free Rate</t>
        </is>
      </c>
      <c r="F3" s="178" t="n">
        <v>0.075</v>
      </c>
    </row>
    <row r="4" ht="12.75" customHeight="1" s="105">
      <c r="C4" s="126" t="inlineStr">
        <is>
          <t>Market Rate</t>
        </is>
      </c>
      <c r="F4" s="178" t="n">
        <v>0.13</v>
      </c>
    </row>
    <row r="5" ht="12.75" customHeight="1" s="105">
      <c r="C5" s="126" t="inlineStr">
        <is>
          <t>Beta</t>
        </is>
      </c>
      <c r="F5" s="126" t="n">
        <v>0.9</v>
      </c>
    </row>
    <row r="6" ht="12.75" customHeight="1" s="105">
      <c r="C6" s="126" t="inlineStr">
        <is>
          <t>Cost of Equity</t>
        </is>
      </c>
      <c r="F6" s="178">
        <f>F3+F5*(F4-F3)</f>
        <v/>
      </c>
    </row>
    <row r="7" ht="12.75" customHeight="1" s="105">
      <c r="C7" s="126" t="inlineStr">
        <is>
          <t>Tax Rate</t>
        </is>
      </c>
      <c r="F7" s="179" t="n">
        <v>0.34</v>
      </c>
    </row>
    <row r="8" ht="12.75" customHeight="1" s="105">
      <c r="C8" s="126" t="inlineStr">
        <is>
          <t>Terminal Growth Rate</t>
        </is>
      </c>
      <c r="F8" s="179" t="n">
        <v>0.03</v>
      </c>
    </row>
    <row r="9" ht="12.75" customHeight="1" s="105">
      <c r="C9" s="126" t="inlineStr">
        <is>
          <t>No of shares Outstanding</t>
        </is>
      </c>
      <c r="D9" s="156" t="inlineStr">
        <is>
          <t>Millions</t>
        </is>
      </c>
      <c r="F9" s="180" t="n">
        <v>6316</v>
      </c>
    </row>
    <row r="10" ht="12.75" customHeight="1" s="105">
      <c r="F10" s="179" t="n"/>
    </row>
    <row r="11" ht="12.75" customHeight="1" s="105">
      <c r="A11" s="128" t="inlineStr">
        <is>
          <t>(Unless otherwise specified, all financials are in INR Million)</t>
        </is>
      </c>
      <c r="F11" s="136" t="n"/>
      <c r="G11" s="136">
        <f>'Asset Schedule'!G4</f>
        <v/>
      </c>
      <c r="H11" s="136">
        <f>'Asset Schedule'!H4</f>
        <v/>
      </c>
      <c r="I11" s="136">
        <f>'Asset Schedule'!I4</f>
        <v/>
      </c>
      <c r="J11" s="136">
        <f>'Asset Schedule'!J4</f>
        <v/>
      </c>
      <c r="K11" s="136">
        <f>'Asset Schedule'!K4</f>
        <v/>
      </c>
      <c r="L11" s="136">
        <f>'Asset Schedule'!L4</f>
        <v/>
      </c>
      <c r="M11" s="136">
        <f>'Asset Schedule'!M4</f>
        <v/>
      </c>
      <c r="N11" s="136">
        <f>'Asset Schedule'!N4</f>
        <v/>
      </c>
      <c r="O11" s="136">
        <f>'Asset Schedule'!O4</f>
        <v/>
      </c>
    </row>
    <row r="13" ht="12.75" customHeight="1" s="105">
      <c r="A13" s="126" t="inlineStr">
        <is>
          <t>Net Income</t>
        </is>
      </c>
      <c r="G13" s="131">
        <f>'P&amp;L'!G52</f>
        <v/>
      </c>
      <c r="H13" s="131">
        <f>'P&amp;L'!H52</f>
        <v/>
      </c>
      <c r="I13" s="131">
        <f>'P&amp;L'!I52</f>
        <v/>
      </c>
      <c r="J13" s="131">
        <f>'P&amp;L'!J52</f>
        <v/>
      </c>
      <c r="K13" s="131">
        <f>'P&amp;L'!K52</f>
        <v/>
      </c>
      <c r="L13" s="131">
        <f>'P&amp;L'!L52</f>
        <v/>
      </c>
      <c r="M13" s="131">
        <f>'P&amp;L'!M52</f>
        <v/>
      </c>
      <c r="N13" s="131">
        <f>'P&amp;L'!N52</f>
        <v/>
      </c>
      <c r="O13" s="131">
        <f>'P&amp;L'!O52</f>
        <v/>
      </c>
    </row>
    <row r="14" ht="12.75" customHeight="1" s="105">
      <c r="B14" s="126" t="inlineStr">
        <is>
          <t>Add: Depreciation</t>
        </is>
      </c>
      <c r="G14" s="131">
        <f>'P&amp;L'!G25</f>
        <v/>
      </c>
      <c r="H14" s="131">
        <f>'P&amp;L'!H25</f>
        <v/>
      </c>
      <c r="I14" s="131">
        <f>'P&amp;L'!I25</f>
        <v/>
      </c>
      <c r="J14" s="131">
        <f>'P&amp;L'!J25</f>
        <v/>
      </c>
      <c r="K14" s="131">
        <f>'P&amp;L'!K25</f>
        <v/>
      </c>
      <c r="L14" s="131">
        <f>'P&amp;L'!L25</f>
        <v/>
      </c>
      <c r="M14" s="131">
        <f>'P&amp;L'!M25</f>
        <v/>
      </c>
      <c r="N14" s="131">
        <f>'P&amp;L'!N25</f>
        <v/>
      </c>
      <c r="O14" s="131">
        <f>'P&amp;L'!O25</f>
        <v/>
      </c>
    </row>
    <row r="15" ht="12.75" customHeight="1" s="105">
      <c r="B15" s="126" t="inlineStr">
        <is>
          <t>Add: Interest*(1-Tax Rate)</t>
        </is>
      </c>
      <c r="G15" s="131">
        <f>'P&amp;L'!G22*(1-$F$7)</f>
        <v/>
      </c>
      <c r="H15" s="131">
        <f>'P&amp;L'!H22*(1-$F$7)</f>
        <v/>
      </c>
      <c r="I15" s="131">
        <f>'P&amp;L'!I22*(1-$F$7)</f>
        <v/>
      </c>
      <c r="J15" s="131">
        <f>'P&amp;L'!J22*(1-$F$7)</f>
        <v/>
      </c>
      <c r="K15" s="131">
        <f>'P&amp;L'!K22*(1-$F$7)</f>
        <v/>
      </c>
      <c r="L15" s="131">
        <f>'P&amp;L'!L22*(1-$F$7)</f>
        <v/>
      </c>
      <c r="M15" s="131">
        <f>'P&amp;L'!M22*(1-$F$7)</f>
        <v/>
      </c>
      <c r="N15" s="131">
        <f>'P&amp;L'!N22*(1-$F$7)</f>
        <v/>
      </c>
      <c r="O15" s="131">
        <f>'P&amp;L'!O22*(1-$F$7)</f>
        <v/>
      </c>
    </row>
    <row r="16" ht="12.75" customHeight="1" s="105">
      <c r="B16" s="126" t="inlineStr">
        <is>
          <t>Less: Fixed Capital Investment</t>
        </is>
      </c>
      <c r="G16" s="131">
        <f>'Asset Schedule'!G8-'Asset Schedule'!F8</f>
        <v/>
      </c>
      <c r="H16" s="131">
        <f>'Asset Schedule'!H8-'Asset Schedule'!G8</f>
        <v/>
      </c>
      <c r="I16" s="131">
        <f>'Asset Schedule'!I8-'Asset Schedule'!H8</f>
        <v/>
      </c>
      <c r="J16" s="131">
        <f>'Asset Schedule'!J8-'Asset Schedule'!I8</f>
        <v/>
      </c>
      <c r="K16" s="131">
        <f>'Asset Schedule'!K8-'Asset Schedule'!J8</f>
        <v/>
      </c>
      <c r="L16" s="131">
        <f>'Asset Schedule'!L8-'Asset Schedule'!K8</f>
        <v/>
      </c>
      <c r="M16" s="131">
        <f>'Asset Schedule'!M8-'Asset Schedule'!L8</f>
        <v/>
      </c>
      <c r="N16" s="131">
        <f>'Asset Schedule'!N8-'Asset Schedule'!M8</f>
        <v/>
      </c>
      <c r="O16" s="131">
        <f>'Asset Schedule'!O8-'Asset Schedule'!N8</f>
        <v/>
      </c>
    </row>
    <row r="17" ht="12.75" customHeight="1" s="105">
      <c r="B17" s="126" t="inlineStr">
        <is>
          <t>Less: Working Capital Investment</t>
        </is>
      </c>
      <c r="G17" s="131" t="n"/>
      <c r="H17" s="131" t="n"/>
      <c r="I17" s="131" t="n"/>
      <c r="J17" s="131" t="n"/>
      <c r="K17" s="131" t="n"/>
      <c r="L17" s="131" t="n"/>
      <c r="M17" s="131" t="n"/>
      <c r="N17" s="131" t="n"/>
      <c r="O17" s="131" t="n"/>
    </row>
    <row r="18" ht="12.75" customHeight="1" s="105">
      <c r="C18" s="126" t="inlineStr">
        <is>
          <t>Inventories</t>
        </is>
      </c>
      <c r="G18" s="131">
        <f>BS!G20-BS!F20</f>
        <v/>
      </c>
      <c r="H18" s="131">
        <f>BS!H20-BS!G20</f>
        <v/>
      </c>
      <c r="I18" s="131">
        <f>BS!I20-BS!H20</f>
        <v/>
      </c>
      <c r="J18" s="131">
        <f>BS!J20-BS!I20</f>
        <v/>
      </c>
      <c r="K18" s="131">
        <f>BS!K20-BS!J20</f>
        <v/>
      </c>
      <c r="L18" s="131">
        <f>BS!L20-BS!K20</f>
        <v/>
      </c>
      <c r="M18" s="131">
        <f>BS!M20-BS!L20</f>
        <v/>
      </c>
      <c r="N18" s="131">
        <f>BS!N20-BS!M20</f>
        <v/>
      </c>
      <c r="O18" s="131">
        <f>BS!O20-BS!N20</f>
        <v/>
      </c>
    </row>
    <row r="19" ht="12.75" customHeight="1" s="105">
      <c r="C19" s="126" t="inlineStr">
        <is>
          <t>Sundry Debtors</t>
        </is>
      </c>
      <c r="G19" s="131">
        <f>BS!G21-BS!F21</f>
        <v/>
      </c>
      <c r="H19" s="131">
        <f>BS!H21-BS!G21</f>
        <v/>
      </c>
      <c r="I19" s="131">
        <f>BS!I21-BS!H21</f>
        <v/>
      </c>
      <c r="J19" s="131">
        <f>BS!J21-BS!I21</f>
        <v/>
      </c>
      <c r="K19" s="131">
        <f>BS!K21-BS!J21</f>
        <v/>
      </c>
      <c r="L19" s="131">
        <f>BS!L21-BS!K21</f>
        <v/>
      </c>
      <c r="M19" s="131">
        <f>BS!M21-BS!L21</f>
        <v/>
      </c>
      <c r="N19" s="131">
        <f>BS!N21-BS!M21</f>
        <v/>
      </c>
      <c r="O19" s="131">
        <f>BS!O21-BS!N21</f>
        <v/>
      </c>
    </row>
    <row r="20" ht="12.75" customHeight="1" s="105">
      <c r="C20" s="126" t="inlineStr">
        <is>
          <t>loans &amp; Advances</t>
        </is>
      </c>
      <c r="G20" s="131">
        <f>BS!G23-BS!F23</f>
        <v/>
      </c>
      <c r="H20" s="131">
        <f>BS!H23-BS!G23</f>
        <v/>
      </c>
      <c r="I20" s="131">
        <f>BS!I23-BS!H23</f>
        <v/>
      </c>
      <c r="J20" s="131">
        <f>BS!J23-BS!I23</f>
        <v/>
      </c>
      <c r="K20" s="131">
        <f>BS!K23-BS!J23</f>
        <v/>
      </c>
      <c r="L20" s="131">
        <f>BS!L23-BS!K23</f>
        <v/>
      </c>
      <c r="M20" s="131">
        <f>BS!M23-BS!L23</f>
        <v/>
      </c>
      <c r="N20" s="131">
        <f>BS!N23-BS!M23</f>
        <v/>
      </c>
      <c r="O20" s="131">
        <f>BS!O23-BS!N23</f>
        <v/>
      </c>
    </row>
    <row r="21" ht="12.75" customFormat="1" customHeight="1" s="130">
      <c r="A21" s="130" t="inlineStr">
        <is>
          <t>Free Cash Flow to firm</t>
        </is>
      </c>
      <c r="D21" s="136" t="n"/>
      <c r="G21" s="140">
        <f>G13+G14+G15-G16-SUM(G18:G20)</f>
        <v/>
      </c>
      <c r="H21" s="140">
        <f>H13+H14+H15-H16-SUM(H18:H20)</f>
        <v/>
      </c>
      <c r="I21" s="140">
        <f>I13+I14+I15-I16-SUM(I18:I20)</f>
        <v/>
      </c>
      <c r="J21" s="140">
        <f>J13+J14+J15-J16-SUM(J18:J20)</f>
        <v/>
      </c>
      <c r="K21" s="140">
        <f>K13+K14+K15-K16-SUM(K18:K20)</f>
        <v/>
      </c>
      <c r="L21" s="140">
        <f>L13+L14+L15-L16-SUM(L18:L20)</f>
        <v/>
      </c>
      <c r="M21" s="140">
        <f>M13+M14+M15-M16-SUM(M18:M20)</f>
        <v/>
      </c>
      <c r="N21" s="140">
        <f>N13+N14+N15-N16-SUM(N18:N20)</f>
        <v/>
      </c>
      <c r="O21" s="140">
        <f>O13+O14+O15-O16-SUM(O18:O20)</f>
        <v/>
      </c>
    </row>
    <row r="22" ht="12.75" customHeight="1" s="105">
      <c r="B22" s="126" t="inlineStr">
        <is>
          <t>Less: Interest*(1-Tax Rate)</t>
        </is>
      </c>
      <c r="G22" s="131">
        <f>'P&amp;L'!G22*(1-$F$7)</f>
        <v/>
      </c>
      <c r="H22" s="131">
        <f>'P&amp;L'!H22*(1-$F$7)</f>
        <v/>
      </c>
      <c r="I22" s="131">
        <f>'P&amp;L'!I22*(1-$F$7)</f>
        <v/>
      </c>
      <c r="J22" s="131">
        <f>'P&amp;L'!J22*(1-$F$7)</f>
        <v/>
      </c>
      <c r="K22" s="131">
        <f>'P&amp;L'!K22*(1-$F$7)</f>
        <v/>
      </c>
      <c r="L22" s="131">
        <f>'P&amp;L'!L22*(1-$F$7)</f>
        <v/>
      </c>
      <c r="M22" s="131">
        <f>'P&amp;L'!M22*(1-$F$7)</f>
        <v/>
      </c>
      <c r="N22" s="131">
        <f>'P&amp;L'!N22*(1-$F$7)</f>
        <v/>
      </c>
      <c r="O22" s="131">
        <f>'P&amp;L'!O22*(1-$F$7)</f>
        <v/>
      </c>
    </row>
    <row r="23" ht="12.75" customHeight="1" s="105">
      <c r="B23" s="126" t="inlineStr">
        <is>
          <t xml:space="preserve">Add: Net Borrowing </t>
        </is>
      </c>
      <c r="G23" s="131">
        <f>'Debt Schedule'!G10-'Debt Schedule'!F10+'Debt Schedule'!G16-'Debt Schedule'!F16</f>
        <v/>
      </c>
      <c r="H23" s="131">
        <f>'Debt Schedule'!H10-'Debt Schedule'!G10+'Debt Schedule'!H16-'Debt Schedule'!G16</f>
        <v/>
      </c>
      <c r="I23" s="131">
        <f>'Debt Schedule'!I10-'Debt Schedule'!H10+'Debt Schedule'!I16-'Debt Schedule'!H16</f>
        <v/>
      </c>
      <c r="J23" s="131">
        <f>'Debt Schedule'!J10-'Debt Schedule'!I10+'Debt Schedule'!J16-'Debt Schedule'!I16</f>
        <v/>
      </c>
      <c r="K23" s="131">
        <f>'Debt Schedule'!K10-'Debt Schedule'!J10+'Debt Schedule'!K16-'Debt Schedule'!J16</f>
        <v/>
      </c>
      <c r="L23" s="131">
        <f>'Debt Schedule'!L10-'Debt Schedule'!K10+'Debt Schedule'!L16-'Debt Schedule'!K16</f>
        <v/>
      </c>
      <c r="M23" s="131">
        <f>'Debt Schedule'!M10-'Debt Schedule'!L10+'Debt Schedule'!M16-'Debt Schedule'!L16</f>
        <v/>
      </c>
      <c r="N23" s="131">
        <f>'Debt Schedule'!N10-'Debt Schedule'!M10+'Debt Schedule'!N16-'Debt Schedule'!M16</f>
        <v/>
      </c>
      <c r="O23" s="131">
        <f>'Debt Schedule'!O10-'Debt Schedule'!N10+'Debt Schedule'!O16-'Debt Schedule'!N16</f>
        <v/>
      </c>
    </row>
    <row r="24" ht="12.75" customFormat="1" customHeight="1" s="130">
      <c r="A24" s="130" t="inlineStr">
        <is>
          <t>Free Cash Flow to Equity</t>
        </is>
      </c>
      <c r="D24" s="136" t="n"/>
      <c r="G24" s="181">
        <f>G21-G22+G23</f>
        <v/>
      </c>
      <c r="H24" s="181">
        <f>H21-H22+H23</f>
        <v/>
      </c>
      <c r="I24" s="181">
        <f>I21-I22+I23</f>
        <v/>
      </c>
      <c r="J24" s="181">
        <f>J21-J22+J23</f>
        <v/>
      </c>
      <c r="K24" s="181">
        <f>K21-K22+K23</f>
        <v/>
      </c>
      <c r="L24" s="181">
        <f>L21-L22+L23</f>
        <v/>
      </c>
      <c r="M24" s="181">
        <f>M21-M22+M23</f>
        <v/>
      </c>
      <c r="N24" s="181">
        <f>N21-N22+N23</f>
        <v/>
      </c>
      <c r="O24" s="181">
        <f>O21-O22+O23</f>
        <v/>
      </c>
    </row>
    <row r="26" ht="12.75" customHeight="1" s="105">
      <c r="A26" s="126" t="inlineStr">
        <is>
          <t>Present Value of FCFE</t>
        </is>
      </c>
      <c r="D26" s="136" t="n"/>
      <c r="E26" s="131">
        <f>NPV(F6,K24:O24)</f>
        <v/>
      </c>
    </row>
    <row r="27" ht="12.75" customHeight="1" s="105">
      <c r="A27" s="126" t="inlineStr">
        <is>
          <t>Terminal Value of FCFE</t>
        </is>
      </c>
      <c r="D27" s="136" t="n"/>
      <c r="E27" s="131">
        <f>O24*(1+F8)/(F6-F8)/(1+F6)^5</f>
        <v/>
      </c>
    </row>
    <row r="28" ht="12.75" customHeight="1" s="105">
      <c r="A28" s="130" t="inlineStr">
        <is>
          <t>Total Free Cash Flow to Equity</t>
        </is>
      </c>
      <c r="B28" s="130" t="n"/>
      <c r="C28" s="130" t="n"/>
      <c r="D28" s="136" t="n"/>
      <c r="E28" s="140">
        <f>E27+E26</f>
        <v/>
      </c>
      <c r="F28" s="130" t="n"/>
      <c r="G28" s="130" t="n"/>
      <c r="H28" s="130" t="n"/>
      <c r="I28" s="130" t="n"/>
    </row>
    <row r="29" ht="12.75" customHeight="1" s="105">
      <c r="A29" s="130" t="inlineStr">
        <is>
          <t>Value Per share</t>
        </is>
      </c>
      <c r="B29" s="130" t="n"/>
      <c r="C29" s="130" t="n"/>
      <c r="D29" s="136" t="inlineStr">
        <is>
          <t>Rs.</t>
        </is>
      </c>
      <c r="E29" s="140">
        <f>E28/F9</f>
        <v/>
      </c>
    </row>
    <row r="30" ht="12.75" customHeight="1" s="105">
      <c r="A30" s="130" t="n"/>
      <c r="B30" s="130" t="n"/>
      <c r="C30" s="130" t="n"/>
      <c r="D30" s="136" t="n"/>
      <c r="E30" s="140" t="n"/>
    </row>
    <row r="31" ht="12.75" customHeight="1" s="105">
      <c r="A31" s="130" t="n"/>
      <c r="B31" s="130" t="n"/>
      <c r="C31" s="130" t="n"/>
      <c r="D31" s="136" t="n"/>
      <c r="E31" s="140" t="n"/>
    </row>
    <row r="32" ht="23.25" customHeight="1" s="105">
      <c r="J32" s="131" t="n"/>
      <c r="L32" s="182" t="inlineStr">
        <is>
          <t>Beta----------&gt;</t>
        </is>
      </c>
    </row>
    <row r="33" ht="12.75" customHeight="1" s="105">
      <c r="J33" s="131" t="n"/>
    </row>
    <row r="34" ht="12.75" customHeight="1" s="105">
      <c r="K34" s="134" t="n"/>
      <c r="L34" s="183">
        <f>E29</f>
        <v/>
      </c>
      <c r="M34" s="184" t="n">
        <v>0.8</v>
      </c>
      <c r="N34" s="184">
        <f>M34+0.02</f>
        <v/>
      </c>
      <c r="O34" s="184">
        <f>N34+0.02</f>
        <v/>
      </c>
      <c r="P34" s="184">
        <f>O34+0.02</f>
        <v/>
      </c>
      <c r="Q34" s="184">
        <f>P34+0.02</f>
        <v/>
      </c>
      <c r="R34" s="184">
        <f>Q34+0.02</f>
        <v/>
      </c>
      <c r="S34" s="184">
        <f>R34+0.02</f>
        <v/>
      </c>
      <c r="T34" s="184">
        <f>S34+0.02</f>
        <v/>
      </c>
      <c r="U34" s="184">
        <f>T34+0.02</f>
        <v/>
      </c>
      <c r="V34" s="184">
        <f>U34+0.02</f>
        <v/>
      </c>
      <c r="W34" s="185">
        <f>V34+0.02</f>
        <v/>
      </c>
    </row>
    <row r="35" ht="12.75" customHeight="1" s="105">
      <c r="K35" s="134" t="n"/>
      <c r="L35" s="186" t="n">
        <v>0.02</v>
      </c>
      <c r="M35" s="187">
        <f>TABLE($L$34,$F$8,$L35,$F$5,M$34)</f>
        <v/>
      </c>
      <c r="N35" s="187">
        <f>TABLE($L$34,$F$8,$L35,$F$5,N$34)</f>
        <v/>
      </c>
      <c r="O35" s="187">
        <f>TABLE($L$34,$F$8,$L35,$F$5,O$34)</f>
        <v/>
      </c>
      <c r="P35" s="187">
        <f>TABLE($L$34,$F$8,$L35,$F$5,P$34)</f>
        <v/>
      </c>
      <c r="Q35" s="187">
        <f>TABLE($L$34,$F$8,$L35,$F$5,Q$34)</f>
        <v/>
      </c>
      <c r="R35" s="188">
        <f>TABLE($L$34,$F$8,$L35,$F$5,R$34)</f>
        <v/>
      </c>
      <c r="S35" s="187">
        <f>TABLE($L$34,$F$8,$L35,$F$5,S$34)</f>
        <v/>
      </c>
      <c r="T35" s="187">
        <f>TABLE($L$34,$F$8,$L35,$F$5,T$34)</f>
        <v/>
      </c>
      <c r="U35" s="187">
        <f>TABLE($L$34,$F$8,$L35,$F$5,U$34)</f>
        <v/>
      </c>
      <c r="V35" s="187">
        <f>TABLE($L$34,$F$8,$L35,$F$5,V$34)</f>
        <v/>
      </c>
      <c r="W35" s="187">
        <f>TABLE($L$34,$F$8,$L35,$F$5,W$34)</f>
        <v/>
      </c>
    </row>
    <row r="36" ht="12.75" customHeight="1" s="105">
      <c r="K36" s="189" t="n"/>
      <c r="L36" s="186">
        <f>L35+0.1%</f>
        <v/>
      </c>
      <c r="M36" s="187">
        <f>TABLE($L$34,$F$8,$L36,$F$5,M$34)</f>
        <v/>
      </c>
      <c r="N36" s="187">
        <f>TABLE($L$34,$F$8,$L36,$F$5,N$34)</f>
        <v/>
      </c>
      <c r="O36" s="187">
        <f>TABLE($L$34,$F$8,$L36,$F$5,O$34)</f>
        <v/>
      </c>
      <c r="P36" s="187">
        <f>TABLE($L$34,$F$8,$L36,$F$5,P$34)</f>
        <v/>
      </c>
      <c r="Q36" s="187">
        <f>TABLE($L$34,$F$8,$L36,$F$5,Q$34)</f>
        <v/>
      </c>
      <c r="R36" s="188">
        <f>TABLE($L$34,$F$8,$L36,$F$5,R$34)</f>
        <v/>
      </c>
      <c r="S36" s="187">
        <f>TABLE($L$34,$F$8,$L36,$F$5,S$34)</f>
        <v/>
      </c>
      <c r="T36" s="187">
        <f>TABLE($L$34,$F$8,$L36,$F$5,T$34)</f>
        <v/>
      </c>
      <c r="U36" s="187">
        <f>TABLE($L$34,$F$8,$L36,$F$5,U$34)</f>
        <v/>
      </c>
      <c r="V36" s="187">
        <f>TABLE($L$34,$F$8,$L36,$F$5,V$34)</f>
        <v/>
      </c>
      <c r="W36" s="187">
        <f>TABLE($L$34,$F$8,$L36,$F$5,W$34)</f>
        <v/>
      </c>
    </row>
    <row r="37" ht="12.75" customHeight="1" s="105">
      <c r="K37" s="189" t="n"/>
      <c r="L37" s="186">
        <f>L36+0.1%</f>
        <v/>
      </c>
      <c r="M37" s="187">
        <f>TABLE($L$34,$F$8,$L37,$F$5,M$34)</f>
        <v/>
      </c>
      <c r="N37" s="187">
        <f>TABLE($L$34,$F$8,$L37,$F$5,N$34)</f>
        <v/>
      </c>
      <c r="O37" s="187">
        <f>TABLE($L$34,$F$8,$L37,$F$5,O$34)</f>
        <v/>
      </c>
      <c r="P37" s="187">
        <f>TABLE($L$34,$F$8,$L37,$F$5,P$34)</f>
        <v/>
      </c>
      <c r="Q37" s="187">
        <f>TABLE($L$34,$F$8,$L37,$F$5,Q$34)</f>
        <v/>
      </c>
      <c r="R37" s="188">
        <f>TABLE($L$34,$F$8,$L37,$F$5,R$34)</f>
        <v/>
      </c>
      <c r="S37" s="187">
        <f>TABLE($L$34,$F$8,$L37,$F$5,S$34)</f>
        <v/>
      </c>
      <c r="T37" s="187">
        <f>TABLE($L$34,$F$8,$L37,$F$5,T$34)</f>
        <v/>
      </c>
      <c r="U37" s="187">
        <f>TABLE($L$34,$F$8,$L37,$F$5,U$34)</f>
        <v/>
      </c>
      <c r="V37" s="187">
        <f>TABLE($L$34,$F$8,$L37,$F$5,V$34)</f>
        <v/>
      </c>
      <c r="W37" s="187">
        <f>TABLE($L$34,$F$8,$L37,$F$5,W$34)</f>
        <v/>
      </c>
    </row>
    <row r="38" ht="12.75" customHeight="1" s="105">
      <c r="K38" s="189" t="n"/>
      <c r="L38" s="186">
        <f>L37+0.1%</f>
        <v/>
      </c>
      <c r="M38" s="187">
        <f>TABLE($L$34,$F$8,$L38,$F$5,M$34)</f>
        <v/>
      </c>
      <c r="N38" s="187">
        <f>TABLE($L$34,$F$8,$L38,$F$5,N$34)</f>
        <v/>
      </c>
      <c r="O38" s="187">
        <f>TABLE($L$34,$F$8,$L38,$F$5,O$34)</f>
        <v/>
      </c>
      <c r="P38" s="187">
        <f>TABLE($L$34,$F$8,$L38,$F$5,P$34)</f>
        <v/>
      </c>
      <c r="Q38" s="187">
        <f>TABLE($L$34,$F$8,$L38,$F$5,Q$34)</f>
        <v/>
      </c>
      <c r="R38" s="188">
        <f>TABLE($L$34,$F$8,$L38,$F$5,R$34)</f>
        <v/>
      </c>
      <c r="S38" s="187">
        <f>TABLE($L$34,$F$8,$L38,$F$5,S$34)</f>
        <v/>
      </c>
      <c r="T38" s="187">
        <f>TABLE($L$34,$F$8,$L38,$F$5,T$34)</f>
        <v/>
      </c>
      <c r="U38" s="187">
        <f>TABLE($L$34,$F$8,$L38,$F$5,U$34)</f>
        <v/>
      </c>
      <c r="V38" s="187">
        <f>TABLE($L$34,$F$8,$L38,$F$5,V$34)</f>
        <v/>
      </c>
      <c r="W38" s="187">
        <f>TABLE($L$34,$F$8,$L38,$F$5,W$34)</f>
        <v/>
      </c>
    </row>
    <row r="39" ht="12.75" customHeight="1" s="105">
      <c r="K39" s="189" t="n"/>
      <c r="L39" s="186">
        <f>L38+0.1%</f>
        <v/>
      </c>
      <c r="M39" s="187">
        <f>TABLE($L$34,$F$8,$L39,$F$5,M$34)</f>
        <v/>
      </c>
      <c r="N39" s="187">
        <f>TABLE($L$34,$F$8,$L39,$F$5,N$34)</f>
        <v/>
      </c>
      <c r="O39" s="187">
        <f>TABLE($L$34,$F$8,$L39,$F$5,O$34)</f>
        <v/>
      </c>
      <c r="P39" s="187">
        <f>TABLE($L$34,$F$8,$L39,$F$5,P$34)</f>
        <v/>
      </c>
      <c r="Q39" s="187">
        <f>TABLE($L$34,$F$8,$L39,$F$5,Q$34)</f>
        <v/>
      </c>
      <c r="R39" s="188">
        <f>TABLE($L$34,$F$8,$L39,$F$5,R$34)</f>
        <v/>
      </c>
      <c r="S39" s="187">
        <f>TABLE($L$34,$F$8,$L39,$F$5,S$34)</f>
        <v/>
      </c>
      <c r="T39" s="187">
        <f>TABLE($L$34,$F$8,$L39,$F$5,T$34)</f>
        <v/>
      </c>
      <c r="U39" s="187">
        <f>TABLE($L$34,$F$8,$L39,$F$5,U$34)</f>
        <v/>
      </c>
      <c r="V39" s="187">
        <f>TABLE($L$34,$F$8,$L39,$F$5,V$34)</f>
        <v/>
      </c>
      <c r="W39" s="187">
        <f>TABLE($L$34,$F$8,$L39,$F$5,W$34)</f>
        <v/>
      </c>
    </row>
    <row r="40" ht="12.75" customHeight="1" s="105">
      <c r="K40" s="189" t="n"/>
      <c r="L40" s="186">
        <f>L39+0.1%</f>
        <v/>
      </c>
      <c r="M40" s="187">
        <f>TABLE($L$34,$F$8,$L40,$F$5,M$34)</f>
        <v/>
      </c>
      <c r="N40" s="187">
        <f>TABLE($L$34,$F$8,$L40,$F$5,N$34)</f>
        <v/>
      </c>
      <c r="O40" s="187">
        <f>TABLE($L$34,$F$8,$L40,$F$5,O$34)</f>
        <v/>
      </c>
      <c r="P40" s="187">
        <f>TABLE($L$34,$F$8,$L40,$F$5,P$34)</f>
        <v/>
      </c>
      <c r="Q40" s="187">
        <f>TABLE($L$34,$F$8,$L40,$F$5,Q$34)</f>
        <v/>
      </c>
      <c r="R40" s="188">
        <f>TABLE($L$34,$F$8,$L40,$F$5,R$34)</f>
        <v/>
      </c>
      <c r="S40" s="187">
        <f>TABLE($L$34,$F$8,$L40,$F$5,S$34)</f>
        <v/>
      </c>
      <c r="T40" s="187">
        <f>TABLE($L$34,$F$8,$L40,$F$5,T$34)</f>
        <v/>
      </c>
      <c r="U40" s="187">
        <f>TABLE($L$34,$F$8,$L40,$F$5,U$34)</f>
        <v/>
      </c>
      <c r="V40" s="187">
        <f>TABLE($L$34,$F$8,$L40,$F$5,V$34)</f>
        <v/>
      </c>
      <c r="W40" s="187">
        <f>TABLE($L$34,$F$8,$L40,$F$5,W$34)</f>
        <v/>
      </c>
    </row>
    <row r="41" ht="12.75" customHeight="1" s="105">
      <c r="K41" s="189" t="n"/>
      <c r="L41" s="186">
        <f>L40+0.1%</f>
        <v/>
      </c>
      <c r="M41" s="187">
        <f>TABLE($L$34,$F$8,$L41,$F$5,M$34)</f>
        <v/>
      </c>
      <c r="N41" s="187">
        <f>TABLE($L$34,$F$8,$L41,$F$5,N$34)</f>
        <v/>
      </c>
      <c r="O41" s="187">
        <f>TABLE($L$34,$F$8,$L41,$F$5,O$34)</f>
        <v/>
      </c>
      <c r="P41" s="187">
        <f>TABLE($L$34,$F$8,$L41,$F$5,P$34)</f>
        <v/>
      </c>
      <c r="Q41" s="187">
        <f>TABLE($L$34,$F$8,$L41,$F$5,Q$34)</f>
        <v/>
      </c>
      <c r="R41" s="188">
        <f>TABLE($L$34,$F$8,$L41,$F$5,R$34)</f>
        <v/>
      </c>
      <c r="S41" s="187">
        <f>TABLE($L$34,$F$8,$L41,$F$5,S$34)</f>
        <v/>
      </c>
      <c r="T41" s="187">
        <f>TABLE($L$34,$F$8,$L41,$F$5,T$34)</f>
        <v/>
      </c>
      <c r="U41" s="187">
        <f>TABLE($L$34,$F$8,$L41,$F$5,U$34)</f>
        <v/>
      </c>
      <c r="V41" s="187">
        <f>TABLE($L$34,$F$8,$L41,$F$5,V$34)</f>
        <v/>
      </c>
      <c r="W41" s="187">
        <f>TABLE($L$34,$F$8,$L41,$F$5,W$34)</f>
        <v/>
      </c>
    </row>
    <row r="42" ht="12.75" customHeight="1" s="105">
      <c r="K42" s="189" t="n"/>
      <c r="L42" s="186">
        <f>L41+0.1%</f>
        <v/>
      </c>
      <c r="M42" s="187">
        <f>TABLE($L$34,$F$8,$L42,$F$5,M$34)</f>
        <v/>
      </c>
      <c r="N42" s="187">
        <f>TABLE($L$34,$F$8,$L42,$F$5,N$34)</f>
        <v/>
      </c>
      <c r="O42" s="187">
        <f>TABLE($L$34,$F$8,$L42,$F$5,O$34)</f>
        <v/>
      </c>
      <c r="P42" s="187">
        <f>TABLE($L$34,$F$8,$L42,$F$5,P$34)</f>
        <v/>
      </c>
      <c r="Q42" s="187">
        <f>TABLE($L$34,$F$8,$L42,$F$5,Q$34)</f>
        <v/>
      </c>
      <c r="R42" s="188">
        <f>TABLE($L$34,$F$8,$L42,$F$5,R$34)</f>
        <v/>
      </c>
      <c r="S42" s="187">
        <f>TABLE($L$34,$F$8,$L42,$F$5,S$34)</f>
        <v/>
      </c>
      <c r="T42" s="187">
        <f>TABLE($L$34,$F$8,$L42,$F$5,T$34)</f>
        <v/>
      </c>
      <c r="U42" s="187">
        <f>TABLE($L$34,$F$8,$L42,$F$5,U$34)</f>
        <v/>
      </c>
      <c r="V42" s="187">
        <f>TABLE($L$34,$F$8,$L42,$F$5,V$34)</f>
        <v/>
      </c>
      <c r="W42" s="187">
        <f>TABLE($L$34,$F$8,$L42,$F$5,W$34)</f>
        <v/>
      </c>
    </row>
    <row r="43" ht="12.75" customHeight="1" s="105">
      <c r="L43" s="186">
        <f>L42+0.1%</f>
        <v/>
      </c>
      <c r="M43" s="187">
        <f>TABLE($L$34,$F$8,$L43,$F$5,M$34)</f>
        <v/>
      </c>
      <c r="N43" s="187">
        <f>TABLE($L$34,$F$8,$L43,$F$5,N$34)</f>
        <v/>
      </c>
      <c r="O43" s="187">
        <f>TABLE($L$34,$F$8,$L43,$F$5,O$34)</f>
        <v/>
      </c>
      <c r="P43" s="187">
        <f>TABLE($L$34,$F$8,$L43,$F$5,P$34)</f>
        <v/>
      </c>
      <c r="Q43" s="187">
        <f>TABLE($L$34,$F$8,$L43,$F$5,Q$34)</f>
        <v/>
      </c>
      <c r="R43" s="188">
        <f>TABLE($L$34,$F$8,$L43,$F$5,R$34)</f>
        <v/>
      </c>
      <c r="S43" s="187">
        <f>TABLE($L$34,$F$8,$L43,$F$5,S$34)</f>
        <v/>
      </c>
      <c r="T43" s="187">
        <f>TABLE($L$34,$F$8,$L43,$F$5,T$34)</f>
        <v/>
      </c>
      <c r="U43" s="187">
        <f>TABLE($L$34,$F$8,$L43,$F$5,U$34)</f>
        <v/>
      </c>
      <c r="V43" s="187">
        <f>TABLE($L$34,$F$8,$L43,$F$5,V$34)</f>
        <v/>
      </c>
      <c r="W43" s="187">
        <f>TABLE($L$34,$F$8,$L43,$F$5,W$34)</f>
        <v/>
      </c>
    </row>
    <row r="44" ht="20.25" customHeight="1" s="105">
      <c r="K44" s="190" t="inlineStr">
        <is>
          <t>Terminal</t>
        </is>
      </c>
      <c r="L44" s="186">
        <f>L43+0.1%</f>
        <v/>
      </c>
      <c r="M44" s="187">
        <f>TABLE($L$34,$F$8,$L44,$F$5,M$34)</f>
        <v/>
      </c>
      <c r="N44" s="187">
        <f>TABLE($L$34,$F$8,$L44,$F$5,N$34)</f>
        <v/>
      </c>
      <c r="O44" s="187">
        <f>TABLE($L$34,$F$8,$L44,$F$5,O$34)</f>
        <v/>
      </c>
      <c r="P44" s="187">
        <f>TABLE($L$34,$F$8,$L44,$F$5,P$34)</f>
        <v/>
      </c>
      <c r="Q44" s="187">
        <f>TABLE($L$34,$F$8,$L44,$F$5,Q$34)</f>
        <v/>
      </c>
      <c r="R44" s="188">
        <f>TABLE($L$34,$F$8,$L44,$F$5,R$34)</f>
        <v/>
      </c>
      <c r="S44" s="187">
        <f>TABLE($L$34,$F$8,$L44,$F$5,S$34)</f>
        <v/>
      </c>
      <c r="T44" s="187">
        <f>TABLE($L$34,$F$8,$L44,$F$5,T$34)</f>
        <v/>
      </c>
      <c r="U44" s="187">
        <f>TABLE($L$34,$F$8,$L44,$F$5,U$34)</f>
        <v/>
      </c>
      <c r="V44" s="187">
        <f>TABLE($L$34,$F$8,$L44,$F$5,V$34)</f>
        <v/>
      </c>
      <c r="W44" s="187">
        <f>TABLE($L$34,$F$8,$L44,$F$5,W$34)</f>
        <v/>
      </c>
    </row>
    <row r="45" ht="12.75" customHeight="1" s="105">
      <c r="K45" s="190" t="inlineStr">
        <is>
          <t xml:space="preserve">Growth </t>
        </is>
      </c>
      <c r="L45" s="186">
        <f>L44+0.1%</f>
        <v/>
      </c>
      <c r="M45" s="188">
        <f>TABLE($L$34,$F$8,$L45,$F$5,M$34)</f>
        <v/>
      </c>
      <c r="N45" s="188">
        <f>TABLE($L$34,$F$8,$L45,$F$5,N$34)</f>
        <v/>
      </c>
      <c r="O45" s="188">
        <f>TABLE($L$34,$F$8,$L45,$F$5,O$34)</f>
        <v/>
      </c>
      <c r="P45" s="188">
        <f>TABLE($L$34,$F$8,$L45,$F$5,P$34)</f>
        <v/>
      </c>
      <c r="Q45" s="188">
        <f>TABLE($L$34,$F$8,$L45,$F$5,Q$34)</f>
        <v/>
      </c>
      <c r="R45" s="191">
        <f>TABLE($L$34,$F$8,$L45,$F$5,R$34)</f>
        <v/>
      </c>
      <c r="S45" s="188">
        <f>TABLE($L$34,$F$8,$L45,$F$5,S$34)</f>
        <v/>
      </c>
      <c r="T45" s="188">
        <f>TABLE($L$34,$F$8,$L45,$F$5,T$34)</f>
        <v/>
      </c>
      <c r="U45" s="188">
        <f>TABLE($L$34,$F$8,$L45,$F$5,U$34)</f>
        <v/>
      </c>
      <c r="V45" s="188">
        <f>TABLE($L$34,$F$8,$L45,$F$5,V$34)</f>
        <v/>
      </c>
      <c r="W45" s="188">
        <f>TABLE($L$34,$F$8,$L45,$F$5,W$34)</f>
        <v/>
      </c>
    </row>
    <row r="46" ht="20.25" customHeight="1" s="105">
      <c r="K46" s="182" t="inlineStr">
        <is>
          <t>Rate</t>
        </is>
      </c>
      <c r="L46" s="186">
        <f>L45+0.1%</f>
        <v/>
      </c>
      <c r="M46" s="187">
        <f>TABLE($L$34,$F$8,$L46,$F$5,M$34)</f>
        <v/>
      </c>
      <c r="N46" s="187">
        <f>TABLE($L$34,$F$8,$L46,$F$5,N$34)</f>
        <v/>
      </c>
      <c r="O46" s="187">
        <f>TABLE($L$34,$F$8,$L46,$F$5,O$34)</f>
        <v/>
      </c>
      <c r="P46" s="187">
        <f>TABLE($L$34,$F$8,$L46,$F$5,P$34)</f>
        <v/>
      </c>
      <c r="Q46" s="187">
        <f>TABLE($L$34,$F$8,$L46,$F$5,Q$34)</f>
        <v/>
      </c>
      <c r="R46" s="188">
        <f>TABLE($L$34,$F$8,$L46,$F$5,R$34)</f>
        <v/>
      </c>
      <c r="S46" s="187">
        <f>TABLE($L$34,$F$8,$L46,$F$5,S$34)</f>
        <v/>
      </c>
      <c r="T46" s="187">
        <f>TABLE($L$34,$F$8,$L46,$F$5,T$34)</f>
        <v/>
      </c>
      <c r="U46" s="187">
        <f>TABLE($L$34,$F$8,$L46,$F$5,U$34)</f>
        <v/>
      </c>
      <c r="V46" s="187">
        <f>TABLE($L$34,$F$8,$L46,$F$5,V$34)</f>
        <v/>
      </c>
      <c r="W46" s="187">
        <f>TABLE($L$34,$F$8,$L46,$F$5,W$34)</f>
        <v/>
      </c>
    </row>
    <row r="47" ht="12.75" customHeight="1" s="105">
      <c r="K47" s="189" t="n"/>
      <c r="L47" s="186">
        <f>L46+0.1%</f>
        <v/>
      </c>
      <c r="M47" s="187">
        <f>TABLE($L$34,$F$8,$L47,$F$5,M$34)</f>
        <v/>
      </c>
      <c r="N47" s="187">
        <f>TABLE($L$34,$F$8,$L47,$F$5,N$34)</f>
        <v/>
      </c>
      <c r="O47" s="187">
        <f>TABLE($L$34,$F$8,$L47,$F$5,O$34)</f>
        <v/>
      </c>
      <c r="P47" s="187">
        <f>TABLE($L$34,$F$8,$L47,$F$5,P$34)</f>
        <v/>
      </c>
      <c r="Q47" s="187">
        <f>TABLE($L$34,$F$8,$L47,$F$5,Q$34)</f>
        <v/>
      </c>
      <c r="R47" s="188">
        <f>TABLE($L$34,$F$8,$L47,$F$5,R$34)</f>
        <v/>
      </c>
      <c r="S47" s="187">
        <f>TABLE($L$34,$F$8,$L47,$F$5,S$34)</f>
        <v/>
      </c>
      <c r="T47" s="187">
        <f>TABLE($L$34,$F$8,$L47,$F$5,T$34)</f>
        <v/>
      </c>
      <c r="U47" s="187">
        <f>TABLE($L$34,$F$8,$L47,$F$5,U$34)</f>
        <v/>
      </c>
      <c r="V47" s="187">
        <f>TABLE($L$34,$F$8,$L47,$F$5,V$34)</f>
        <v/>
      </c>
      <c r="W47" s="187">
        <f>TABLE($L$34,$F$8,$L47,$F$5,W$34)</f>
        <v/>
      </c>
    </row>
    <row r="48" ht="12.75" customHeight="1" s="105">
      <c r="K48" s="189" t="n"/>
      <c r="L48" s="186">
        <f>L47+0.1%</f>
        <v/>
      </c>
      <c r="M48" s="187">
        <f>TABLE($L$34,$F$8,$L48,$F$5,M$34)</f>
        <v/>
      </c>
      <c r="N48" s="187">
        <f>TABLE($L$34,$F$8,$L48,$F$5,N$34)</f>
        <v/>
      </c>
      <c r="O48" s="187">
        <f>TABLE($L$34,$F$8,$L48,$F$5,O$34)</f>
        <v/>
      </c>
      <c r="P48" s="187">
        <f>TABLE($L$34,$F$8,$L48,$F$5,P$34)</f>
        <v/>
      </c>
      <c r="Q48" s="187">
        <f>TABLE($L$34,$F$8,$L48,$F$5,Q$34)</f>
        <v/>
      </c>
      <c r="R48" s="188">
        <f>TABLE($L$34,$F$8,$L48,$F$5,R$34)</f>
        <v/>
      </c>
      <c r="S48" s="187">
        <f>TABLE($L$34,$F$8,$L48,$F$5,S$34)</f>
        <v/>
      </c>
      <c r="T48" s="187">
        <f>TABLE($L$34,$F$8,$L48,$F$5,T$34)</f>
        <v/>
      </c>
      <c r="U48" s="187">
        <f>TABLE($L$34,$F$8,$L48,$F$5,U$34)</f>
        <v/>
      </c>
      <c r="V48" s="187">
        <f>TABLE($L$34,$F$8,$L48,$F$5,V$34)</f>
        <v/>
      </c>
      <c r="W48" s="187">
        <f>TABLE($L$34,$F$8,$L48,$F$5,W$34)</f>
        <v/>
      </c>
    </row>
    <row r="49" ht="12.75" customHeight="1" s="105">
      <c r="K49" s="189" t="n"/>
      <c r="L49" s="186">
        <f>L48+0.1%</f>
        <v/>
      </c>
      <c r="M49" s="187">
        <f>TABLE($L$34,$F$8,$L49,$F$5,M$34)</f>
        <v/>
      </c>
      <c r="N49" s="187">
        <f>TABLE($L$34,$F$8,$L49,$F$5,N$34)</f>
        <v/>
      </c>
      <c r="O49" s="187">
        <f>TABLE($L$34,$F$8,$L49,$F$5,O$34)</f>
        <v/>
      </c>
      <c r="P49" s="187">
        <f>TABLE($L$34,$F$8,$L49,$F$5,P$34)</f>
        <v/>
      </c>
      <c r="Q49" s="187">
        <f>TABLE($L$34,$F$8,$L49,$F$5,Q$34)</f>
        <v/>
      </c>
      <c r="R49" s="188">
        <f>TABLE($L$34,$F$8,$L49,$F$5,R$34)</f>
        <v/>
      </c>
      <c r="S49" s="187">
        <f>TABLE($L$34,$F$8,$L49,$F$5,S$34)</f>
        <v/>
      </c>
      <c r="T49" s="187">
        <f>TABLE($L$34,$F$8,$L49,$F$5,T$34)</f>
        <v/>
      </c>
      <c r="U49" s="187">
        <f>TABLE($L$34,$F$8,$L49,$F$5,U$34)</f>
        <v/>
      </c>
      <c r="V49" s="187">
        <f>TABLE($L$34,$F$8,$L49,$F$5,V$34)</f>
        <v/>
      </c>
      <c r="W49" s="187">
        <f>TABLE($L$34,$F$8,$L49,$F$5,W$34)</f>
        <v/>
      </c>
    </row>
    <row r="50" ht="12.75" customHeight="1" s="105">
      <c r="K50" s="189" t="n"/>
      <c r="L50" s="186">
        <f>L49+0.1%</f>
        <v/>
      </c>
      <c r="M50" s="187">
        <f>TABLE($L$34,$F$8,$L50,$F$5,M$34)</f>
        <v/>
      </c>
      <c r="N50" s="187">
        <f>TABLE($L$34,$F$8,$L50,$F$5,N$34)</f>
        <v/>
      </c>
      <c r="O50" s="187">
        <f>TABLE($L$34,$F$8,$L50,$F$5,O$34)</f>
        <v/>
      </c>
      <c r="P50" s="187">
        <f>TABLE($L$34,$F$8,$L50,$F$5,P$34)</f>
        <v/>
      </c>
      <c r="Q50" s="187">
        <f>TABLE($L$34,$F$8,$L50,$F$5,Q$34)</f>
        <v/>
      </c>
      <c r="R50" s="188">
        <f>TABLE($L$34,$F$8,$L50,$F$5,R$34)</f>
        <v/>
      </c>
      <c r="S50" s="187">
        <f>TABLE($L$34,$F$8,$L50,$F$5,S$34)</f>
        <v/>
      </c>
      <c r="T50" s="187">
        <f>TABLE($L$34,$F$8,$L50,$F$5,T$34)</f>
        <v/>
      </c>
      <c r="U50" s="187">
        <f>TABLE($L$34,$F$8,$L50,$F$5,U$34)</f>
        <v/>
      </c>
      <c r="V50" s="187">
        <f>TABLE($L$34,$F$8,$L50,$F$5,V$34)</f>
        <v/>
      </c>
      <c r="W50" s="187">
        <f>TABLE($L$34,$F$8,$L50,$F$5,W$34)</f>
        <v/>
      </c>
    </row>
    <row r="51" ht="12.75" customHeight="1" s="105">
      <c r="K51" s="189" t="n"/>
      <c r="L51" s="186">
        <f>L50+0.1%</f>
        <v/>
      </c>
      <c r="M51" s="187">
        <f>TABLE($L$34,$F$8,$L51,$F$5,M$34)</f>
        <v/>
      </c>
      <c r="N51" s="187">
        <f>TABLE($L$34,$F$8,$L51,$F$5,N$34)</f>
        <v/>
      </c>
      <c r="O51" s="187">
        <f>TABLE($L$34,$F$8,$L51,$F$5,O$34)</f>
        <v/>
      </c>
      <c r="P51" s="187">
        <f>TABLE($L$34,$F$8,$L51,$F$5,P$34)</f>
        <v/>
      </c>
      <c r="Q51" s="187">
        <f>TABLE($L$34,$F$8,$L51,$F$5,Q$34)</f>
        <v/>
      </c>
      <c r="R51" s="188">
        <f>TABLE($L$34,$F$8,$L51,$F$5,R$34)</f>
        <v/>
      </c>
      <c r="S51" s="187">
        <f>TABLE($L$34,$F$8,$L51,$F$5,S$34)</f>
        <v/>
      </c>
      <c r="T51" s="187">
        <f>TABLE($L$34,$F$8,$L51,$F$5,T$34)</f>
        <v/>
      </c>
      <c r="U51" s="187">
        <f>TABLE($L$34,$F$8,$L51,$F$5,U$34)</f>
        <v/>
      </c>
      <c r="V51" s="187">
        <f>TABLE($L$34,$F$8,$L51,$F$5,V$34)</f>
        <v/>
      </c>
      <c r="W51" s="187">
        <f>TABLE($L$34,$F$8,$L51,$F$5,W$34)</f>
        <v/>
      </c>
    </row>
    <row r="52" ht="12.75" customHeight="1" s="105">
      <c r="K52" s="189" t="n"/>
      <c r="L52" s="186">
        <f>L51+0.1%</f>
        <v/>
      </c>
      <c r="M52" s="187">
        <f>TABLE($L$34,$F$8,$L52,$F$5,M$34)</f>
        <v/>
      </c>
      <c r="N52" s="187">
        <f>TABLE($L$34,$F$8,$L52,$F$5,N$34)</f>
        <v/>
      </c>
      <c r="O52" s="187">
        <f>TABLE($L$34,$F$8,$L52,$F$5,O$34)</f>
        <v/>
      </c>
      <c r="P52" s="187">
        <f>TABLE($L$34,$F$8,$L52,$F$5,P$34)</f>
        <v/>
      </c>
      <c r="Q52" s="187">
        <f>TABLE($L$34,$F$8,$L52,$F$5,Q$34)</f>
        <v/>
      </c>
      <c r="R52" s="188">
        <f>TABLE($L$34,$F$8,$L52,$F$5,R$34)</f>
        <v/>
      </c>
      <c r="S52" s="187">
        <f>TABLE($L$34,$F$8,$L52,$F$5,S$34)</f>
        <v/>
      </c>
      <c r="T52" s="187">
        <f>TABLE($L$34,$F$8,$L52,$F$5,T$34)</f>
        <v/>
      </c>
      <c r="U52" s="187">
        <f>TABLE($L$34,$F$8,$L52,$F$5,U$34)</f>
        <v/>
      </c>
      <c r="V52" s="187">
        <f>TABLE($L$34,$F$8,$L52,$F$5,V$34)</f>
        <v/>
      </c>
      <c r="W52" s="187">
        <f>TABLE($L$34,$F$8,$L52,$F$5,W$34)</f>
        <v/>
      </c>
    </row>
    <row r="53" ht="12.75" customHeight="1" s="105">
      <c r="K53" s="189" t="n"/>
      <c r="L53" s="186">
        <f>L52+0.1%</f>
        <v/>
      </c>
      <c r="M53" s="187">
        <f>TABLE($L$34,$F$8,$L53,$F$5,M$34)</f>
        <v/>
      </c>
      <c r="N53" s="187">
        <f>TABLE($L$34,$F$8,$L53,$F$5,N$34)</f>
        <v/>
      </c>
      <c r="O53" s="187">
        <f>TABLE($L$34,$F$8,$L53,$F$5,O$34)</f>
        <v/>
      </c>
      <c r="P53" s="187">
        <f>TABLE($L$34,$F$8,$L53,$F$5,P$34)</f>
        <v/>
      </c>
      <c r="Q53" s="187">
        <f>TABLE($L$34,$F$8,$L53,$F$5,Q$34)</f>
        <v/>
      </c>
      <c r="R53" s="188">
        <f>TABLE($L$34,$F$8,$L53,$F$5,R$34)</f>
        <v/>
      </c>
      <c r="S53" s="187">
        <f>TABLE($L$34,$F$8,$L53,$F$5,S$34)</f>
        <v/>
      </c>
      <c r="T53" s="187">
        <f>TABLE($L$34,$F$8,$L53,$F$5,T$34)</f>
        <v/>
      </c>
      <c r="U53" s="187">
        <f>TABLE($L$34,$F$8,$L53,$F$5,U$34)</f>
        <v/>
      </c>
      <c r="V53" s="187">
        <f>TABLE($L$34,$F$8,$L53,$F$5,V$34)</f>
        <v/>
      </c>
      <c r="W53" s="187">
        <f>TABLE($L$34,$F$8,$L53,$F$5,W$34)</f>
        <v/>
      </c>
    </row>
    <row r="54" ht="12.75" customHeight="1" s="105">
      <c r="K54" s="189" t="n"/>
      <c r="L54" s="186">
        <f>L53+0.1%</f>
        <v/>
      </c>
      <c r="M54" s="187">
        <f>TABLE($L$34,$F$8,$L54,$F$5,M$34)</f>
        <v/>
      </c>
      <c r="N54" s="187">
        <f>TABLE($L$34,$F$8,$L54,$F$5,N$34)</f>
        <v/>
      </c>
      <c r="O54" s="187">
        <f>TABLE($L$34,$F$8,$L54,$F$5,O$34)</f>
        <v/>
      </c>
      <c r="P54" s="187">
        <f>TABLE($L$34,$F$8,$L54,$F$5,P$34)</f>
        <v/>
      </c>
      <c r="Q54" s="187">
        <f>TABLE($L$34,$F$8,$L54,$F$5,Q$34)</f>
        <v/>
      </c>
      <c r="R54" s="188">
        <f>TABLE($L$34,$F$8,$L54,$F$5,R$34)</f>
        <v/>
      </c>
      <c r="S54" s="187">
        <f>TABLE($L$34,$F$8,$L54,$F$5,S$34)</f>
        <v/>
      </c>
      <c r="T54" s="187">
        <f>TABLE($L$34,$F$8,$L54,$F$5,T$34)</f>
        <v/>
      </c>
      <c r="U54" s="187">
        <f>TABLE($L$34,$F$8,$L54,$F$5,U$34)</f>
        <v/>
      </c>
      <c r="V54" s="187">
        <f>TABLE($L$34,$F$8,$L54,$F$5,V$34)</f>
        <v/>
      </c>
      <c r="W54" s="187">
        <f>TABLE($L$34,$F$8,$L54,$F$5,W$34)</f>
        <v/>
      </c>
    </row>
    <row r="55" ht="12.75" customHeight="1" s="105">
      <c r="K55" s="189" t="n"/>
      <c r="L55" s="192">
        <f>L54+0.1%</f>
        <v/>
      </c>
      <c r="M55" s="187">
        <f>TABLE($L$34,$F$8,$L55,$F$5,M$34)</f>
        <v/>
      </c>
      <c r="N55" s="187">
        <f>TABLE($L$34,$F$8,$L55,$F$5,N$34)</f>
        <v/>
      </c>
      <c r="O55" s="187">
        <f>TABLE($L$34,$F$8,$L55,$F$5,O$34)</f>
        <v/>
      </c>
      <c r="P55" s="187">
        <f>TABLE($L$34,$F$8,$L55,$F$5,P$34)</f>
        <v/>
      </c>
      <c r="Q55" s="187">
        <f>TABLE($L$34,$F$8,$L55,$F$5,Q$34)</f>
        <v/>
      </c>
      <c r="R55" s="188">
        <f>TABLE($L$34,$F$8,$L55,$F$5,R$34)</f>
        <v/>
      </c>
      <c r="S55" s="187">
        <f>TABLE($L$34,$F$8,$L55,$F$5,S$34)</f>
        <v/>
      </c>
      <c r="T55" s="187">
        <f>TABLE($L$34,$F$8,$L55,$F$5,T$34)</f>
        <v/>
      </c>
      <c r="U55" s="187">
        <f>TABLE($L$34,$F$8,$L55,$F$5,U$34)</f>
        <v/>
      </c>
      <c r="V55" s="187">
        <f>TABLE($L$34,$F$8,$L55,$F$5,V$34)</f>
        <v/>
      </c>
      <c r="W55" s="187">
        <f>TABLE($L$34,$F$8,$L55,$F$5,W$34)</f>
        <v/>
      </c>
    </row>
    <row r="56" ht="12.75" customHeight="1" s="105">
      <c r="K56" s="193" t="n"/>
    </row>
    <row r="57" ht="12.75" customHeight="1" s="105">
      <c r="K57" s="193" t="n"/>
    </row>
    <row r="58" ht="12.75" customHeight="1" s="105">
      <c r="K58" s="193" t="n"/>
    </row>
    <row r="59" ht="12.75" customHeight="1" s="105">
      <c r="K59" s="193" t="n"/>
    </row>
  </sheetData>
  <mergeCells count="1">
    <mergeCell ref="L32:V32"/>
  </mergeCells>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PRISTINE</dc:creator>
  <dc:language>en-US</dc:language>
  <dcterms:created xsi:type="dcterms:W3CDTF">2010-09-14T05:12:25Z</dcterms:created>
  <dcterms:modified xsi:type="dcterms:W3CDTF">2026-08-18T02:45:08Z</dcterms:modified>
  <cp:lastModifiedBy>pawan</cp:lastModifiedBy>
  <cp:revision>0</cp:revision>
</cp:coreProperties>
</file>