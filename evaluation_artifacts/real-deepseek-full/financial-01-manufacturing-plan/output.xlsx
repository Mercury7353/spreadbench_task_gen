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 Inputs" sheetId="1" state="visible" r:id="rId2"/>
    <sheet name="Profit and Loss" sheetId="2" state="visible" r:id="rId3"/>
    <sheet name="Balance Sheet" sheetId="3" state="visible" r:id="rId4"/>
    <sheet name="Cash Flow" sheetId="4" state="visible" r:id="rId5"/>
    <sheet name="Loan Payment Calculator" sheetId="5" state="visible" r:id="rId6"/>
  </sheets>
  <definedNames>
    <definedName function="false" hidden="false" localSheetId="2" name="_xlnm.Print_Area" vbProcedure="false">'Balance Sheet'!$A$1:$I$53</definedName>
    <definedName function="false" hidden="false" localSheetId="0" name="_xlnm.Print_Area" vbProcedure="false">'Model Inputs'!$A$1:$F$47</definedName>
    <definedName function="false" hidden="false" localSheetId="1" name="_xlnm.Print_Area" vbProcedure="false">'Profit and Loss'!$A$1:$I$48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<sst xmlns="http://schemas.openxmlformats.org/spreadsheetml/2006/main" count="159" uniqueCount="140">
  <si>
    <t xml:space="preserve">[Company Name]</t>
  </si>
  <si>
    <t xml:space="preserve">5-Year Financial Plan—Manufacturing</t>
  </si>
  <si>
    <t xml:space="preserve">Model inputs and investor scenario</t>
  </si>
  <si>
    <t xml:space="preserve">Enter data in white cells only.</t>
  </si>
  <si>
    <t xml:space="preserve">Italicized numbers in gray cells are calculations that should not be overwritten.</t>
  </si>
  <si>
    <t xml:space="preserve">Non-italicized numbers in gray cells are calculations that can be overwritten.</t>
  </si>
  <si>
    <t xml:space="preserve">General notes and assumptions</t>
  </si>
  <si>
    <t xml:space="preserve">[Document key financial planning assumptions here.]</t>
  </si>
  <si>
    <t xml:space="preserve">Year 1 model inputs</t>
  </si>
  <si>
    <t xml:space="preserve">Use this area to capture key components of the Profit and Loss Statement and the Balance Sheet for the first year only.</t>
  </si>
  <si>
    <t xml:space="preserve">1. Year-one revenue expectancy</t>
  </si>
  <si>
    <t xml:space="preserve">&lt;Product 1&gt;</t>
  </si>
  <si>
    <t xml:space="preserve">&lt;Product 2&gt;</t>
  </si>
  <si>
    <t xml:space="preserve">&lt;Product 3&gt;</t>
  </si>
  <si>
    <t xml:space="preserve">&lt;Product 4&gt;</t>
  </si>
  <si>
    <t xml:space="preserve">Number of units sold annually</t>
  </si>
  <si>
    <t xml:space="preserve">Average sales price per unit</t>
  </si>
  <si>
    <t xml:space="preserve">Annual revenue per product</t>
  </si>
  <si>
    <t xml:space="preserve">Total year 1 revenue</t>
  </si>
  <si>
    <t xml:space="preserve">2. Year 1 cost of goods sold</t>
  </si>
  <si>
    <t xml:space="preserve">Expected gross margin per product</t>
  </si>
  <si>
    <t xml:space="preserve">Annual cost of goods sold per product</t>
  </si>
  <si>
    <t xml:space="preserve">Total year 1 cost of goods sold</t>
  </si>
  <si>
    <t xml:space="preserve">3. Annual maintenance, repair, and overhaul</t>
  </si>
  <si>
    <t xml:space="preserve">Factor (%) on capital equipment</t>
  </si>
  <si>
    <t xml:space="preserve">4. Number of years for straight-line depreciation</t>
  </si>
  <si>
    <t xml:space="preserve">5. Annual tax rate</t>
  </si>
  <si>
    <t xml:space="preserve">6. If long-term debt is being used to finance
     operations, enter the total loan value.</t>
  </si>
  <si>
    <t xml:space="preserve">Profit and loss projections</t>
  </si>
  <si>
    <t xml:space="preserve">Year-by-year profit and loss 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</si>
  <si>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</si>
  <si>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</si>
  <si>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</si>
  <si>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</si>
  <si>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</si>
  <si>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Annual cumulative price (revenue) increase</t>
  </si>
  <si>
    <t xml:space="preserve">-</t>
  </si>
  <si>
    <t xml:space="preserve">Annual cumulative inflation (expense) increase</t>
  </si>
  <si>
    <t xml:space="preserve">Interest rate on ending cash balance</t>
  </si>
  <si>
    <t xml:space="preserve">Revenue</t>
  </si>
  <si>
    <t xml:space="preserve">Gross revenue</t>
  </si>
  <si>
    <t xml:space="preserve">Cost of goods sold</t>
  </si>
  <si>
    <t xml:space="preserve">Gross margin</t>
  </si>
  <si>
    <t xml:space="preserve">Other revenue [source]</t>
  </si>
  <si>
    <t xml:space="preserve">Interest income</t>
  </si>
  <si>
    <t xml:space="preserve">Total revenue</t>
  </si>
  <si>
    <t xml:space="preserve">Operating expenses</t>
  </si>
  <si>
    <t xml:space="preserve">Sales and marketing</t>
  </si>
  <si>
    <t xml:space="preserve">Payroll and payroll taxes</t>
  </si>
  <si>
    <t xml:space="preserve">Depreciation</t>
  </si>
  <si>
    <t xml:space="preserve">Insurance</t>
  </si>
  <si>
    <t xml:space="preserve">Maintenance, repair, and overhaul</t>
  </si>
  <si>
    <t xml:space="preserve">Utilities</t>
  </si>
  <si>
    <t xml:space="preserve">Property taxes</t>
  </si>
  <si>
    <t xml:space="preserve">Administrative fees</t>
  </si>
  <si>
    <t xml:space="preserve">Other</t>
  </si>
  <si>
    <t xml:space="preserve">Total operating expenses</t>
  </si>
  <si>
    <t xml:space="preserve">Operating income</t>
  </si>
  <si>
    <t xml:space="preserve">Interest expense on long-term debt</t>
  </si>
  <si>
    <t xml:space="preserve">Operating income before other items</t>
  </si>
  <si>
    <t xml:space="preserve">Loss (gain) on sale of assets</t>
  </si>
  <si>
    <t xml:space="preserve">Other unusual expenses (income)</t>
  </si>
  <si>
    <t xml:space="preserve">Earnings before taxes</t>
  </si>
  <si>
    <t xml:space="preserve">Taxes on income</t>
  </si>
  <si>
    <t xml:space="preserve">Net income (loss)</t>
  </si>
  <si>
    <t xml:space="preserve">Balance sheet projections</t>
  </si>
  <si>
    <t xml:space="preserve">Assets</t>
  </si>
  <si>
    <t xml:space="preserve">Initial balance</t>
  </si>
  <si>
    <t xml:space="preserve">Cash and short-term investments</t>
  </si>
  <si>
    <t xml:space="preserve">Accounts receivable</t>
  </si>
  <si>
    <t xml:space="preserve">Total inventory</t>
  </si>
  <si>
    <t xml:space="preserve">Prepaid expenses</t>
  </si>
  <si>
    <t xml:space="preserve">Deferred income tax</t>
  </si>
  <si>
    <t xml:space="preserve">Other current assets</t>
  </si>
  <si>
    <t xml:space="preserve">Total current assets</t>
  </si>
  <si>
    <t xml:space="preserve">Buildings</t>
  </si>
  <si>
    <t xml:space="preserve">Land</t>
  </si>
  <si>
    <t xml:space="preserve">Capital improvements</t>
  </si>
  <si>
    <t xml:space="preserve">Machinery and equipment</t>
  </si>
  <si>
    <t xml:space="preserve">Less: Accumulated depreciation expense</t>
  </si>
  <si>
    <t xml:space="preserve">Net property/equipment</t>
  </si>
  <si>
    <t xml:space="preserve">Goodwill</t>
  </si>
  <si>
    <t xml:space="preserve">Long-term investments</t>
  </si>
  <si>
    <t xml:space="preserve">Deposits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</si>
  <si>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</si>
  <si>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</si>
  <si>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</si>
  <si>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</si>
  <si>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</si>
  <si>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Notes payable/short-term debt</t>
  </si>
  <si>
    <t xml:space="preserve">Capital leases</t>
  </si>
  <si>
    <t xml:space="preserve">Other current liabilities</t>
  </si>
  <si>
    <t xml:space="preserve">Total current liabilities</t>
  </si>
  <si>
    <t xml:space="preserve">Long-term debt from loan payment calculator</t>
  </si>
  <si>
    <t xml:space="preserve">Other long-term debt</t>
  </si>
  <si>
    <t xml:space="preserve">Total debt</t>
  </si>
  <si>
    <t xml:space="preserve">Other liabilities</t>
  </si>
  <si>
    <t xml:space="preserve">Total liabilities</t>
  </si>
  <si>
    <t xml:space="preserve">Equity</t>
  </si>
  <si>
    <t xml:space="preserve">Owner's equity (common)</t>
  </si>
  <si>
    <t xml:space="preserve">Paid-in capital</t>
  </si>
  <si>
    <t xml:space="preserve">Preferred equity</t>
  </si>
  <si>
    <t xml:space="preserve">Retained earnings</t>
  </si>
  <si>
    <t xml:space="preserve">Total equity</t>
  </si>
  <si>
    <t xml:space="preserve">Total liabilities and equity</t>
  </si>
  <si>
    <t xml:space="preserve">Cash flow</t>
  </si>
  <si>
    <t xml:space="preserve">Total</t>
  </si>
  <si>
    <t xml:space="preserve">Operating activities</t>
  </si>
  <si>
    <t xml:space="preserve">Net income</t>
  </si>
  <si>
    <t xml:space="preserve">Inventories</t>
  </si>
  <si>
    <t xml:space="preserve">Amortization</t>
  </si>
  <si>
    <t xml:space="preserve">Other operating cash flow items</t>
  </si>
  <si>
    <t xml:space="preserve">Total operating activities</t>
  </si>
  <si>
    <t xml:space="preserve">Investing activities</t>
  </si>
  <si>
    <t xml:space="preserve">Capital expenditures</t>
  </si>
  <si>
    <t xml:space="preserve">Acquisition of business</t>
  </si>
  <si>
    <t xml:space="preserve">Sale of fixed assets</t>
  </si>
  <si>
    <t xml:space="preserve">Other investing cash flow items</t>
  </si>
  <si>
    <t xml:space="preserve">Total investing activities</t>
  </si>
  <si>
    <t xml:space="preserve">Financing activities</t>
  </si>
  <si>
    <t xml:space="preserve">Long-term debt/financing</t>
  </si>
  <si>
    <t xml:space="preserve">Preferred stock</t>
  </si>
  <si>
    <t xml:space="preserve">Total cash dividends paid</t>
  </si>
  <si>
    <t xml:space="preserve">Common stock</t>
  </si>
  <si>
    <t xml:space="preserve">Other financing cash flow items</t>
  </si>
  <si>
    <t xml:space="preserve">Total financing activities</t>
  </si>
  <si>
    <t xml:space="preserve">Cumulative cash flow</t>
  </si>
  <si>
    <t xml:space="preserve">Beginning cash balance</t>
  </si>
  <si>
    <t xml:space="preserve">Ending cash balance</t>
  </si>
  <si>
    <t xml:space="preserve">Loan payment calculator</t>
  </si>
  <si>
    <t xml:space="preserve">Annual interest rate</t>
  </si>
  <si>
    <t xml:space="preserve">Note: This calculator can generate principal and interest payments for a period of up to 30 years (360 months).</t>
  </si>
  <si>
    <t xml:space="preserve">Monthly rate</t>
  </si>
  <si>
    <t xml:space="preserve">Loan amount</t>
  </si>
  <si>
    <t xml:space="preserve">Term of loan (months)</t>
  </si>
  <si>
    <t xml:space="preserve">Payment</t>
  </si>
  <si>
    <t xml:space="preserve">Month</t>
  </si>
  <si>
    <t xml:space="preserve">Principal balance</t>
  </si>
  <si>
    <t xml:space="preserve">Principal payment</t>
  </si>
  <si>
    <t xml:space="preserve">Interest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</si>
</sst>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.00"/>
    <numFmt numFmtId="167" formatCode="\$#,##0"/>
    <numFmt numFmtId="168" formatCode="0.00%"/>
    <numFmt numFmtId="169" formatCode="\$#,##0_);[RED]&quot;($&quot;#,##0\)"/>
    <numFmt numFmtId="170" formatCode="0%"/>
    <numFmt numFmtId="171" formatCode="[$-409]#,##0_);[RED]\(#,##0\)"/>
    <numFmt numFmtId="172" formatCode="[$-409]m/d/yyyy"/>
    <numFmt numFmtId="173" formatCode="0_);[RED]\(0\)"/>
    <numFmt numFmtId="174" formatCode="\$#,##0.00_);[RED]&quot;($&quot;#,##0.00\)"/>
    <numFmt numFmtId="175" formatCode="General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i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bottom" textRotation="0" wrapText="false" indent="5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bottom" textRotation="0" wrapText="false" indent="15" shrinkToFit="false"/>
      <protection locked="true" hidden="false"/>
    </xf>
    <xf numFmtId="170" fontId="11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5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6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5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2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6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6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6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false">
      <alignment horizontal="right" vertical="bottom" textRotation="0" wrapText="false" indent="8" shrinkToFit="false"/>
      <protection locked="true" hidden="false"/>
    </xf>
    <xf numFmtId="169" fontId="6" fillId="3" borderId="13" xfId="0" applyFont="true" applyBorder="true" applyAlignment="true" applyProtection="false">
      <alignment horizontal="right" vertical="bottom" textRotation="0" wrapText="false" indent="5" shrinkToFit="false"/>
      <protection locked="true" hidden="false"/>
    </xf>
    <xf numFmtId="169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right" vertical="bottom" textRotation="0" wrapText="false" indent="3" shrinkToFit="false"/>
      <protection locked="true" hidden="false"/>
    </xf>
    <xf numFmtId="169" fontId="6" fillId="3" borderId="14" xfId="0" applyFont="true" applyBorder="true" applyAlignment="true" applyProtection="false">
      <alignment horizontal="right" vertical="bottom" textRotation="0" wrapText="false" indent="3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bottom" textRotation="0" wrapText="false" indent="8" shrinkToFit="false"/>
      <protection locked="true" hidden="false"/>
    </xf>
    <xf numFmtId="171" fontId="6" fillId="3" borderId="2" xfId="0" applyFont="true" applyBorder="true" applyAlignment="true" applyProtection="false">
      <alignment horizontal="right" vertical="bottom" textRotation="0" wrapText="false" indent="5" shrinkToFit="false"/>
      <protection locked="true" hidden="false"/>
    </xf>
    <xf numFmtId="171" fontId="6" fillId="3" borderId="2" xfId="0" applyFont="true" applyBorder="true" applyAlignment="true" applyProtection="false">
      <alignment horizontal="right" vertical="bottom" textRotation="0" wrapText="false" indent="8" shrinkToFit="false"/>
      <protection locked="true" hidden="false"/>
    </xf>
    <xf numFmtId="164" fontId="0" fillId="2" borderId="21" xfId="0" applyFont="false" applyBorder="true" applyAlignment="true" applyProtection="false">
      <alignment horizontal="right" vertical="bottom" textRotation="0" wrapText="false" indent="8" shrinkToFit="false"/>
      <protection locked="true" hidden="false"/>
    </xf>
    <xf numFmtId="171" fontId="6" fillId="3" borderId="22" xfId="0" applyFont="true" applyBorder="true" applyAlignment="true" applyProtection="false">
      <alignment horizontal="right" vertical="bottom" textRotation="0" wrapText="false" indent="5" shrinkToFit="false"/>
      <protection locked="true" hidden="false"/>
    </xf>
    <xf numFmtId="171" fontId="6" fillId="3" borderId="22" xfId="0" applyFont="true" applyBorder="true" applyAlignment="true" applyProtection="false">
      <alignment horizontal="right" vertical="bottom" textRotation="0" wrapText="false" indent="8" shrinkToFit="false"/>
      <protection locked="true" hidden="false"/>
    </xf>
    <xf numFmtId="169" fontId="6" fillId="3" borderId="8" xfId="0" applyFont="true" applyBorder="true" applyAlignment="true" applyProtection="false">
      <alignment horizontal="right" vertical="bottom" textRotation="0" wrapText="false" indent="3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CCFF"/>
    <pageSetUpPr fitToPage="true"/>
  </sheetPr>
  <dimension ref="B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1" width="46.09"/>
    <col collapsed="false" customWidth="true" hidden="false" outlineLevel="0" max="6" min="3" style="1" width="15.68"/>
    <col collapsed="false" customWidth="true" hidden="false" outlineLevel="0" max="7" min="7" style="1" width="16.83"/>
    <col collapsed="false" customWidth="true" hidden="false" outlineLevel="0" max="8" min="8" style="2" width="15.83"/>
    <col collapsed="false" customWidth="true" hidden="false" outlineLevel="0" max="9" min="9" style="2" width="19.97"/>
    <col collapsed="false" customWidth="true" hidden="false" outlineLevel="0" max="10" min="10" style="2" width="19.26"/>
    <col collapsed="false" customWidth="true" hidden="false" outlineLevel="0" max="11" min="11" style="2" width="16.54"/>
    <col collapsed="false" customWidth="true" hidden="false" outlineLevel="0" max="12" min="12" style="2" width="14.27"/>
    <col collapsed="false" customWidth="false" hidden="false" outlineLevel="0" max="13" min="13" style="2" width="9.13"/>
    <col collapsed="false" customWidth="true" hidden="false" outlineLevel="0" max="14" min="14" style="2" width="24.53"/>
    <col collapsed="false" customWidth="true" hidden="false" outlineLevel="0" max="15" min="15" style="1" width="2.41"/>
    <col collapsed="false" customWidth="false" hidden="false" outlineLevel="0" max="257" min="16" style="1" width="9.13"/>
  </cols>
  <sheetData>
    <row r="1" customFormat="false" ht="15.75" hidden="false" customHeight="true" outlineLevel="0" collapsed="false">
      <c r="B1" s="3" t="s">
        <v>0</v>
      </c>
    </row>
    <row r="2" customFormat="false" ht="15.75" hidden="false" customHeight="true" outlineLevel="0" collapsed="false">
      <c r="B2" s="3" t="s">
        <v>1</v>
      </c>
      <c r="C2" s="2"/>
      <c r="D2" s="2"/>
      <c r="E2" s="2"/>
      <c r="F2" s="2"/>
    </row>
    <row r="3" customFormat="false" ht="15.75" hidden="false" customHeight="true" outlineLevel="0" collapsed="false">
      <c r="B3" s="3" t="s">
        <v>2</v>
      </c>
      <c r="C3" s="2"/>
      <c r="D3" s="2"/>
      <c r="E3" s="2"/>
      <c r="F3" s="2"/>
    </row>
    <row r="4" customFormat="false" ht="13.5" hidden="false" customHeight="true" outlineLevel="0" collapsed="false">
      <c r="B4" s="4"/>
    </row>
    <row r="5" customFormat="false" ht="12.75" hidden="false" customHeight="true" outlineLevel="0" collapsed="false">
      <c r="B5" s="5" t="s">
        <v>3</v>
      </c>
      <c r="C5" s="6"/>
      <c r="D5" s="7"/>
      <c r="E5" s="8"/>
      <c r="F5" s="2"/>
      <c r="G5" s="2"/>
    </row>
    <row r="6" customFormat="false" ht="12.75" hidden="false" customHeight="true" outlineLevel="0" collapsed="false">
      <c r="B6" s="9" t="s">
        <v>4</v>
      </c>
      <c r="C6" s="10"/>
      <c r="D6" s="11"/>
      <c r="E6" s="8"/>
      <c r="F6" s="2"/>
      <c r="G6" s="2"/>
    </row>
    <row r="7" customFormat="false" ht="13.5" hidden="false" customHeight="true" outlineLevel="0" collapsed="false">
      <c r="B7" s="12" t="s">
        <v>5</v>
      </c>
      <c r="C7" s="13"/>
      <c r="D7" s="14"/>
      <c r="E7" s="8"/>
      <c r="F7" s="2"/>
      <c r="G7" s="2"/>
    </row>
    <row r="8" customFormat="false" ht="13.5" hidden="false" customHeight="true" outlineLevel="0" collapsed="false">
      <c r="E8" s="15"/>
      <c r="F8" s="2"/>
      <c r="G8" s="2"/>
    </row>
    <row r="9" customFormat="false" ht="15" hidden="false" customHeight="true" outlineLevel="0" collapsed="false">
      <c r="B9" s="16" t="s">
        <v>6</v>
      </c>
      <c r="C9" s="17"/>
      <c r="D9" s="17"/>
      <c r="E9" s="18"/>
    </row>
    <row r="10" customFormat="false" ht="12.75" hidden="false" customHeight="true" outlineLevel="0" collapsed="false">
      <c r="B10" s="19" t="s">
        <v>7</v>
      </c>
      <c r="C10" s="19"/>
      <c r="D10" s="19"/>
      <c r="E10" s="19"/>
    </row>
    <row r="11" customFormat="false" ht="12.75" hidden="false" customHeight="true" outlineLevel="0" collapsed="false">
      <c r="B11" s="19"/>
      <c r="C11" s="19"/>
      <c r="D11" s="19"/>
      <c r="E11" s="19"/>
    </row>
    <row r="12" customFormat="false" ht="12.75" hidden="false" customHeight="true" outlineLevel="0" collapsed="false">
      <c r="B12" s="19"/>
      <c r="C12" s="19"/>
      <c r="D12" s="19"/>
      <c r="E12" s="19"/>
    </row>
    <row r="13" customFormat="false" ht="12.75" hidden="false" customHeight="true" outlineLevel="0" collapsed="false">
      <c r="B13" s="19"/>
      <c r="C13" s="19"/>
      <c r="D13" s="19"/>
      <c r="E13" s="19"/>
    </row>
    <row r="14" customFormat="false" ht="12.75" hidden="false" customHeight="true" outlineLevel="0" collapsed="false">
      <c r="B14" s="19"/>
      <c r="C14" s="19"/>
      <c r="D14" s="19"/>
      <c r="E14" s="19"/>
    </row>
    <row r="15" customFormat="false" ht="12.75" hidden="false" customHeight="true" outlineLevel="0" collapsed="false">
      <c r="B15" s="19"/>
      <c r="C15" s="19"/>
      <c r="D15" s="19"/>
      <c r="E15" s="19"/>
    </row>
    <row r="16" customFormat="false" ht="13.5" hidden="false" customHeight="true" outlineLevel="0" collapsed="false">
      <c r="B16" s="19"/>
      <c r="C16" s="19"/>
      <c r="D16" s="19"/>
      <c r="E16" s="19"/>
    </row>
    <row r="17" customFormat="false" ht="13.5" hidden="false" customHeight="true" outlineLevel="0" collapsed="false">
      <c r="B17" s="20"/>
    </row>
    <row r="18" customFormat="false" ht="13.5" hidden="false" customHeight="true" outlineLevel="0" collapsed="false">
      <c r="B18" s="2"/>
    </row>
    <row r="19" customFormat="false" ht="15" hidden="false" customHeight="true" outlineLevel="0" collapsed="false">
      <c r="B19" s="16" t="s">
        <v>8</v>
      </c>
      <c r="C19" s="17"/>
      <c r="D19" s="17"/>
      <c r="E19" s="17"/>
      <c r="F19" s="18"/>
    </row>
    <row r="20" customFormat="false" ht="12.75" hidden="false" customHeight="true" outlineLevel="0" collapsed="false">
      <c r="B20" s="21" t="s">
        <v>9</v>
      </c>
      <c r="F20" s="22"/>
    </row>
    <row r="21" customFormat="false" ht="12.75" hidden="false" customHeight="true" outlineLevel="0" collapsed="false">
      <c r="B21" s="21"/>
      <c r="F21" s="22"/>
    </row>
    <row r="22" customFormat="false" ht="12.75" hidden="false" customHeight="true" outlineLevel="0" collapsed="false">
      <c r="B22" s="23" t="s">
        <v>10</v>
      </c>
      <c r="F22" s="22"/>
    </row>
    <row r="23" customFormat="false" ht="12.75" hidden="false" customHeight="true" outlineLevel="0" collapsed="false">
      <c r="B23" s="24"/>
      <c r="C23" s="25" t="s">
        <v>11</v>
      </c>
      <c r="D23" s="25" t="s">
        <v>12</v>
      </c>
      <c r="E23" s="25" t="s">
        <v>13</v>
      </c>
      <c r="F23" s="26" t="s">
        <v>14</v>
      </c>
    </row>
    <row r="24" customFormat="false" ht="12.75" hidden="false" customHeight="true" outlineLevel="0" collapsed="false">
      <c r="B24" s="27" t="s">
        <v>15</v>
      </c>
      <c r="C24" s="28" t="n">
        <v>2800</v>
      </c>
      <c r="D24" s="28" t="n">
        <v>1200</v>
      </c>
      <c r="E24" s="28" t="n">
        <v>1600</v>
      </c>
      <c r="F24" s="29" t="n">
        <v>0</v>
      </c>
    </row>
    <row r="25" customFormat="false" ht="12.75" hidden="false" customHeight="true" outlineLevel="0" collapsed="false">
      <c r="B25" s="27" t="s">
        <v>16</v>
      </c>
      <c r="C25" s="30" t="n">
        <v>120</v>
      </c>
      <c r="D25" s="30" t="n">
        <v>80</v>
      </c>
      <c r="E25" s="30" t="n">
        <v>40</v>
      </c>
      <c r="F25" s="31" t="n">
        <v>0</v>
      </c>
    </row>
    <row r="26" customFormat="false" ht="12.75" hidden="false" customHeight="true" outlineLevel="0" collapsed="false">
      <c r="B26" s="27" t="s">
        <v>17</v>
      </c>
      <c r="C26" s="32" t="n">
        <f aca="false">C24*C25</f>
        <v>336000</v>
      </c>
      <c r="D26" s="32" t="n">
        <f aca="false">D24*D25</f>
        <v>96000</v>
      </c>
      <c r="E26" s="32" t="n">
        <f aca="false">E24*E25</f>
        <v>64000</v>
      </c>
      <c r="F26" s="33" t="n">
        <f aca="false">F24*F25</f>
        <v>0</v>
      </c>
    </row>
    <row r="27" customFormat="false" ht="12.75" hidden="false" customHeight="true" outlineLevel="0" collapsed="false">
      <c r="B27" s="34"/>
      <c r="C27" s="35"/>
      <c r="D27" s="36"/>
      <c r="E27" s="36"/>
      <c r="F27" s="37"/>
    </row>
    <row r="28" customFormat="false" ht="12.75" hidden="false" customHeight="true" outlineLevel="0" collapsed="false">
      <c r="B28" s="27" t="s">
        <v>18</v>
      </c>
      <c r="C28" s="32" t="n">
        <f aca="false">SUM(C26:F26)</f>
        <v>496000</v>
      </c>
      <c r="D28" s="36"/>
      <c r="E28" s="36"/>
      <c r="F28" s="37"/>
    </row>
    <row r="29" customFormat="false" ht="12.75" hidden="false" customHeight="true" outlineLevel="0" collapsed="false">
      <c r="B29" s="24"/>
      <c r="C29" s="38"/>
      <c r="F29" s="22"/>
    </row>
    <row r="30" customFormat="false" ht="12.75" hidden="false" customHeight="true" outlineLevel="0" collapsed="false">
      <c r="B30" s="39" t="s">
        <v>19</v>
      </c>
      <c r="F30" s="22"/>
    </row>
    <row r="31" customFormat="false" ht="12.75" hidden="false" customHeight="true" outlineLevel="0" collapsed="false">
      <c r="B31" s="40"/>
      <c r="C31" s="41"/>
      <c r="D31" s="41"/>
      <c r="E31" s="41"/>
      <c r="F31" s="42"/>
    </row>
    <row r="32" customFormat="false" ht="12.75" hidden="false" customHeight="true" outlineLevel="0" collapsed="false">
      <c r="B32" s="27" t="s">
        <v>20</v>
      </c>
      <c r="C32" s="43" t="n">
        <v>0.5</v>
      </c>
      <c r="D32" s="43" t="n">
        <v>0.4</v>
      </c>
      <c r="E32" s="43" t="n">
        <v>0.25</v>
      </c>
      <c r="F32" s="44" t="n">
        <v>0</v>
      </c>
    </row>
    <row r="33" customFormat="false" ht="12.75" hidden="false" customHeight="true" outlineLevel="0" collapsed="false">
      <c r="B33" s="27" t="s">
        <v>21</v>
      </c>
      <c r="C33" s="32" t="n">
        <f aca="false">C26*(1-C32)</f>
        <v>168000</v>
      </c>
      <c r="D33" s="32" t="n">
        <f aca="false">D26*(1-D32)</f>
        <v>57600</v>
      </c>
      <c r="E33" s="32" t="n">
        <f aca="false">E26*(1-E32)</f>
        <v>48000</v>
      </c>
      <c r="F33" s="33" t="n">
        <f aca="false">F26*(1-F32)</f>
        <v>0</v>
      </c>
    </row>
    <row r="34" customFormat="false" ht="12.75" hidden="false" customHeight="true" outlineLevel="0" collapsed="false">
      <c r="B34" s="34"/>
      <c r="C34" s="45"/>
      <c r="D34" s="45"/>
      <c r="E34" s="45"/>
      <c r="F34" s="46"/>
    </row>
    <row r="35" customFormat="false" ht="12.75" hidden="false" customHeight="true" outlineLevel="0" collapsed="false">
      <c r="B35" s="27" t="s">
        <v>22</v>
      </c>
      <c r="C35" s="47" t="n">
        <f aca="false">SUM(C33:F33)</f>
        <v>273600</v>
      </c>
      <c r="F35" s="22"/>
    </row>
    <row r="36" customFormat="false" ht="12.75" hidden="false" customHeight="true" outlineLevel="0" collapsed="false">
      <c r="B36" s="40"/>
      <c r="C36" s="48"/>
      <c r="F36" s="22"/>
    </row>
    <row r="37" customFormat="false" ht="12.75" hidden="false" customHeight="true" outlineLevel="0" collapsed="false">
      <c r="B37" s="39" t="s">
        <v>23</v>
      </c>
      <c r="C37" s="48"/>
      <c r="F37" s="22"/>
    </row>
    <row r="38" customFormat="false" ht="12.75" hidden="false" customHeight="true" outlineLevel="0" collapsed="false">
      <c r="B38" s="49" t="s">
        <v>24</v>
      </c>
      <c r="C38" s="50" t="n">
        <v>0.15</v>
      </c>
      <c r="F38" s="22"/>
    </row>
    <row r="39" customFormat="false" ht="12.75" hidden="false" customHeight="true" outlineLevel="0" collapsed="false">
      <c r="B39" s="40"/>
      <c r="C39" s="51"/>
      <c r="F39" s="22"/>
    </row>
    <row r="40" customFormat="false" ht="12.75" hidden="false" customHeight="true" outlineLevel="0" collapsed="false">
      <c r="B40" s="39" t="s">
        <v>25</v>
      </c>
      <c r="C40" s="52" t="n">
        <v>5</v>
      </c>
      <c r="F40" s="22"/>
    </row>
    <row r="41" customFormat="false" ht="12.75" hidden="false" customHeight="true" outlineLevel="0" collapsed="false">
      <c r="B41" s="40"/>
      <c r="C41" s="53"/>
      <c r="F41" s="22"/>
    </row>
    <row r="42" customFormat="false" ht="12.75" hidden="false" customHeight="true" outlineLevel="0" collapsed="false">
      <c r="B42" s="39" t="s">
        <v>26</v>
      </c>
      <c r="C42" s="50" t="n">
        <v>0.3</v>
      </c>
      <c r="F42" s="22"/>
    </row>
    <row r="43" customFormat="false" ht="12.75" hidden="false" customHeight="true" outlineLevel="0" collapsed="false">
      <c r="B43" s="40"/>
      <c r="C43" s="54"/>
      <c r="F43" s="22"/>
    </row>
    <row r="44" customFormat="false" ht="25.5" hidden="false" customHeight="true" outlineLevel="0" collapsed="false">
      <c r="B44" s="55" t="s">
        <v>27</v>
      </c>
      <c r="C44" s="56" t="n">
        <v>80000</v>
      </c>
      <c r="F44" s="22"/>
    </row>
    <row r="45" customFormat="false" ht="12.75" hidden="false" customHeight="true" outlineLevel="0" collapsed="false">
      <c r="B45" s="39"/>
      <c r="F45" s="22"/>
    </row>
    <row r="46" customFormat="false" ht="13.5" hidden="false" customHeight="true" outlineLevel="0" collapsed="false">
      <c r="B46" s="57"/>
      <c r="C46" s="58"/>
      <c r="D46" s="58"/>
      <c r="E46" s="58"/>
      <c r="F46" s="59"/>
    </row>
  </sheetData>
  <mergeCells count="1">
    <mergeCell ref="B10:E16"/>
  </mergeCells>
  <printOptions headings="false" gridLines="false" gridLinesSet="true" horizontalCentered="true" verticalCentered="false"/>
  <pageMargins left="0.747916666666667" right="0.747916666666667" top="0.470138888888889" bottom="0.5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6E6E6"/>
    <pageSetUpPr fitToPage="tru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1" width="5.55"/>
    <col collapsed="false" customWidth="true" hidden="false" outlineLevel="0" max="3" min="3" style="36" width="34.24"/>
    <col collapsed="false" customWidth="true" hidden="false" outlineLevel="0" max="4" min="4" style="2" width="8.69"/>
    <col collapsed="false" customWidth="true" hidden="false" outlineLevel="0" max="9" min="5" style="2" width="13.69"/>
    <col collapsed="false" customWidth="false" hidden="false" outlineLevel="0" max="257" min="10" style="1" width="9.13"/>
  </cols>
  <sheetData>
    <row r="1" customFormat="false" ht="15.75" hidden="false" customHeight="true" outlineLevel="0" collapsed="false">
      <c r="B1" s="3" t="str">
        <f aca="false">+'Model Inputs'!B1</f>
        <v>[Company Name]</v>
      </c>
    </row>
    <row r="2" customFormat="false" ht="15.75" hidden="false" customHeight="true" outlineLevel="0" collapsed="false">
      <c r="B2" s="3"/>
    </row>
    <row r="3" customFormat="false" ht="15.75" hidden="false" customHeight="true" outlineLevel="0" collapsed="false">
      <c r="B3" s="3" t="s">
        <v>28</v>
      </c>
    </row>
    <row r="4" customFormat="false" ht="12.75" hidden="false" customHeight="true" outlineLevel="0" collapsed="false">
      <c r="A4" s="3"/>
    </row>
    <row r="5" customFormat="false" ht="12.75" hidden="false" customHeight="true" outlineLevel="0" collapsed="false">
      <c r="A5" s="3"/>
    </row>
    <row r="6" customFormat="false" ht="13.5" hidden="false" customHeight="true" outlineLevel="0" collapsed="false">
      <c r="A6" s="3"/>
      <c r="B6" s="60" t="s">
        <v>29</v>
      </c>
      <c r="C6" s="17"/>
      <c r="D6" s="61"/>
      <c r="E6" s="61"/>
      <c r="F6" s="61"/>
      <c r="G6" s="61"/>
      <c r="H6" s="61"/>
      <c r="I6" s="62"/>
    </row>
    <row r="7" customFormat="false" ht="12.75" hidden="false" customHeight="true" outlineLevel="0" collapsed="false">
      <c r="B7" s="63"/>
      <c r="C7" s="64"/>
      <c r="E7" s="25" t="s">
        <v>30</v>
      </c>
      <c r="F7" s="25" t="s">
        <v>31</v>
      </c>
      <c r="G7" s="25" t="s">
        <v>32</v>
      </c>
      <c r="H7" s="25" t="s">
        <v>33</v>
      </c>
      <c r="I7" s="26" t="s">
        <v>34</v>
      </c>
    </row>
    <row r="8" customFormat="false" ht="12.75" hidden="false" customHeight="true" outlineLevel="0" collapsed="false">
      <c r="B8" s="63"/>
      <c r="C8" s="36" t="s">
        <v>35</v>
      </c>
      <c r="E8" s="65" t="s">
        <v>36</v>
      </c>
      <c r="F8" s="65" t="n">
        <v>0.02</v>
      </c>
      <c r="G8" s="65" t="n">
        <v>0.04</v>
      </c>
      <c r="H8" s="65" t="n">
        <v>0.06</v>
      </c>
      <c r="I8" s="66" t="n">
        <v>0.08</v>
      </c>
    </row>
    <row r="9" customFormat="false" ht="12.75" hidden="false" customHeight="true" outlineLevel="0" collapsed="false">
      <c r="B9" s="63"/>
      <c r="C9" s="36" t="s">
        <v>37</v>
      </c>
      <c r="E9" s="65" t="s">
        <v>36</v>
      </c>
      <c r="F9" s="65" t="n">
        <v>0.02</v>
      </c>
      <c r="G9" s="65" t="n">
        <v>0.04</v>
      </c>
      <c r="H9" s="65" t="n">
        <v>0.06</v>
      </c>
      <c r="I9" s="66" t="n">
        <v>0.08</v>
      </c>
    </row>
    <row r="10" customFormat="false" ht="13.5" hidden="false" customHeight="true" outlineLevel="0" collapsed="false">
      <c r="B10" s="57"/>
      <c r="C10" s="67" t="s">
        <v>38</v>
      </c>
      <c r="D10" s="68"/>
      <c r="E10" s="69" t="n">
        <v>0.005</v>
      </c>
      <c r="F10" s="69" t="n">
        <v>0.005</v>
      </c>
      <c r="G10" s="69" t="n">
        <v>0.005</v>
      </c>
      <c r="H10" s="69" t="n">
        <v>0.005</v>
      </c>
      <c r="I10" s="70" t="n">
        <v>0.005</v>
      </c>
    </row>
    <row r="11" customFormat="false" ht="12.75" hidden="false" customHeight="true" outlineLevel="0" collapsed="false">
      <c r="E11" s="51"/>
      <c r="F11" s="51"/>
      <c r="G11" s="51"/>
      <c r="H11" s="51"/>
      <c r="I11" s="51"/>
    </row>
    <row r="12" customFormat="false" ht="13.5" hidden="false" customHeight="true" outlineLevel="0" collapsed="false"/>
    <row r="13" customFormat="false" ht="12.75" hidden="false" customHeight="true" outlineLevel="0" collapsed="false">
      <c r="B13" s="71"/>
      <c r="C13" s="72"/>
      <c r="D13" s="73"/>
      <c r="E13" s="74" t="str">
        <f aca="false">+E7</f>
        <v>Year 1</v>
      </c>
      <c r="F13" s="74" t="str">
        <f aca="false">+F7</f>
        <v>Year 2</v>
      </c>
      <c r="G13" s="74" t="str">
        <f aca="false">+G7</f>
        <v>Year 3</v>
      </c>
      <c r="H13" s="74" t="str">
        <f aca="false">+H7</f>
        <v>Year 4</v>
      </c>
      <c r="I13" s="75" t="str">
        <f aca="false">+I7</f>
        <v>Year 5</v>
      </c>
    </row>
    <row r="14" customFormat="false" ht="12.75" hidden="false" customHeight="true" outlineLevel="0" collapsed="false">
      <c r="B14" s="39" t="s">
        <v>39</v>
      </c>
      <c r="E14" s="76"/>
      <c r="F14" s="76"/>
      <c r="G14" s="76"/>
      <c r="H14" s="76"/>
      <c r="I14" s="77"/>
    </row>
    <row r="15" customFormat="false" ht="12.75" hidden="false" customHeight="true" outlineLevel="0" collapsed="false">
      <c r="B15" s="63"/>
      <c r="C15" s="36" t="s">
        <v>40</v>
      </c>
      <c r="D15" s="54"/>
      <c r="E15" s="78" t="n">
        <f aca="false">'Model Inputs'!C28</f>
        <v>496000</v>
      </c>
      <c r="F15" s="78" t="n">
        <f aca="false">+E15*(1+F8)</f>
        <v>505920</v>
      </c>
      <c r="G15" s="78" t="n">
        <f aca="false">+F15*(1+G8)</f>
        <v>526156.8</v>
      </c>
      <c r="H15" s="78" t="n">
        <f aca="false">+G15*(1+H8)</f>
        <v>557726.208</v>
      </c>
      <c r="I15" s="79" t="n">
        <f aca="false">+H15*(1+I8)</f>
        <v>602344.30464</v>
      </c>
    </row>
    <row r="16" customFormat="false" ht="12.75" hidden="false" customHeight="true" outlineLevel="0" collapsed="false">
      <c r="B16" s="63"/>
      <c r="C16" s="80" t="s">
        <v>41</v>
      </c>
      <c r="D16" s="81"/>
      <c r="E16" s="82" t="n">
        <f aca="false">+'Model Inputs'!C35</f>
        <v>273600</v>
      </c>
      <c r="F16" s="82" t="n">
        <f aca="false">+E16*(1+F9)</f>
        <v>279072</v>
      </c>
      <c r="G16" s="82" t="n">
        <f aca="false">+F16*(1+G9)</f>
        <v>290234.88</v>
      </c>
      <c r="H16" s="82" t="n">
        <f aca="false">+G16*(1+H9)</f>
        <v>307648.9728</v>
      </c>
      <c r="I16" s="83" t="n">
        <f aca="false">+H16*(1+I9)</f>
        <v>332260.890624</v>
      </c>
    </row>
    <row r="17" customFormat="false" ht="12.75" hidden="false" customHeight="true" outlineLevel="0" collapsed="false">
      <c r="B17" s="63"/>
      <c r="C17" s="84" t="s">
        <v>42</v>
      </c>
      <c r="D17" s="85"/>
      <c r="E17" s="78" t="n">
        <f aca="false">E15-E16</f>
        <v>222400</v>
      </c>
      <c r="F17" s="78" t="n">
        <f aca="false">F15-F16</f>
        <v>226848</v>
      </c>
      <c r="G17" s="78" t="n">
        <f aca="false">G15-G16</f>
        <v>235921.92</v>
      </c>
      <c r="H17" s="78" t="n">
        <f aca="false">H15-H16</f>
        <v>250077.2352</v>
      </c>
      <c r="I17" s="79" t="n">
        <f aca="false">I15-I16</f>
        <v>270083.414016</v>
      </c>
    </row>
    <row r="18" customFormat="false" ht="12.75" hidden="false" customHeight="true" outlineLevel="0" collapsed="false">
      <c r="B18" s="63"/>
      <c r="D18" s="85"/>
      <c r="E18" s="86"/>
      <c r="F18" s="86"/>
      <c r="G18" s="86"/>
      <c r="H18" s="86"/>
      <c r="I18" s="87"/>
    </row>
    <row r="19" customFormat="false" ht="12.75" hidden="false" customHeight="true" outlineLevel="0" collapsed="false">
      <c r="B19" s="63"/>
      <c r="C19" s="36" t="s">
        <v>43</v>
      </c>
      <c r="D19" s="85"/>
      <c r="E19" s="88" t="n">
        <v>0</v>
      </c>
      <c r="F19" s="88" t="n">
        <v>0</v>
      </c>
      <c r="G19" s="88" t="n">
        <v>10000</v>
      </c>
      <c r="H19" s="88" t="n">
        <v>0</v>
      </c>
      <c r="I19" s="89" t="n">
        <v>0</v>
      </c>
    </row>
    <row r="20" customFormat="false" ht="12.75" hidden="false" customHeight="true" outlineLevel="0" collapsed="false">
      <c r="B20" s="63"/>
      <c r="C20" s="36" t="s">
        <v>44</v>
      </c>
      <c r="D20" s="85"/>
      <c r="E20" s="90" t="n">
        <v>1000</v>
      </c>
      <c r="F20" s="90" t="n">
        <v>0</v>
      </c>
      <c r="G20" s="90" t="n">
        <v>0</v>
      </c>
      <c r="H20" s="90" t="n">
        <v>0</v>
      </c>
      <c r="I20" s="91" t="n">
        <v>0</v>
      </c>
    </row>
    <row r="21" customFormat="false" ht="12.75" hidden="false" customHeight="true" outlineLevel="0" collapsed="false">
      <c r="B21" s="63"/>
      <c r="C21" s="92" t="s">
        <v>45</v>
      </c>
      <c r="D21" s="93"/>
      <c r="E21" s="78" t="n">
        <f aca="false">+E17+E19+E20</f>
        <v>223400</v>
      </c>
      <c r="F21" s="78" t="n">
        <f aca="false">+F17+F19+F20</f>
        <v>226848</v>
      </c>
      <c r="G21" s="78" t="n">
        <f aca="false">+G17+G19+G20</f>
        <v>245921.92</v>
      </c>
      <c r="H21" s="78" t="n">
        <f aca="false">+H17+H19+H20</f>
        <v>250077.2352</v>
      </c>
      <c r="I21" s="79" t="n">
        <f aca="false">+I17+I19+I20</f>
        <v>270083.414016</v>
      </c>
    </row>
    <row r="22" customFormat="false" ht="12.75" hidden="false" customHeight="true" outlineLevel="0" collapsed="false">
      <c r="B22" s="63"/>
      <c r="E22" s="76"/>
      <c r="F22" s="76"/>
      <c r="G22" s="76"/>
      <c r="H22" s="76"/>
      <c r="I22" s="77"/>
    </row>
    <row r="23" customFormat="false" ht="12.75" hidden="false" customHeight="true" outlineLevel="0" collapsed="false">
      <c r="B23" s="39" t="s">
        <v>46</v>
      </c>
      <c r="E23" s="76"/>
      <c r="F23" s="76"/>
      <c r="G23" s="76"/>
      <c r="H23" s="76"/>
      <c r="I23" s="77"/>
    </row>
    <row r="24" customFormat="false" ht="12.75" hidden="false" customHeight="true" outlineLevel="0" collapsed="false">
      <c r="B24" s="63"/>
      <c r="C24" s="36" t="s">
        <v>47</v>
      </c>
      <c r="E24" s="94" t="n">
        <v>40000</v>
      </c>
      <c r="F24" s="78" t="n">
        <f aca="false">+E24*(1+F$9)</f>
        <v>40800</v>
      </c>
      <c r="G24" s="78" t="n">
        <f aca="false">+F24*(1+G$9)</f>
        <v>42432</v>
      </c>
      <c r="H24" s="78" t="n">
        <f aca="false">+G24*(1+H$9)</f>
        <v>44977.92</v>
      </c>
      <c r="I24" s="79" t="n">
        <f aca="false">+H24*(1+I$9)</f>
        <v>48576.1536</v>
      </c>
    </row>
    <row r="25" customFormat="false" ht="12.75" hidden="false" customHeight="true" outlineLevel="0" collapsed="false">
      <c r="B25" s="63"/>
      <c r="C25" s="36" t="s">
        <v>48</v>
      </c>
      <c r="E25" s="95" t="n">
        <v>60000</v>
      </c>
      <c r="F25" s="78" t="n">
        <f aca="false">+E25*(1+F$9)</f>
        <v>61200</v>
      </c>
      <c r="G25" s="78" t="n">
        <f aca="false">+F25*(1+G$9)</f>
        <v>63648</v>
      </c>
      <c r="H25" s="78" t="n">
        <f aca="false">+G25*(1+H$9)</f>
        <v>67466.88</v>
      </c>
      <c r="I25" s="79" t="n">
        <f aca="false">+H25*(1+I$9)</f>
        <v>72864.2304</v>
      </c>
    </row>
    <row r="26" customFormat="false" ht="12.75" hidden="false" customHeight="true" outlineLevel="0" collapsed="false">
      <c r="B26" s="63"/>
      <c r="C26" s="36" t="s">
        <v>49</v>
      </c>
      <c r="E26" s="96" t="n">
        <f aca="false">('Balance Sheet'!D15+'Balance Sheet'!D17+'Balance Sheet'!D18)/'Model Inputs'!$C$40</f>
        <v>40000</v>
      </c>
      <c r="F26" s="96" t="n">
        <f aca="false">('Balance Sheet'!E15+'Balance Sheet'!E17+'Balance Sheet'!E18)/'Model Inputs'!$C$40*(1+F$9)</f>
        <v>40800</v>
      </c>
      <c r="G26" s="96" t="n">
        <f aca="false">('Balance Sheet'!F15+'Balance Sheet'!F17+'Balance Sheet'!F18)/'Model Inputs'!$C$40*(1+G$9)</f>
        <v>41600</v>
      </c>
      <c r="H26" s="96" t="n">
        <f aca="false">('Balance Sheet'!G15+'Balance Sheet'!G17+'Balance Sheet'!G18)/'Model Inputs'!$C$40*(1+H$9)</f>
        <v>21200</v>
      </c>
      <c r="I26" s="97" t="n">
        <f aca="false">('Balance Sheet'!H15+'Balance Sheet'!H17+'Balance Sheet'!H18)/'Model Inputs'!$C$40*(1+I$9)</f>
        <v>21600</v>
      </c>
    </row>
    <row r="27" customFormat="false" ht="12.75" hidden="false" customHeight="true" outlineLevel="0" collapsed="false">
      <c r="B27" s="63"/>
      <c r="C27" s="36" t="s">
        <v>50</v>
      </c>
      <c r="E27" s="95" t="n">
        <v>40000</v>
      </c>
      <c r="F27" s="78" t="n">
        <f aca="false">+E27*(1+F$9)</f>
        <v>40800</v>
      </c>
      <c r="G27" s="78" t="n">
        <f aca="false">+F27*(1+G$9)</f>
        <v>42432</v>
      </c>
      <c r="H27" s="78" t="n">
        <f aca="false">+G27*(1+H$9)</f>
        <v>44977.92</v>
      </c>
      <c r="I27" s="79" t="n">
        <f aca="false">+H27*(1+I$9)</f>
        <v>48576.1536</v>
      </c>
    </row>
    <row r="28" customFormat="false" ht="12.75" hidden="false" customHeight="true" outlineLevel="0" collapsed="false">
      <c r="B28" s="63"/>
      <c r="C28" s="36" t="s">
        <v>51</v>
      </c>
      <c r="E28" s="96" t="n">
        <f aca="false">('Balance Sheet'!D18*'Model Inputs'!$C$38)</f>
        <v>15000</v>
      </c>
      <c r="F28" s="96" t="n">
        <f aca="false">('Balance Sheet'!E18*'Model Inputs'!$C$38)*(1+F$9)</f>
        <v>15300</v>
      </c>
      <c r="G28" s="96" t="n">
        <f aca="false">('Balance Sheet'!F18*'Model Inputs'!$C$38)*(1+G$9)</f>
        <v>15600</v>
      </c>
      <c r="H28" s="96" t="n">
        <f aca="false">('Balance Sheet'!G18*'Model Inputs'!$C$38)*(1+H$9)</f>
        <v>0</v>
      </c>
      <c r="I28" s="97" t="n">
        <f aca="false">('Balance Sheet'!H18*'Model Inputs'!$C$38)*(1+I$9)</f>
        <v>0</v>
      </c>
    </row>
    <row r="29" customFormat="false" ht="12.75" hidden="false" customHeight="true" outlineLevel="0" collapsed="false">
      <c r="B29" s="63"/>
      <c r="C29" s="36" t="s">
        <v>52</v>
      </c>
      <c r="E29" s="95" t="n">
        <v>30000</v>
      </c>
      <c r="F29" s="78" t="n">
        <f aca="false">+E29*(1+F$9)</f>
        <v>30600</v>
      </c>
      <c r="G29" s="78" t="n">
        <f aca="false">+F29*(1+G$9)</f>
        <v>31824</v>
      </c>
      <c r="H29" s="78" t="n">
        <f aca="false">+G29*(1+H$9)</f>
        <v>33733.44</v>
      </c>
      <c r="I29" s="79" t="n">
        <f aca="false">+H29*(1+I$9)</f>
        <v>36432.1152</v>
      </c>
    </row>
    <row r="30" customFormat="false" ht="12.75" hidden="false" customHeight="true" outlineLevel="0" collapsed="false">
      <c r="B30" s="63"/>
      <c r="C30" s="36" t="s">
        <v>53</v>
      </c>
      <c r="E30" s="95" t="n">
        <v>15000</v>
      </c>
      <c r="F30" s="78" t="n">
        <f aca="false">+E30*(1+F$9)</f>
        <v>15300</v>
      </c>
      <c r="G30" s="78" t="n">
        <f aca="false">+F30*(1+G$9)</f>
        <v>15912</v>
      </c>
      <c r="H30" s="78" t="n">
        <f aca="false">+G30*(1+H$9)</f>
        <v>16866.72</v>
      </c>
      <c r="I30" s="79" t="n">
        <f aca="false">+H30*(1+I$9)</f>
        <v>18216.0576</v>
      </c>
    </row>
    <row r="31" customFormat="false" ht="12.75" hidden="false" customHeight="true" outlineLevel="0" collapsed="false">
      <c r="B31" s="63"/>
      <c r="C31" s="36" t="s">
        <v>54</v>
      </c>
      <c r="E31" s="95" t="n">
        <v>18000</v>
      </c>
      <c r="F31" s="78" t="n">
        <f aca="false">+E31*(1+F$9)</f>
        <v>18360</v>
      </c>
      <c r="G31" s="78" t="n">
        <f aca="false">+F31*(1+G$9)</f>
        <v>19094.4</v>
      </c>
      <c r="H31" s="78" t="n">
        <f aca="false">+G31*(1+H$9)</f>
        <v>20240.064</v>
      </c>
      <c r="I31" s="79" t="n">
        <f aca="false">+H31*(1+I$9)</f>
        <v>21859.26912</v>
      </c>
    </row>
    <row r="32" customFormat="false" ht="12.75" hidden="false" customHeight="true" outlineLevel="0" collapsed="false">
      <c r="B32" s="63"/>
      <c r="C32" s="36" t="s">
        <v>55</v>
      </c>
      <c r="E32" s="95" t="n">
        <v>4000</v>
      </c>
      <c r="F32" s="78" t="n">
        <f aca="false">+E32*(1+F$9)</f>
        <v>4080</v>
      </c>
      <c r="G32" s="78" t="n">
        <f aca="false">+F32*(1+G$9)</f>
        <v>4243.2</v>
      </c>
      <c r="H32" s="78" t="n">
        <f aca="false">+G32*(1+H$9)</f>
        <v>4497.792</v>
      </c>
      <c r="I32" s="79" t="n">
        <f aca="false">+H32*(1+I$9)</f>
        <v>4857.61536</v>
      </c>
    </row>
    <row r="33" customFormat="false" ht="12.75" hidden="false" customHeight="true" outlineLevel="0" collapsed="false">
      <c r="B33" s="63"/>
      <c r="C33" s="92" t="s">
        <v>56</v>
      </c>
      <c r="D33" s="93"/>
      <c r="E33" s="98" t="n">
        <f aca="false">SUM(E24:E32)</f>
        <v>262000</v>
      </c>
      <c r="F33" s="98" t="n">
        <f aca="false">SUM(F24:F32)</f>
        <v>267240</v>
      </c>
      <c r="G33" s="98" t="n">
        <f aca="false">SUM(G24:G32)</f>
        <v>276785.6</v>
      </c>
      <c r="H33" s="98" t="n">
        <f aca="false">SUM(H24:H32)</f>
        <v>253960.736</v>
      </c>
      <c r="I33" s="99" t="n">
        <f aca="false">SUM(I24:I32)</f>
        <v>272981.59488</v>
      </c>
    </row>
    <row r="34" customFormat="false" ht="12.75" hidden="false" customHeight="true" outlineLevel="0" collapsed="false">
      <c r="B34" s="63"/>
      <c r="E34" s="76"/>
      <c r="F34" s="76"/>
      <c r="G34" s="76"/>
      <c r="H34" s="76"/>
      <c r="I34" s="77"/>
    </row>
    <row r="35" customFormat="false" ht="13.5" hidden="false" customHeight="true" outlineLevel="0" collapsed="false">
      <c r="B35" s="100" t="s">
        <v>57</v>
      </c>
      <c r="C35" s="101"/>
      <c r="D35" s="102"/>
      <c r="E35" s="103" t="n">
        <f aca="false">E21-E33</f>
        <v>-38600</v>
      </c>
      <c r="F35" s="103" t="n">
        <f aca="false">F21-F33</f>
        <v>-40392</v>
      </c>
      <c r="G35" s="103" t="n">
        <f aca="false">G21-G33</f>
        <v>-30863.6799999999</v>
      </c>
      <c r="H35" s="103" t="n">
        <f aca="false">H21-H33</f>
        <v>-3883.50079999998</v>
      </c>
      <c r="I35" s="104" t="n">
        <f aca="false">I21-I33</f>
        <v>-2898.18086399999</v>
      </c>
    </row>
    <row r="36" customFormat="false" ht="12.75" hidden="false" customHeight="true" outlineLevel="0" collapsed="false">
      <c r="B36" s="63"/>
      <c r="E36" s="94"/>
      <c r="F36" s="94"/>
      <c r="G36" s="94"/>
      <c r="H36" s="94"/>
      <c r="I36" s="105"/>
    </row>
    <row r="37" customFormat="false" ht="12.75" hidden="false" customHeight="true" outlineLevel="0" collapsed="false">
      <c r="B37" s="63"/>
      <c r="C37" s="36" t="s">
        <v>58</v>
      </c>
      <c r="E37" s="96" t="n">
        <f aca="false">-SUM('Loan Payment Calculator'!F12:F23)</f>
        <v>3589.59858451125</v>
      </c>
      <c r="F37" s="96" t="n">
        <f aca="false">-SUM('Loan Payment Calculator'!F24:F35)</f>
        <v>2865.69939199817</v>
      </c>
      <c r="G37" s="96" t="n">
        <f aca="false">-SUM('Loan Payment Calculator'!F36:F47)</f>
        <v>2105.60523985943</v>
      </c>
      <c r="H37" s="96" t="n">
        <f aca="false">-SUM('Loan Payment Calculator'!F48:F59)</f>
        <v>1307.50638011376</v>
      </c>
      <c r="I37" s="97" t="n">
        <f aca="false">-SUM('Loan Payment Calculator'!F60:F71)</f>
        <v>469.502577380803</v>
      </c>
    </row>
    <row r="38" customFormat="false" ht="12.75" hidden="false" customHeight="true" outlineLevel="0" collapsed="false">
      <c r="B38" s="63"/>
      <c r="E38" s="94"/>
      <c r="F38" s="94"/>
      <c r="G38" s="94"/>
      <c r="H38" s="94"/>
      <c r="I38" s="105"/>
    </row>
    <row r="39" customFormat="false" ht="13.5" hidden="false" customHeight="true" outlineLevel="0" collapsed="false">
      <c r="B39" s="100" t="s">
        <v>59</v>
      </c>
      <c r="C39" s="101"/>
      <c r="D39" s="102"/>
      <c r="E39" s="103" t="n">
        <f aca="false">+E35-E37</f>
        <v>-42189.5985845113</v>
      </c>
      <c r="F39" s="103" t="n">
        <f aca="false">+F35-F37</f>
        <v>-43257.6993919982</v>
      </c>
      <c r="G39" s="103" t="n">
        <f aca="false">+G35-G37</f>
        <v>-32969.2852398594</v>
      </c>
      <c r="H39" s="103" t="n">
        <f aca="false">+H35-H37</f>
        <v>-5191.00718011374</v>
      </c>
      <c r="I39" s="104" t="n">
        <f aca="false">+I35-I37</f>
        <v>-3367.6834413808</v>
      </c>
    </row>
    <row r="40" customFormat="false" ht="12.75" hidden="false" customHeight="true" outlineLevel="0" collapsed="false">
      <c r="B40" s="63"/>
      <c r="E40" s="76"/>
      <c r="F40" s="76"/>
      <c r="G40" s="76"/>
      <c r="H40" s="76"/>
      <c r="I40" s="77"/>
    </row>
    <row r="41" customFormat="false" ht="12.75" hidden="false" customHeight="true" outlineLevel="0" collapsed="false">
      <c r="B41" s="63"/>
      <c r="C41" s="36" t="s">
        <v>60</v>
      </c>
      <c r="E41" s="95" t="n">
        <v>0</v>
      </c>
      <c r="F41" s="95" t="n">
        <v>0</v>
      </c>
      <c r="G41" s="95" t="n">
        <v>1000</v>
      </c>
      <c r="H41" s="95" t="n">
        <v>0</v>
      </c>
      <c r="I41" s="106" t="n">
        <v>0</v>
      </c>
    </row>
    <row r="42" customFormat="false" ht="12.75" hidden="false" customHeight="true" outlineLevel="0" collapsed="false">
      <c r="B42" s="63"/>
      <c r="C42" s="36" t="s">
        <v>61</v>
      </c>
      <c r="E42" s="95" t="n">
        <v>0</v>
      </c>
      <c r="F42" s="95" t="n">
        <v>0</v>
      </c>
      <c r="G42" s="95" t="n">
        <v>0</v>
      </c>
      <c r="H42" s="95" t="n">
        <v>0</v>
      </c>
      <c r="I42" s="106" t="n">
        <v>0</v>
      </c>
    </row>
    <row r="43" customFormat="false" ht="12.75" hidden="false" customHeight="true" outlineLevel="0" collapsed="false">
      <c r="B43" s="63"/>
      <c r="E43" s="76"/>
      <c r="F43" s="76"/>
      <c r="G43" s="76"/>
      <c r="H43" s="76"/>
      <c r="I43" s="77"/>
    </row>
    <row r="44" customFormat="false" ht="12.75" hidden="false" customHeight="true" outlineLevel="0" collapsed="false">
      <c r="B44" s="107" t="s">
        <v>62</v>
      </c>
      <c r="C44" s="108"/>
      <c r="D44" s="6"/>
      <c r="E44" s="109" t="n">
        <f aca="false">E39+E41+E42</f>
        <v>-42189.5985845113</v>
      </c>
      <c r="F44" s="109" t="n">
        <f aca="false">F39+F41+F42</f>
        <v>-43257.6993919982</v>
      </c>
      <c r="G44" s="109" t="n">
        <f aca="false">G39+G41+G42</f>
        <v>-31969.2852398594</v>
      </c>
      <c r="H44" s="109" t="n">
        <f aca="false">H39+H41+H42</f>
        <v>-5191.00718011374</v>
      </c>
      <c r="I44" s="110" t="n">
        <f aca="false">I39+I41+I42</f>
        <v>-3367.6834413808</v>
      </c>
    </row>
    <row r="45" customFormat="false" ht="12.75" hidden="false" customHeight="true" outlineLevel="0" collapsed="false">
      <c r="B45" s="63"/>
      <c r="E45" s="76"/>
      <c r="F45" s="76"/>
      <c r="G45" s="76"/>
      <c r="H45" s="76"/>
      <c r="I45" s="77"/>
    </row>
    <row r="46" customFormat="false" ht="12.75" hidden="false" customHeight="true" outlineLevel="0" collapsed="false">
      <c r="B46" s="39" t="s">
        <v>63</v>
      </c>
      <c r="D46" s="111" t="n">
        <f aca="false">'Model Inputs'!C42</f>
        <v>0.3</v>
      </c>
      <c r="E46" s="96" t="n">
        <f aca="false">IF(E44&lt;0,0,$D$46*E44)</f>
        <v>0</v>
      </c>
      <c r="F46" s="96" t="n">
        <f aca="false">IF(F44&lt;0,0,$D$46*F44)</f>
        <v>0</v>
      </c>
      <c r="G46" s="96" t="n">
        <f aca="false">IF(G44&lt;0,0,$D$46*G44)</f>
        <v>0</v>
      </c>
      <c r="H46" s="96" t="n">
        <f aca="false">IF(H44&lt;0,0,$D$46*H44)</f>
        <v>0</v>
      </c>
      <c r="I46" s="97" t="n">
        <f aca="false">IF(I44&lt;0,0,$D$46*I44)</f>
        <v>0</v>
      </c>
    </row>
    <row r="47" customFormat="false" ht="12.75" hidden="false" customHeight="true" outlineLevel="0" collapsed="false">
      <c r="B47" s="112"/>
      <c r="E47" s="76"/>
      <c r="F47" s="76"/>
      <c r="G47" s="76"/>
      <c r="H47" s="76"/>
      <c r="I47" s="77"/>
    </row>
    <row r="48" customFormat="false" ht="13.5" hidden="false" customHeight="true" outlineLevel="0" collapsed="false">
      <c r="B48" s="113" t="s">
        <v>64</v>
      </c>
      <c r="C48" s="114"/>
      <c r="D48" s="115"/>
      <c r="E48" s="116" t="n">
        <f aca="false">E44-E46</f>
        <v>-42189.5985845113</v>
      </c>
      <c r="F48" s="116" t="n">
        <f aca="false">F44-F46</f>
        <v>-43257.6993919982</v>
      </c>
      <c r="G48" s="116" t="n">
        <f aca="false">G44-G46</f>
        <v>-31969.2852398594</v>
      </c>
      <c r="H48" s="116" t="n">
        <f aca="false">H44-H46</f>
        <v>-5191.00718011374</v>
      </c>
      <c r="I48" s="117" t="n">
        <f aca="false">I44-I46</f>
        <v>-3367.6834413808</v>
      </c>
    </row>
    <row r="49" customFormat="false" ht="14.25" hidden="false" customHeight="true" outlineLevel="0" collapsed="false">
      <c r="B49" s="57"/>
      <c r="C49" s="67"/>
      <c r="D49" s="68"/>
      <c r="E49" s="118"/>
      <c r="F49" s="118"/>
      <c r="G49" s="118"/>
      <c r="H49" s="118"/>
      <c r="I49" s="119"/>
    </row>
  </sheetData>
  <printOptions headings="false" gridLines="false" gridLinesSet="true" horizontalCentered="true" verticalCentered="false"/>
  <pageMargins left="0.747916666666667" right="0.747916666666667" top="0.470138888888889" bottom="0.5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6E6E6"/>
    <pageSetUpPr fitToPage="true"/>
  </sheetPr>
  <dimension ref="B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1" width="5.55"/>
    <col collapsed="false" customWidth="true" hidden="false" outlineLevel="0" max="3" min="3" style="36" width="40.8"/>
    <col collapsed="false" customWidth="true" hidden="false" outlineLevel="0" max="4" min="4" style="1" width="18.26"/>
    <col collapsed="false" customWidth="true" hidden="false" outlineLevel="0" max="5" min="5" style="1" width="13.69"/>
    <col collapsed="false" customWidth="true" hidden="false" outlineLevel="0" max="6" min="6" style="1" width="13.55"/>
    <col collapsed="false" customWidth="true" hidden="false" outlineLevel="0" max="7" min="7" style="1" width="12.55"/>
    <col collapsed="false" customWidth="true" hidden="false" outlineLevel="0" max="8" min="8" style="1" width="12.99"/>
    <col collapsed="false" customWidth="true" hidden="false" outlineLevel="0" max="9" min="9" style="1" width="13.4"/>
    <col collapsed="false" customWidth="false" hidden="false" outlineLevel="0" max="10" min="10" style="1" width="9.13"/>
    <col collapsed="false" customWidth="true" hidden="false" outlineLevel="0" max="11" min="11" style="1" width="11.27"/>
    <col collapsed="false" customWidth="false" hidden="false" outlineLevel="0" max="257" min="12" style="1" width="9.13"/>
  </cols>
  <sheetData>
    <row r="1" customFormat="false" ht="15.75" hidden="false" customHeight="true" outlineLevel="0" collapsed="false">
      <c r="B1" s="3" t="str">
        <f aca="false">+'Model Inputs'!B1</f>
        <v>[Company Name]</v>
      </c>
    </row>
    <row r="2" customFormat="false" ht="15.75" hidden="false" customHeight="true" outlineLevel="0" collapsed="false">
      <c r="B2" s="3" t="str">
        <f aca="false">+'Model Inputs'!B2</f>
        <v>5-Year Financial Plan—Manufacturing</v>
      </c>
    </row>
    <row r="3" customFormat="false" ht="15.75" hidden="false" customHeight="true" outlineLevel="0" collapsed="false">
      <c r="B3" s="3" t="s">
        <v>65</v>
      </c>
    </row>
    <row r="4" customFormat="false" ht="12.75" hidden="false" customHeight="true" outlineLevel="0" collapsed="false">
      <c r="C4" s="120"/>
    </row>
    <row r="5" customFormat="false" ht="13.5" hidden="false" customHeight="true" outlineLevel="0" collapsed="false">
      <c r="D5" s="84"/>
      <c r="E5" s="121"/>
      <c r="F5" s="121"/>
      <c r="G5" s="121"/>
      <c r="H5" s="121"/>
      <c r="I5" s="121"/>
    </row>
    <row r="6" customFormat="false" ht="12.75" hidden="false" customHeight="true" outlineLevel="0" collapsed="false">
      <c r="B6" s="122" t="s">
        <v>66</v>
      </c>
      <c r="C6" s="123"/>
      <c r="D6" s="124" t="s">
        <v>67</v>
      </c>
      <c r="E6" s="124" t="s">
        <v>30</v>
      </c>
      <c r="F6" s="124" t="s">
        <v>31</v>
      </c>
      <c r="G6" s="124" t="s">
        <v>32</v>
      </c>
      <c r="H6" s="124" t="s">
        <v>33</v>
      </c>
      <c r="I6" s="125" t="s">
        <v>34</v>
      </c>
    </row>
    <row r="7" customFormat="false" ht="12.75" hidden="false" customHeight="true" outlineLevel="0" collapsed="false">
      <c r="B7" s="63"/>
      <c r="C7" s="36" t="s">
        <v>68</v>
      </c>
      <c r="D7" s="94" t="n">
        <v>50000</v>
      </c>
      <c r="E7" s="78" t="n">
        <f aca="false">+'Cash Flow'!D36</f>
        <v>147810.401415489</v>
      </c>
      <c r="F7" s="78"/>
      <c r="G7" s="78" t="n">
        <f aca="false">+'Cash Flow'!F36</f>
        <v>207272.835130455</v>
      </c>
      <c r="H7" s="78" t="n">
        <f aca="false">+'Cash Flow'!G36</f>
        <v>6309.28292904544</v>
      </c>
      <c r="I7" s="79" t="n">
        <f aca="false">+'Cash Flow'!H36</f>
        <v>-69879.8041084602</v>
      </c>
    </row>
    <row r="8" customFormat="false" ht="12.75" hidden="false" customHeight="true" outlineLevel="0" collapsed="false">
      <c r="B8" s="63"/>
      <c r="C8" s="36" t="s">
        <v>69</v>
      </c>
      <c r="D8" s="95" t="n">
        <v>3000</v>
      </c>
      <c r="E8" s="126" t="n">
        <f aca="false">D8</f>
        <v>3000</v>
      </c>
      <c r="F8" s="126" t="n">
        <f aca="false">E8</f>
        <v>3000</v>
      </c>
      <c r="G8" s="126" t="n">
        <f aca="false">F8</f>
        <v>3000</v>
      </c>
      <c r="H8" s="126" t="n">
        <f aca="false">G8</f>
        <v>3000</v>
      </c>
      <c r="I8" s="127" t="n">
        <f aca="false">H8</f>
        <v>3000</v>
      </c>
    </row>
    <row r="9" customFormat="false" ht="12.75" hidden="false" customHeight="true" outlineLevel="0" collapsed="false">
      <c r="B9" s="63"/>
      <c r="C9" s="36" t="s">
        <v>70</v>
      </c>
      <c r="D9" s="95" t="n">
        <v>25000</v>
      </c>
      <c r="E9" s="126" t="n">
        <f aca="false">D9</f>
        <v>25000</v>
      </c>
      <c r="F9" s="126" t="n">
        <f aca="false">E9</f>
        <v>25000</v>
      </c>
      <c r="G9" s="126" t="n">
        <f aca="false">F9</f>
        <v>25000</v>
      </c>
      <c r="H9" s="126" t="n">
        <f aca="false">G9</f>
        <v>25000</v>
      </c>
      <c r="I9" s="127" t="n">
        <f aca="false">H9</f>
        <v>25000</v>
      </c>
    </row>
    <row r="10" customFormat="false" ht="12.75" hidden="false" customHeight="true" outlineLevel="0" collapsed="false">
      <c r="B10" s="63"/>
      <c r="C10" s="36" t="s">
        <v>71</v>
      </c>
      <c r="D10" s="95" t="n">
        <v>0</v>
      </c>
      <c r="E10" s="126" t="n">
        <f aca="false">+D10</f>
        <v>0</v>
      </c>
      <c r="F10" s="126" t="n">
        <f aca="false">+E10</f>
        <v>0</v>
      </c>
      <c r="G10" s="126" t="n">
        <f aca="false">+F10</f>
        <v>0</v>
      </c>
      <c r="H10" s="126" t="n">
        <f aca="false">+G10</f>
        <v>0</v>
      </c>
      <c r="I10" s="127" t="n">
        <f aca="false">+H10</f>
        <v>0</v>
      </c>
    </row>
    <row r="11" customFormat="false" ht="12.75" hidden="false" customHeight="true" outlineLevel="0" collapsed="false">
      <c r="B11" s="63"/>
      <c r="C11" s="36" t="s">
        <v>72</v>
      </c>
      <c r="D11" s="95" t="n">
        <v>0</v>
      </c>
      <c r="E11" s="126" t="n">
        <f aca="false">+D11</f>
        <v>0</v>
      </c>
      <c r="F11" s="126"/>
      <c r="G11" s="126" t="n">
        <f aca="false">+F11</f>
        <v>0</v>
      </c>
      <c r="H11" s="126" t="n">
        <f aca="false">+G11</f>
        <v>0</v>
      </c>
      <c r="I11" s="127" t="n">
        <f aca="false">+H11</f>
        <v>0</v>
      </c>
    </row>
    <row r="12" customFormat="false" ht="12.75" hidden="false" customHeight="true" outlineLevel="0" collapsed="false">
      <c r="B12" s="63"/>
      <c r="C12" s="36" t="s">
        <v>73</v>
      </c>
      <c r="D12" s="95" t="n">
        <v>5000</v>
      </c>
      <c r="E12" s="126" t="n">
        <f aca="false">+D12</f>
        <v>5000</v>
      </c>
      <c r="F12" s="126" t="n">
        <f aca="false">+E12</f>
        <v>5000</v>
      </c>
      <c r="G12" s="126" t="n">
        <f aca="false">+F12</f>
        <v>5000</v>
      </c>
      <c r="H12" s="126" t="n">
        <f aca="false">+G12</f>
        <v>5000</v>
      </c>
      <c r="I12" s="127" t="n">
        <f aca="false">+H12</f>
        <v>5000</v>
      </c>
    </row>
    <row r="13" customFormat="false" ht="12.75" hidden="false" customHeight="true" outlineLevel="0" collapsed="false">
      <c r="B13" s="63"/>
      <c r="C13" s="92" t="s">
        <v>74</v>
      </c>
      <c r="D13" s="98" t="n">
        <f aca="false">SUM(D7:D12)</f>
        <v>83000</v>
      </c>
      <c r="E13" s="98" t="n">
        <f aca="false">SUM(E7:E12)</f>
        <v>180810.401415489</v>
      </c>
      <c r="F13" s="98" t="n">
        <f aca="false">SUM(F7:F12)</f>
        <v>33000</v>
      </c>
      <c r="G13" s="98" t="n">
        <f aca="false">SUM(G7:G12)</f>
        <v>240272.835130455</v>
      </c>
      <c r="H13" s="98" t="n">
        <f aca="false">SUM(H7:H12)</f>
        <v>39309.2829290454</v>
      </c>
      <c r="I13" s="99" t="n">
        <f aca="false">SUM(I7:I12)</f>
        <v>-36879.8041084602</v>
      </c>
    </row>
    <row r="14" customFormat="false" ht="12.75" hidden="false" customHeight="true" outlineLevel="0" collapsed="false">
      <c r="B14" s="63"/>
      <c r="D14" s="76"/>
      <c r="E14" s="76"/>
      <c r="F14" s="76"/>
      <c r="G14" s="76"/>
      <c r="H14" s="76"/>
      <c r="I14" s="77"/>
    </row>
    <row r="15" customFormat="false" ht="12.75" hidden="false" customHeight="true" outlineLevel="0" collapsed="false">
      <c r="B15" s="63"/>
      <c r="C15" s="36" t="s">
        <v>75</v>
      </c>
      <c r="D15" s="94" t="n">
        <v>100000</v>
      </c>
      <c r="E15" s="128" t="n">
        <f aca="false">+D15</f>
        <v>100000</v>
      </c>
      <c r="F15" s="128" t="n">
        <f aca="false">+E15</f>
        <v>100000</v>
      </c>
      <c r="G15" s="128" t="n">
        <f aca="false">+F15</f>
        <v>100000</v>
      </c>
      <c r="H15" s="128" t="n">
        <f aca="false">+G15</f>
        <v>100000</v>
      </c>
      <c r="I15" s="129" t="n">
        <f aca="false">+H15</f>
        <v>100000</v>
      </c>
    </row>
    <row r="16" customFormat="false" ht="12.75" hidden="false" customHeight="true" outlineLevel="0" collapsed="false">
      <c r="B16" s="63"/>
      <c r="C16" s="36" t="s">
        <v>76</v>
      </c>
      <c r="D16" s="95" t="n">
        <v>100000</v>
      </c>
      <c r="E16" s="126" t="n">
        <f aca="false">+D16</f>
        <v>100000</v>
      </c>
      <c r="F16" s="126" t="n">
        <f aca="false">+E16</f>
        <v>100000</v>
      </c>
      <c r="G16" s="126" t="n">
        <f aca="false">+F16</f>
        <v>100000</v>
      </c>
      <c r="H16" s="126" t="n">
        <f aca="false">+G16</f>
        <v>100000</v>
      </c>
      <c r="I16" s="127" t="n">
        <f aca="false">+H16</f>
        <v>100000</v>
      </c>
    </row>
    <row r="17" customFormat="false" ht="12.75" hidden="false" customHeight="true" outlineLevel="0" collapsed="false">
      <c r="B17" s="63"/>
      <c r="C17" s="36" t="s">
        <v>77</v>
      </c>
      <c r="D17" s="95" t="n">
        <v>0</v>
      </c>
      <c r="E17" s="126" t="n">
        <f aca="false">+D17</f>
        <v>0</v>
      </c>
      <c r="F17" s="126" t="n">
        <f aca="false">+E17</f>
        <v>0</v>
      </c>
      <c r="G17" s="126" t="n">
        <f aca="false">+F17</f>
        <v>0</v>
      </c>
      <c r="H17" s="126" t="n">
        <f aca="false">+G17</f>
        <v>0</v>
      </c>
      <c r="I17" s="127" t="n">
        <f aca="false">+H17</f>
        <v>0</v>
      </c>
    </row>
    <row r="18" customFormat="false" ht="12.75" hidden="false" customHeight="true" outlineLevel="0" collapsed="false">
      <c r="B18" s="63"/>
      <c r="C18" s="36" t="s">
        <v>78</v>
      </c>
      <c r="D18" s="95" t="n">
        <v>100000</v>
      </c>
      <c r="E18" s="126" t="n">
        <f aca="false">D18</f>
        <v>100000</v>
      </c>
      <c r="F18" s="126" t="n">
        <f aca="false">E18</f>
        <v>100000</v>
      </c>
      <c r="G18" s="126"/>
      <c r="H18" s="126" t="n">
        <f aca="false">G18</f>
        <v>0</v>
      </c>
      <c r="I18" s="127" t="n">
        <f aca="false">H18</f>
        <v>0</v>
      </c>
    </row>
    <row r="19" customFormat="false" ht="12.75" hidden="false" customHeight="true" outlineLevel="0" collapsed="false">
      <c r="B19" s="63"/>
      <c r="C19" s="36" t="s">
        <v>79</v>
      </c>
      <c r="D19" s="96" t="n">
        <v>0</v>
      </c>
      <c r="E19" s="96" t="n">
        <f aca="false">+D19+'Profit and Loss'!E26</f>
        <v>40000</v>
      </c>
      <c r="F19" s="96" t="n">
        <f aca="false">+E19+'Profit and Loss'!F26</f>
        <v>80800</v>
      </c>
      <c r="G19" s="96" t="n">
        <f aca="false">+F19+'Profit and Loss'!G26</f>
        <v>122400</v>
      </c>
      <c r="H19" s="96" t="n">
        <f aca="false">+G19+'Profit and Loss'!H26</f>
        <v>143600</v>
      </c>
      <c r="I19" s="83" t="n">
        <f aca="false">+H19+'Profit and Loss'!I26</f>
        <v>165200</v>
      </c>
    </row>
    <row r="20" customFormat="false" ht="12.75" hidden="false" customHeight="true" outlineLevel="0" collapsed="false">
      <c r="B20" s="63"/>
      <c r="C20" s="92" t="s">
        <v>80</v>
      </c>
      <c r="D20" s="98" t="n">
        <f aca="false">SUM(D15:D18)-D19</f>
        <v>300000</v>
      </c>
      <c r="E20" s="98" t="n">
        <f aca="false">SUM(E15:E18)-E19</f>
        <v>260000</v>
      </c>
      <c r="F20" s="98" t="n">
        <f aca="false">SUM(F15:F18)-F19</f>
        <v>219200</v>
      </c>
      <c r="G20" s="98" t="n">
        <f aca="false">SUM(G15:G18)-G19</f>
        <v>77600</v>
      </c>
      <c r="H20" s="98" t="n">
        <f aca="false">SUM(H15:H18)-H19</f>
        <v>56400</v>
      </c>
      <c r="I20" s="99" t="n">
        <f aca="false">SUM(I15:I18)-I19</f>
        <v>34800</v>
      </c>
    </row>
    <row r="21" customFormat="false" ht="12.75" hidden="false" customHeight="true" outlineLevel="0" collapsed="false">
      <c r="B21" s="63"/>
      <c r="D21" s="76"/>
      <c r="E21" s="76"/>
      <c r="F21" s="76"/>
      <c r="G21" s="76"/>
      <c r="H21" s="76"/>
      <c r="I21" s="77"/>
    </row>
    <row r="22" customFormat="false" ht="12.75" hidden="false" customHeight="true" outlineLevel="0" collapsed="false">
      <c r="B22" s="63"/>
      <c r="C22" s="36" t="s">
        <v>81</v>
      </c>
      <c r="D22" s="94" t="n">
        <v>0</v>
      </c>
      <c r="E22" s="128" t="n">
        <f aca="false">+D22</f>
        <v>0</v>
      </c>
      <c r="F22" s="128"/>
      <c r="G22" s="128" t="n">
        <f aca="false">+F22</f>
        <v>0</v>
      </c>
      <c r="H22" s="128" t="n">
        <f aca="false">+G22</f>
        <v>0</v>
      </c>
      <c r="I22" s="129" t="n">
        <f aca="false">+H22</f>
        <v>0</v>
      </c>
    </row>
    <row r="23" customFormat="false" ht="12.75" hidden="false" customHeight="true" outlineLevel="0" collapsed="false">
      <c r="B23" s="63"/>
      <c r="C23" s="36" t="s">
        <v>72</v>
      </c>
      <c r="D23" s="95" t="n">
        <v>0</v>
      </c>
      <c r="E23" s="126" t="n">
        <f aca="false">+D23</f>
        <v>0</v>
      </c>
      <c r="F23" s="126" t="n">
        <f aca="false">+E23</f>
        <v>0</v>
      </c>
      <c r="G23" s="126" t="n">
        <f aca="false">+F23</f>
        <v>0</v>
      </c>
      <c r="H23" s="126" t="n">
        <f aca="false">+G23</f>
        <v>0</v>
      </c>
      <c r="I23" s="127" t="n">
        <f aca="false">+H23</f>
        <v>0</v>
      </c>
    </row>
    <row r="24" customFormat="false" ht="12.75" hidden="false" customHeight="true" outlineLevel="0" collapsed="false">
      <c r="B24" s="63"/>
      <c r="C24" s="36" t="s">
        <v>82</v>
      </c>
      <c r="D24" s="95" t="n">
        <v>0</v>
      </c>
      <c r="E24" s="126" t="n">
        <f aca="false">+D24</f>
        <v>0</v>
      </c>
      <c r="F24" s="126"/>
      <c r="G24" s="126" t="n">
        <f aca="false">+F24</f>
        <v>0</v>
      </c>
      <c r="H24" s="126" t="n">
        <f aca="false">+G24</f>
        <v>0</v>
      </c>
      <c r="I24" s="127" t="n">
        <f aca="false">+H24</f>
        <v>0</v>
      </c>
    </row>
    <row r="25" customFormat="false" ht="12.75" hidden="false" customHeight="true" outlineLevel="0" collapsed="false">
      <c r="B25" s="63"/>
      <c r="C25" s="36" t="s">
        <v>83</v>
      </c>
      <c r="D25" s="95" t="n">
        <v>0</v>
      </c>
      <c r="E25" s="126" t="n">
        <f aca="false">+D25</f>
        <v>0</v>
      </c>
      <c r="F25" s="126" t="n">
        <f aca="false">+E25</f>
        <v>0</v>
      </c>
      <c r="G25" s="126" t="n">
        <f aca="false">+F25</f>
        <v>0</v>
      </c>
      <c r="H25" s="126" t="n">
        <f aca="false">+G25</f>
        <v>0</v>
      </c>
      <c r="I25" s="127" t="n">
        <f aca="false">+H25</f>
        <v>0</v>
      </c>
    </row>
    <row r="26" customFormat="false" ht="12.75" hidden="false" customHeight="true" outlineLevel="0" collapsed="false">
      <c r="B26" s="63"/>
      <c r="C26" s="36" t="s">
        <v>84</v>
      </c>
      <c r="D26" s="95" t="n">
        <v>0</v>
      </c>
      <c r="E26" s="126" t="n">
        <f aca="false">+D26</f>
        <v>0</v>
      </c>
      <c r="F26" s="126" t="n">
        <f aca="false">+E26</f>
        <v>0</v>
      </c>
      <c r="G26" s="126" t="n">
        <f aca="false">+F26</f>
        <v>0</v>
      </c>
      <c r="H26" s="126" t="n">
        <f aca="false">+G26</f>
        <v>0</v>
      </c>
      <c r="I26" s="127" t="n">
        <f aca="false">+H26</f>
        <v>0</v>
      </c>
    </row>
    <row r="27" customFormat="false" ht="13.5" hidden="false" customHeight="true" outlineLevel="0" collapsed="false">
      <c r="B27" s="63"/>
      <c r="C27" s="130" t="s">
        <v>85</v>
      </c>
      <c r="D27" s="116" t="n">
        <f aca="false">SUM(D22:D26)+D20+D13</f>
        <v>383000</v>
      </c>
      <c r="E27" s="116" t="n">
        <f aca="false">SUM(E22:E26)+E20+E13</f>
        <v>440810.401415489</v>
      </c>
      <c r="F27" s="116" t="n">
        <f aca="false">SUM(F22:F26)+F20+F13</f>
        <v>252200</v>
      </c>
      <c r="G27" s="116" t="n">
        <f aca="false">SUM(G22:G26)+G20+G13</f>
        <v>317872.835130455</v>
      </c>
      <c r="H27" s="116" t="n">
        <f aca="false">SUM(H22:H26)+H20+H13</f>
        <v>95709.2829290454</v>
      </c>
      <c r="I27" s="117" t="n">
        <f aca="false">SUM(I22:I26)+I20+I13</f>
        <v>-2079.80410846019</v>
      </c>
    </row>
    <row r="28" customFormat="false" ht="13.5" hidden="false" customHeight="true" outlineLevel="0" collapsed="false">
      <c r="B28" s="63"/>
      <c r="D28" s="131"/>
      <c r="E28" s="131"/>
      <c r="F28" s="131"/>
      <c r="G28" s="131"/>
      <c r="H28" s="131"/>
      <c r="I28" s="132"/>
    </row>
    <row r="29" customFormat="false" ht="12.75" hidden="false" customHeight="true" outlineLevel="0" collapsed="false">
      <c r="B29" s="133" t="s">
        <v>86</v>
      </c>
      <c r="C29" s="134"/>
      <c r="D29" s="135" t="s">
        <v>67</v>
      </c>
      <c r="E29" s="135" t="str">
        <f aca="false">E6</f>
        <v>Year 1</v>
      </c>
      <c r="F29" s="135"/>
      <c r="G29" s="135" t="str">
        <f aca="false">G6</f>
        <v>Year 3</v>
      </c>
      <c r="H29" s="135" t="str">
        <f aca="false">H6</f>
        <v>Year 4</v>
      </c>
      <c r="I29" s="136" t="str">
        <f aca="false">I6</f>
        <v>Year 5</v>
      </c>
    </row>
    <row r="30" customFormat="false" ht="12.75" hidden="false" customHeight="true" outlineLevel="0" collapsed="false">
      <c r="B30" s="63"/>
      <c r="C30" s="36" t="s">
        <v>87</v>
      </c>
      <c r="D30" s="94" t="n">
        <v>2000</v>
      </c>
      <c r="E30" s="128" t="n">
        <f aca="false">+D30</f>
        <v>2000</v>
      </c>
      <c r="F30" s="128" t="n">
        <v>3000</v>
      </c>
      <c r="G30" s="128" t="n">
        <f aca="false">+F30</f>
        <v>3000</v>
      </c>
      <c r="H30" s="128" t="n">
        <v>1500</v>
      </c>
      <c r="I30" s="129" t="n">
        <f aca="false">+H30</f>
        <v>1500</v>
      </c>
    </row>
    <row r="31" customFormat="false" ht="12.75" hidden="false" customHeight="true" outlineLevel="0" collapsed="false">
      <c r="B31" s="63"/>
      <c r="C31" s="36" t="s">
        <v>88</v>
      </c>
      <c r="D31" s="95" t="n">
        <v>0</v>
      </c>
      <c r="E31" s="126" t="n">
        <f aca="false">+D31</f>
        <v>0</v>
      </c>
      <c r="F31" s="126" t="n">
        <f aca="false">+E31</f>
        <v>0</v>
      </c>
      <c r="G31" s="126"/>
      <c r="H31" s="126" t="n">
        <f aca="false">+G31</f>
        <v>0</v>
      </c>
      <c r="I31" s="127" t="n">
        <f aca="false">+H31</f>
        <v>0</v>
      </c>
    </row>
    <row r="32" customFormat="false" ht="12.75" hidden="false" customHeight="true" outlineLevel="0" collapsed="false">
      <c r="B32" s="63"/>
      <c r="C32" s="36" t="s">
        <v>89</v>
      </c>
      <c r="D32" s="95" t="n">
        <v>0</v>
      </c>
      <c r="E32" s="126"/>
      <c r="F32" s="126" t="n">
        <f aca="false">+E32</f>
        <v>0</v>
      </c>
      <c r="G32" s="126" t="n">
        <f aca="false">+F32</f>
        <v>0</v>
      </c>
      <c r="H32" s="126" t="n">
        <f aca="false">+G32</f>
        <v>0</v>
      </c>
      <c r="I32" s="127" t="n">
        <f aca="false">+H32</f>
        <v>0</v>
      </c>
    </row>
    <row r="33" customFormat="false" ht="12.75" hidden="false" customHeight="true" outlineLevel="0" collapsed="false">
      <c r="B33" s="63"/>
      <c r="C33" s="36" t="s">
        <v>90</v>
      </c>
      <c r="D33" s="95" t="n">
        <v>0</v>
      </c>
      <c r="E33" s="126" t="n">
        <f aca="false">+D33</f>
        <v>0</v>
      </c>
      <c r="F33" s="126" t="n">
        <f aca="false">+E33</f>
        <v>0</v>
      </c>
      <c r="G33" s="126" t="n">
        <f aca="false">+F33</f>
        <v>0</v>
      </c>
      <c r="H33" s="126" t="n">
        <f aca="false">+G33</f>
        <v>0</v>
      </c>
      <c r="I33" s="127" t="n">
        <f aca="false">+H33</f>
        <v>0</v>
      </c>
    </row>
    <row r="34" customFormat="false" ht="12.75" hidden="false" customHeight="true" outlineLevel="0" collapsed="false">
      <c r="B34" s="63"/>
      <c r="C34" s="36" t="s">
        <v>91</v>
      </c>
      <c r="D34" s="95" t="n">
        <v>100</v>
      </c>
      <c r="E34" s="126" t="n">
        <f aca="false">D34</f>
        <v>100</v>
      </c>
      <c r="F34" s="126" t="n">
        <f aca="false">E34</f>
        <v>100</v>
      </c>
      <c r="G34" s="126" t="n">
        <f aca="false">+F34</f>
        <v>100</v>
      </c>
      <c r="H34" s="126" t="n">
        <f aca="false">+G34</f>
        <v>100</v>
      </c>
      <c r="I34" s="127" t="n">
        <f aca="false">+H34</f>
        <v>100</v>
      </c>
    </row>
    <row r="35" customFormat="false" ht="12.75" hidden="false" customHeight="true" outlineLevel="0" collapsed="false">
      <c r="B35" s="63"/>
      <c r="C35" s="92" t="s">
        <v>92</v>
      </c>
      <c r="D35" s="98" t="n">
        <f aca="false">SUM(D30:D34)</f>
        <v>2100</v>
      </c>
      <c r="E35" s="98" t="n">
        <f aca="false">SUM(E30:E34)</f>
        <v>2100</v>
      </c>
      <c r="F35" s="98" t="n">
        <f aca="false">SUM(F30:F34)</f>
        <v>3100</v>
      </c>
      <c r="G35" s="98" t="n">
        <f aca="false">SUM(G30:G34)</f>
        <v>3100</v>
      </c>
      <c r="H35" s="98" t="n">
        <f aca="false">SUM(H30:H34)</f>
        <v>1600</v>
      </c>
      <c r="I35" s="99" t="n">
        <f aca="false">SUM(I30:I34)</f>
        <v>1600</v>
      </c>
    </row>
    <row r="36" customFormat="false" ht="12.75" hidden="false" customHeight="true" outlineLevel="0" collapsed="false">
      <c r="B36" s="63"/>
      <c r="D36" s="76"/>
      <c r="E36" s="76"/>
      <c r="F36" s="76"/>
      <c r="G36" s="76"/>
      <c r="H36" s="76"/>
      <c r="I36" s="77"/>
    </row>
    <row r="37" customFormat="false" ht="12.75" hidden="false" customHeight="true" outlineLevel="0" collapsed="false">
      <c r="B37" s="63"/>
      <c r="C37" s="36" t="s">
        <v>93</v>
      </c>
      <c r="D37" s="78" t="n">
        <f aca="false">+'Model Inputs'!C44</f>
        <v>80000</v>
      </c>
      <c r="E37" s="78" t="n">
        <f aca="false">'Loan Payment Calculator'!D12</f>
        <v>80000</v>
      </c>
      <c r="F37" s="78" t="n">
        <f aca="false">'Loan Payment Calculator'!D36</f>
        <v>50320.1331069641</v>
      </c>
      <c r="G37" s="78" t="n">
        <f aca="false">'Loan Payment Calculator'!D37</f>
        <v>49019.5116884871</v>
      </c>
      <c r="H37" s="78" t="n">
        <f aca="false">'Loan Payment Calculator'!D60</f>
        <v>17598.0798573919</v>
      </c>
      <c r="I37" s="79" t="n">
        <f aca="false">'Loan Payment Calculator'!D72</f>
        <v>0</v>
      </c>
    </row>
    <row r="38" customFormat="false" ht="12.75" hidden="false" customHeight="true" outlineLevel="0" collapsed="false">
      <c r="B38" s="63"/>
      <c r="C38" s="36" t="s">
        <v>94</v>
      </c>
      <c r="D38" s="137" t="n">
        <v>100000</v>
      </c>
      <c r="E38" s="137" t="n">
        <v>200000</v>
      </c>
      <c r="F38" s="137" t="n">
        <v>150000</v>
      </c>
      <c r="G38" s="137" t="n">
        <v>175000</v>
      </c>
      <c r="H38" s="137" t="n">
        <v>225000</v>
      </c>
      <c r="I38" s="138" t="n">
        <v>150000</v>
      </c>
    </row>
    <row r="39" customFormat="false" ht="12.75" hidden="false" customHeight="true" outlineLevel="0" collapsed="false">
      <c r="B39" s="63"/>
      <c r="C39" s="92" t="s">
        <v>95</v>
      </c>
      <c r="D39" s="78" t="n">
        <f aca="false">D35+D37+D38</f>
        <v>182100</v>
      </c>
      <c r="E39" s="78" t="n">
        <f aca="false">E35+E37+E38</f>
        <v>282100</v>
      </c>
      <c r="F39" s="78" t="n">
        <f aca="false">F35+F37+F38</f>
        <v>203420.133106964</v>
      </c>
      <c r="G39" s="78" t="n">
        <f aca="false">G35+G37+G38</f>
        <v>227119.511688487</v>
      </c>
      <c r="H39" s="78" t="n">
        <f aca="false">H35+H37+H38</f>
        <v>244198.079857392</v>
      </c>
      <c r="I39" s="79" t="n">
        <f aca="false">I35+I37+I38</f>
        <v>151600</v>
      </c>
    </row>
    <row r="40" customFormat="false" ht="12.75" hidden="false" customHeight="true" outlineLevel="0" collapsed="false">
      <c r="B40" s="63"/>
      <c r="D40" s="76"/>
      <c r="E40" s="76"/>
      <c r="F40" s="76"/>
      <c r="G40" s="76"/>
      <c r="H40" s="76"/>
      <c r="I40" s="77"/>
    </row>
    <row r="41" customFormat="false" ht="12.75" hidden="false" customHeight="true" outlineLevel="0" collapsed="false">
      <c r="B41" s="63"/>
      <c r="C41" s="36" t="s">
        <v>96</v>
      </c>
      <c r="D41" s="139" t="n">
        <v>0</v>
      </c>
      <c r="E41" s="126" t="n">
        <f aca="false">+D41</f>
        <v>0</v>
      </c>
      <c r="F41" s="126" t="n">
        <f aca="false">+E41</f>
        <v>0</v>
      </c>
      <c r="G41" s="126" t="n">
        <f aca="false">+F41</f>
        <v>0</v>
      </c>
      <c r="H41" s="126" t="n">
        <f aca="false">+G41</f>
        <v>0</v>
      </c>
      <c r="I41" s="127" t="n">
        <f aca="false">+H41</f>
        <v>0</v>
      </c>
    </row>
    <row r="42" customFormat="false" ht="12.75" hidden="false" customHeight="true" outlineLevel="0" collapsed="false">
      <c r="B42" s="63"/>
      <c r="D42" s="76"/>
      <c r="E42" s="76"/>
      <c r="F42" s="76"/>
      <c r="G42" s="76"/>
      <c r="H42" s="76"/>
      <c r="I42" s="77"/>
    </row>
    <row r="43" customFormat="false" ht="13.5" hidden="false" customHeight="true" outlineLevel="0" collapsed="false">
      <c r="B43" s="63"/>
      <c r="C43" s="130" t="s">
        <v>97</v>
      </c>
      <c r="D43" s="116" t="n">
        <f aca="false">D35+D37+D41</f>
        <v>82100</v>
      </c>
      <c r="E43" s="116" t="n">
        <f aca="false">E35+E37+E41</f>
        <v>82100</v>
      </c>
      <c r="F43" s="116" t="n">
        <f aca="false">F35+F37+F41</f>
        <v>53420.1331069641</v>
      </c>
      <c r="G43" s="116" t="n">
        <f aca="false">G35+G37+G41</f>
        <v>52119.5116884871</v>
      </c>
      <c r="H43" s="116" t="n">
        <f aca="false">H35+H37+H41</f>
        <v>19198.0798573919</v>
      </c>
      <c r="I43" s="117" t="n">
        <f aca="false">I35+I37+I41</f>
        <v>1600</v>
      </c>
    </row>
    <row r="44" customFormat="false" ht="13.5" hidden="false" customHeight="true" outlineLevel="0" collapsed="false">
      <c r="B44" s="63"/>
      <c r="D44" s="131"/>
      <c r="E44" s="131"/>
      <c r="F44" s="131"/>
      <c r="G44" s="131"/>
      <c r="H44" s="131"/>
      <c r="I44" s="132"/>
    </row>
    <row r="45" customFormat="false" ht="12.75" hidden="false" customHeight="true" outlineLevel="0" collapsed="false">
      <c r="B45" s="133" t="s">
        <v>98</v>
      </c>
      <c r="C45" s="134"/>
      <c r="D45" s="135" t="s">
        <v>67</v>
      </c>
      <c r="E45" s="135" t="str">
        <f aca="false">E6</f>
        <v>Year 1</v>
      </c>
      <c r="F45" s="135" t="str">
        <f aca="false">F6</f>
        <v>Year 2</v>
      </c>
      <c r="G45" s="135" t="str">
        <f aca="false">G6</f>
        <v>Year 3</v>
      </c>
      <c r="H45" s="135" t="str">
        <f aca="false">H6</f>
        <v>Year 4</v>
      </c>
      <c r="I45" s="136" t="str">
        <f aca="false">I6</f>
        <v>Year 5</v>
      </c>
    </row>
    <row r="46" customFormat="false" ht="12.75" hidden="false" customHeight="true" outlineLevel="0" collapsed="false">
      <c r="B46" s="63"/>
      <c r="C46" s="36" t="s">
        <v>99</v>
      </c>
      <c r="D46" s="94" t="n">
        <v>50000</v>
      </c>
      <c r="E46" s="128" t="n">
        <f aca="false">D46</f>
        <v>50000</v>
      </c>
      <c r="F46" s="128" t="n">
        <f aca="false">E46</f>
        <v>50000</v>
      </c>
      <c r="G46" s="128" t="n">
        <f aca="false">F46</f>
        <v>50000</v>
      </c>
      <c r="H46" s="128" t="n">
        <f aca="false">G46</f>
        <v>50000</v>
      </c>
      <c r="I46" s="129" t="n">
        <f aca="false">H46</f>
        <v>50000</v>
      </c>
    </row>
    <row r="47" customFormat="false" ht="12.75" hidden="false" customHeight="true" outlineLevel="0" collapsed="false">
      <c r="B47" s="63"/>
      <c r="C47" s="36" t="s">
        <v>100</v>
      </c>
      <c r="D47" s="95" t="n">
        <v>250000</v>
      </c>
      <c r="E47" s="126" t="n">
        <f aca="false">D47</f>
        <v>250000</v>
      </c>
      <c r="F47" s="126" t="n">
        <f aca="false">E47</f>
        <v>250000</v>
      </c>
      <c r="G47" s="126"/>
      <c r="H47" s="126" t="n">
        <f aca="false">G47</f>
        <v>0</v>
      </c>
      <c r="I47" s="127" t="n">
        <f aca="false">H47</f>
        <v>0</v>
      </c>
    </row>
    <row r="48" customFormat="false" ht="12.75" hidden="false" customHeight="true" outlineLevel="0" collapsed="false">
      <c r="B48" s="63"/>
      <c r="C48" s="36" t="s">
        <v>101</v>
      </c>
      <c r="D48" s="95" t="n">
        <v>0</v>
      </c>
      <c r="E48" s="126" t="n">
        <f aca="false">+D48</f>
        <v>0</v>
      </c>
      <c r="F48" s="126" t="n">
        <f aca="false">E48</f>
        <v>0</v>
      </c>
      <c r="G48" s="126" t="n">
        <f aca="false">F48</f>
        <v>0</v>
      </c>
      <c r="H48" s="126" t="n">
        <f aca="false">G48</f>
        <v>0</v>
      </c>
      <c r="I48" s="127" t="n">
        <f aca="false">H48</f>
        <v>0</v>
      </c>
    </row>
    <row r="49" customFormat="false" ht="12.75" hidden="false" customHeight="true" outlineLevel="0" collapsed="false">
      <c r="B49" s="63"/>
      <c r="C49" s="36" t="s">
        <v>102</v>
      </c>
      <c r="D49" s="95" t="n">
        <v>0</v>
      </c>
      <c r="E49" s="96" t="n">
        <f aca="false">+'Profit and Loss'!E48</f>
        <v>-42189.5985845113</v>
      </c>
      <c r="F49" s="96" t="n">
        <f aca="false">+E49+'Profit and Loss'!F48</f>
        <v>-85447.2979765094</v>
      </c>
      <c r="G49" s="96" t="n">
        <f aca="false">+F49+'Profit and Loss'!G48</f>
        <v>-117416.583216369</v>
      </c>
      <c r="H49" s="96" t="n">
        <f aca="false">+G49+'Profit and Loss'!H48</f>
        <v>-122607.590396483</v>
      </c>
      <c r="I49" s="83" t="n">
        <f aca="false">+H49+'Profit and Loss'!I48</f>
        <v>-125975.273837863</v>
      </c>
    </row>
    <row r="50" customFormat="false" ht="13.5" hidden="false" customHeight="true" outlineLevel="0" collapsed="false">
      <c r="B50" s="63"/>
      <c r="C50" s="130" t="s">
        <v>103</v>
      </c>
      <c r="D50" s="116" t="n">
        <f aca="false">SUM(D46:D49)</f>
        <v>300000</v>
      </c>
      <c r="E50" s="116" t="n">
        <f aca="false">SUM(E46:E49)</f>
        <v>257810.401415489</v>
      </c>
      <c r="F50" s="116" t="n">
        <f aca="false">SUM(F46:F49)</f>
        <v>214552.702023491</v>
      </c>
      <c r="G50" s="116" t="n">
        <f aca="false">SUM(G46:G49)</f>
        <v>-67416.5832163688</v>
      </c>
      <c r="H50" s="116" t="n">
        <f aca="false">SUM(H46:H49)</f>
        <v>-72607.5903964825</v>
      </c>
      <c r="I50" s="117" t="n">
        <f aca="false">SUM(I46:I49)</f>
        <v>-75975.2738378633</v>
      </c>
    </row>
    <row r="51" customFormat="false" ht="13.5" hidden="false" customHeight="true" outlineLevel="0" collapsed="false">
      <c r="B51" s="63"/>
      <c r="D51" s="94"/>
      <c r="E51" s="94"/>
      <c r="F51" s="94"/>
      <c r="G51" s="94"/>
      <c r="H51" s="94"/>
      <c r="I51" s="105"/>
    </row>
    <row r="52" customFormat="false" ht="13.5" hidden="false" customHeight="true" outlineLevel="0" collapsed="false">
      <c r="B52" s="63"/>
      <c r="C52" s="140" t="s">
        <v>104</v>
      </c>
      <c r="D52" s="116" t="n">
        <f aca="false">D50+D43</f>
        <v>382100</v>
      </c>
      <c r="E52" s="116" t="n">
        <f aca="false">E50+E43</f>
        <v>339910.401415489</v>
      </c>
      <c r="F52" s="116" t="n">
        <f aca="false">F50+F43</f>
        <v>267972.835130455</v>
      </c>
      <c r="G52" s="116" t="n">
        <f aca="false">G50+G43</f>
        <v>-15297.0715278817</v>
      </c>
      <c r="H52" s="116" t="n">
        <f aca="false">H50+H43</f>
        <v>-53409.5105390907</v>
      </c>
      <c r="I52" s="117" t="n">
        <f aca="false">I50+I43</f>
        <v>-74375.2738378633</v>
      </c>
    </row>
    <row r="53" customFormat="false" ht="14.25" hidden="false" customHeight="true" outlineLevel="0" collapsed="false">
      <c r="B53" s="57"/>
      <c r="C53" s="67"/>
      <c r="D53" s="141"/>
      <c r="E53" s="141"/>
      <c r="F53" s="141"/>
      <c r="G53" s="141"/>
      <c r="H53" s="141"/>
      <c r="I53" s="142"/>
    </row>
  </sheetData>
  <printOptions headings="false" gridLines="false" gridLinesSet="true" horizontalCentered="true" verticalCentered="false"/>
  <pageMargins left="0.747916666666667" right="0.747916666666667" top="0.470138888888889" bottom="0.5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6E6E6"/>
    <pageSetUpPr fitToPage="true"/>
  </sheetPr>
  <dimension ref="B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1" width="5.55"/>
    <col collapsed="false" customWidth="true" hidden="false" outlineLevel="0" max="3" min="3" style="36" width="30.24"/>
    <col collapsed="false" customWidth="true" hidden="false" outlineLevel="0" max="9" min="4" style="2" width="13.69"/>
    <col collapsed="false" customWidth="false" hidden="false" outlineLevel="0" max="257" min="10" style="1" width="9.13"/>
  </cols>
  <sheetData>
    <row r="1" customFormat="false" ht="15.75" hidden="false" customHeight="true" outlineLevel="0" collapsed="false">
      <c r="B1" s="3" t="str">
        <f aca="false">+'Model Inputs'!B1</f>
        <v>[Company Name]</v>
      </c>
    </row>
    <row r="2" customFormat="false" ht="15.75" hidden="false" customHeight="true" outlineLevel="0" collapsed="false">
      <c r="B2" s="3" t="str">
        <f aca="false">+'Model Inputs'!B2</f>
        <v>5-Year Financial Plan—Manufacturing</v>
      </c>
    </row>
    <row r="3" customFormat="false" ht="15.75" hidden="false" customHeight="true" outlineLevel="0" collapsed="false">
      <c r="B3" s="3" t="s">
        <v>105</v>
      </c>
    </row>
    <row r="4" customFormat="false" ht="12.75" hidden="false" customHeight="true" outlineLevel="0" collapsed="false">
      <c r="B4" s="3"/>
    </row>
    <row r="5" customFormat="false" ht="12.75" hidden="false" customHeight="true" outlineLevel="0" collapsed="false">
      <c r="B5" s="3"/>
      <c r="D5" s="121"/>
      <c r="E5" s="121"/>
      <c r="F5" s="121"/>
      <c r="G5" s="121"/>
      <c r="H5" s="121"/>
      <c r="I5" s="45"/>
    </row>
    <row r="6" customFormat="false" ht="12.75" hidden="false" customHeight="true" outlineLevel="0" collapsed="false">
      <c r="B6" s="122"/>
      <c r="C6" s="123"/>
      <c r="D6" s="124" t="s">
        <v>30</v>
      </c>
      <c r="E6" s="124" t="s">
        <v>31</v>
      </c>
      <c r="F6" s="124" t="s">
        <v>32</v>
      </c>
      <c r="G6" s="124" t="s">
        <v>33</v>
      </c>
      <c r="H6" s="124" t="s">
        <v>34</v>
      </c>
      <c r="I6" s="143" t="s">
        <v>106</v>
      </c>
    </row>
    <row r="7" customFormat="false" ht="12.75" hidden="false" customHeight="true" outlineLevel="0" collapsed="false">
      <c r="B7" s="39" t="s">
        <v>107</v>
      </c>
      <c r="D7" s="144"/>
      <c r="E7" s="144"/>
      <c r="F7" s="144"/>
      <c r="G7" s="144"/>
      <c r="H7" s="144"/>
      <c r="I7" s="145"/>
    </row>
    <row r="8" customFormat="false" ht="12.75" hidden="false" customHeight="true" outlineLevel="0" collapsed="false">
      <c r="B8" s="63"/>
      <c r="C8" s="36" t="s">
        <v>108</v>
      </c>
      <c r="D8" s="78" t="n">
        <f aca="false">+'Profit and Loss'!E48</f>
        <v>-42189.5985845113</v>
      </c>
      <c r="E8" s="78" t="n">
        <f aca="false">+'Profit and Loss'!F48</f>
        <v>-43257.6993919982</v>
      </c>
      <c r="F8" s="78"/>
      <c r="G8" s="78" t="n">
        <f aca="false">+'Profit and Loss'!G48</f>
        <v>-31969.2852398594</v>
      </c>
      <c r="H8" s="78" t="n">
        <f aca="false">+'Profit and Loss'!H48</f>
        <v>-5191.00718011374</v>
      </c>
      <c r="I8" s="146" t="n">
        <f aca="false">+'Profit and Loss'!I48</f>
        <v>-3367.6834413808</v>
      </c>
    </row>
    <row r="9" customFormat="false" ht="12.75" hidden="false" customHeight="true" outlineLevel="0" collapsed="false">
      <c r="B9" s="63"/>
      <c r="C9" s="36" t="s">
        <v>49</v>
      </c>
      <c r="D9" s="96" t="n">
        <f aca="false">'Profit and Loss'!E26</f>
        <v>40000</v>
      </c>
      <c r="E9" s="96" t="n">
        <f aca="false">'Profit and Loss'!F26</f>
        <v>40800</v>
      </c>
      <c r="F9" s="96" t="n">
        <f aca="false">'Profit and Loss'!G26</f>
        <v>41600</v>
      </c>
      <c r="G9" s="96" t="n">
        <f aca="false">'Profit and Loss'!H26</f>
        <v>21200</v>
      </c>
      <c r="H9" s="96" t="n">
        <f aca="false">'Profit and Loss'!I26</f>
        <v>21600</v>
      </c>
      <c r="I9" s="147" t="n">
        <f aca="false">SUM(D9:H9)</f>
        <v>165200</v>
      </c>
    </row>
    <row r="10" customFormat="false" ht="12.75" hidden="false" customHeight="true" outlineLevel="0" collapsed="false">
      <c r="B10" s="63"/>
      <c r="C10" s="36" t="s">
        <v>69</v>
      </c>
      <c r="D10" s="96" t="n">
        <f aca="false">+'Balance Sheet'!D8-'Balance Sheet'!E8</f>
        <v>0</v>
      </c>
      <c r="E10" s="96" t="n">
        <f aca="false">+'Balance Sheet'!E8-'Balance Sheet'!F8</f>
        <v>0</v>
      </c>
      <c r="F10" s="96" t="n">
        <f aca="false">+'Balance Sheet'!F8-'Balance Sheet'!G8</f>
        <v>0</v>
      </c>
      <c r="G10" s="96" t="n">
        <f aca="false">+'Balance Sheet'!G8-'Balance Sheet'!H8</f>
        <v>0</v>
      </c>
      <c r="H10" s="96" t="n">
        <f aca="false">+'Balance Sheet'!H8-'Balance Sheet'!I8</f>
        <v>0</v>
      </c>
      <c r="I10" s="147" t="n">
        <f aca="false">SUM(D10:H10)</f>
        <v>0</v>
      </c>
    </row>
    <row r="11" customFormat="false" ht="12.75" hidden="false" customHeight="true" outlineLevel="0" collapsed="false">
      <c r="B11" s="63"/>
      <c r="C11" s="36" t="s">
        <v>109</v>
      </c>
      <c r="D11" s="96" t="n">
        <f aca="false">+'Balance Sheet'!D9-'Balance Sheet'!E9</f>
        <v>0</v>
      </c>
      <c r="E11" s="96" t="n">
        <f aca="false">+'Balance Sheet'!E9-'Balance Sheet'!F9</f>
        <v>0</v>
      </c>
      <c r="F11" s="96" t="n">
        <f aca="false">+'Balance Sheet'!F9-'Balance Sheet'!G9</f>
        <v>0</v>
      </c>
      <c r="G11" s="96" t="n">
        <f aca="false">+'Balance Sheet'!G9-'Balance Sheet'!H9</f>
        <v>0</v>
      </c>
      <c r="H11" s="96"/>
      <c r="I11" s="147" t="n">
        <f aca="false">SUM(D11:H11)</f>
        <v>0</v>
      </c>
    </row>
    <row r="12" customFormat="false" ht="12.75" hidden="false" customHeight="true" outlineLevel="0" collapsed="false">
      <c r="B12" s="63"/>
      <c r="C12" s="36" t="s">
        <v>87</v>
      </c>
      <c r="D12" s="96" t="n">
        <f aca="false">+'Balance Sheet'!E30-'Balance Sheet'!D30</f>
        <v>0</v>
      </c>
      <c r="E12" s="96" t="n">
        <f aca="false">+'Balance Sheet'!F30-'Balance Sheet'!E30</f>
        <v>1000</v>
      </c>
      <c r="F12" s="96" t="n">
        <f aca="false">+'Balance Sheet'!G30-'Balance Sheet'!F30</f>
        <v>0</v>
      </c>
      <c r="G12" s="96" t="n">
        <f aca="false">+'Balance Sheet'!H30-'Balance Sheet'!G30</f>
        <v>-1500</v>
      </c>
      <c r="H12" s="96" t="n">
        <f aca="false">+'Balance Sheet'!I30-'Balance Sheet'!H30</f>
        <v>0</v>
      </c>
      <c r="I12" s="147"/>
    </row>
    <row r="13" customFormat="false" ht="12.75" hidden="false" customHeight="true" outlineLevel="0" collapsed="false">
      <c r="B13" s="63"/>
      <c r="C13" s="36" t="s">
        <v>110</v>
      </c>
      <c r="D13" s="95" t="n">
        <v>0</v>
      </c>
      <c r="E13" s="126" t="n">
        <f aca="false">D13</f>
        <v>0</v>
      </c>
      <c r="F13" s="126" t="n">
        <f aca="false">E13</f>
        <v>0</v>
      </c>
      <c r="G13" s="126" t="n">
        <f aca="false">F13</f>
        <v>0</v>
      </c>
      <c r="H13" s="126" t="n">
        <f aca="false">G13</f>
        <v>0</v>
      </c>
      <c r="I13" s="147" t="n">
        <f aca="false">SUM(D13:H13)</f>
        <v>0</v>
      </c>
    </row>
    <row r="14" customFormat="false" ht="12.75" hidden="false" customHeight="true" outlineLevel="0" collapsed="false">
      <c r="B14" s="63"/>
      <c r="C14" s="36" t="s">
        <v>96</v>
      </c>
      <c r="D14" s="95" t="n">
        <v>0</v>
      </c>
      <c r="E14" s="126" t="n">
        <f aca="false">D14</f>
        <v>0</v>
      </c>
      <c r="F14" s="126" t="n">
        <f aca="false">E14</f>
        <v>0</v>
      </c>
      <c r="G14" s="126" t="n">
        <f aca="false">F14</f>
        <v>0</v>
      </c>
      <c r="H14" s="126" t="n">
        <f aca="false">G14</f>
        <v>0</v>
      </c>
      <c r="I14" s="147" t="n">
        <f aca="false">SUM(D14:H14)</f>
        <v>0</v>
      </c>
    </row>
    <row r="15" customFormat="false" ht="12.75" hidden="false" customHeight="true" outlineLevel="0" collapsed="false">
      <c r="B15" s="63"/>
      <c r="C15" s="36" t="s">
        <v>111</v>
      </c>
      <c r="D15" s="95" t="n">
        <v>0</v>
      </c>
      <c r="E15" s="126" t="n">
        <f aca="false">D15</f>
        <v>0</v>
      </c>
      <c r="F15" s="126" t="n">
        <f aca="false">E15</f>
        <v>0</v>
      </c>
      <c r="G15" s="126" t="n">
        <f aca="false">F15</f>
        <v>0</v>
      </c>
      <c r="H15" s="126" t="n">
        <f aca="false">G15</f>
        <v>0</v>
      </c>
      <c r="I15" s="147" t="n">
        <f aca="false">SUM(D15:H15)</f>
        <v>0</v>
      </c>
    </row>
    <row r="16" customFormat="false" ht="12.75" hidden="false" customHeight="true" outlineLevel="0" collapsed="false">
      <c r="B16" s="63"/>
      <c r="C16" s="148" t="s">
        <v>112</v>
      </c>
      <c r="D16" s="109" t="n">
        <f aca="false">SUM(D8:D15)</f>
        <v>-2189.59858451125</v>
      </c>
      <c r="E16" s="109" t="n">
        <f aca="false">SUM(E8:E15)</f>
        <v>-1457.69939199817</v>
      </c>
      <c r="F16" s="109" t="n">
        <f aca="false">SUM(F8:F15)</f>
        <v>41600</v>
      </c>
      <c r="G16" s="109" t="n">
        <f aca="false">SUM(G8:G15)</f>
        <v>-12269.2852398594</v>
      </c>
      <c r="H16" s="109" t="n">
        <f aca="false">SUM(H8:H15)</f>
        <v>16408.9928198863</v>
      </c>
      <c r="I16" s="149" t="n">
        <f aca="false">SUM(D16:H16)</f>
        <v>42092.4096035175</v>
      </c>
    </row>
    <row r="17" customFormat="false" ht="12.75" hidden="false" customHeight="true" outlineLevel="0" collapsed="false">
      <c r="B17" s="63"/>
      <c r="D17" s="76"/>
      <c r="E17" s="76"/>
      <c r="F17" s="76"/>
      <c r="G17" s="76"/>
      <c r="H17" s="76"/>
      <c r="I17" s="150"/>
    </row>
    <row r="18" customFormat="false" ht="12.75" hidden="false" customHeight="true" outlineLevel="0" collapsed="false">
      <c r="B18" s="39" t="s">
        <v>113</v>
      </c>
      <c r="D18" s="76"/>
      <c r="E18" s="76"/>
      <c r="F18" s="76"/>
      <c r="G18" s="76"/>
      <c r="H18" s="76"/>
      <c r="I18" s="150"/>
    </row>
    <row r="19" customFormat="false" ht="12.75" hidden="false" customHeight="true" outlineLevel="0" collapsed="false">
      <c r="B19" s="63"/>
      <c r="C19" s="36" t="s">
        <v>114</v>
      </c>
      <c r="D19" s="78" t="n">
        <f aca="false">-1*MAX(0,SUM('Balance Sheet'!E15:E18)-SUM('Balance Sheet'!D15:D18))</f>
        <v>-0</v>
      </c>
      <c r="E19" s="78" t="n">
        <f aca="false">-1*MAX(0,SUM('Balance Sheet'!F15:F18)-SUM('Balance Sheet'!E15:E18))</f>
        <v>-0</v>
      </c>
      <c r="F19" s="78" t="n">
        <f aca="false">-1*MAX(0,SUM('Balance Sheet'!G15:G18)-SUM('Balance Sheet'!F15:F18))</f>
        <v>-0</v>
      </c>
      <c r="G19" s="78" t="n">
        <f aca="false">-1*MAX(0,SUM('Balance Sheet'!H15:H18)-SUM('Balance Sheet'!G15:G18))</f>
        <v>-0</v>
      </c>
      <c r="H19" s="78" t="n">
        <f aca="false">-1*MAX(0,SUM('Balance Sheet'!I15:I18)-SUM('Balance Sheet'!H15:H18))</f>
        <v>-0</v>
      </c>
      <c r="I19" s="146" t="n">
        <f aca="false">SUM(D19:H19)</f>
        <v>0</v>
      </c>
    </row>
    <row r="20" customFormat="false" ht="12.75" hidden="false" customHeight="true" outlineLevel="0" collapsed="false">
      <c r="B20" s="63"/>
      <c r="C20" s="36" t="s">
        <v>115</v>
      </c>
      <c r="D20" s="95" t="n">
        <v>0</v>
      </c>
      <c r="E20" s="95" t="n">
        <v>0</v>
      </c>
      <c r="F20" s="95" t="n">
        <v>0</v>
      </c>
      <c r="G20" s="95" t="n">
        <v>0</v>
      </c>
      <c r="H20" s="95" t="n">
        <v>0</v>
      </c>
      <c r="I20" s="147" t="n">
        <f aca="false">SUM(D20:H20)</f>
        <v>0</v>
      </c>
    </row>
    <row r="21" customFormat="false" ht="12.75" hidden="false" customHeight="true" outlineLevel="0" collapsed="false">
      <c r="B21" s="63"/>
      <c r="C21" s="36" t="s">
        <v>116</v>
      </c>
      <c r="D21" s="78" t="n">
        <f aca="false">(-1*MIN(0,SUM('Balance Sheet'!E15:E18)-SUM('Balance Sheet'!D15:D18))-'Profit and Loss'!E41)</f>
        <v>-0</v>
      </c>
      <c r="E21" s="78" t="n">
        <f aca="false">(-1*MIN(0,SUM('Balance Sheet'!F15:F18)-SUM('Balance Sheet'!E15:E18))-'Profit and Loss'!F41)</f>
        <v>-0</v>
      </c>
      <c r="F21" s="78" t="n">
        <f aca="false">(-1*MIN(0,SUM('Balance Sheet'!G15:G18)-SUM('Balance Sheet'!F15:F18))-'Profit and Loss'!G41)</f>
        <v>99000</v>
      </c>
      <c r="G21" s="78"/>
      <c r="H21" s="78" t="n">
        <f aca="false">(-1*MIN(0,SUM('Balance Sheet'!I15:I18)-SUM('Balance Sheet'!H15:H18))-'Profit and Loss'!I41)</f>
        <v>-0</v>
      </c>
      <c r="I21" s="147"/>
    </row>
    <row r="22" customFormat="false" ht="12.75" hidden="false" customHeight="true" outlineLevel="0" collapsed="false">
      <c r="B22" s="63"/>
      <c r="C22" s="36" t="s">
        <v>117</v>
      </c>
      <c r="D22" s="95" t="n">
        <v>0</v>
      </c>
      <c r="E22" s="95" t="n">
        <v>0</v>
      </c>
      <c r="F22" s="95" t="n">
        <v>0</v>
      </c>
      <c r="G22" s="95" t="n">
        <v>0</v>
      </c>
      <c r="H22" s="95" t="n">
        <v>0</v>
      </c>
      <c r="I22" s="147" t="n">
        <f aca="false">SUM(D22:H22)</f>
        <v>0</v>
      </c>
    </row>
    <row r="23" customFormat="false" ht="12.75" hidden="false" customHeight="true" outlineLevel="0" collapsed="false">
      <c r="B23" s="63"/>
      <c r="C23" s="148" t="s">
        <v>118</v>
      </c>
      <c r="D23" s="109" t="n">
        <f aca="false">SUM(D19:D22)</f>
        <v>0</v>
      </c>
      <c r="E23" s="109" t="n">
        <f aca="false">SUM(E19:E22)</f>
        <v>0</v>
      </c>
      <c r="F23" s="109" t="n">
        <f aca="false">SUM(F19:F22)</f>
        <v>99000</v>
      </c>
      <c r="G23" s="109" t="n">
        <f aca="false">SUM(G19:G22)</f>
        <v>0</v>
      </c>
      <c r="H23" s="109" t="n">
        <f aca="false">SUM(H19:H22)</f>
        <v>0</v>
      </c>
      <c r="I23" s="149" t="n">
        <f aca="false">SUM(D23:H23)</f>
        <v>99000</v>
      </c>
    </row>
    <row r="24" customFormat="false" ht="12.75" hidden="false" customHeight="true" outlineLevel="0" collapsed="false">
      <c r="B24" s="63"/>
      <c r="D24" s="76"/>
      <c r="E24" s="76"/>
      <c r="F24" s="76"/>
      <c r="G24" s="76"/>
      <c r="H24" s="76"/>
      <c r="I24" s="150"/>
    </row>
    <row r="25" customFormat="false" ht="12.75" hidden="false" customHeight="true" outlineLevel="0" collapsed="false">
      <c r="B25" s="39" t="s">
        <v>119</v>
      </c>
      <c r="D25" s="76"/>
      <c r="E25" s="76"/>
      <c r="F25" s="76"/>
      <c r="G25" s="76"/>
      <c r="H25" s="76"/>
      <c r="I25" s="150"/>
    </row>
    <row r="26" customFormat="false" ht="12.75" hidden="false" customHeight="true" outlineLevel="0" collapsed="false">
      <c r="B26" s="63"/>
      <c r="C26" s="36" t="s">
        <v>120</v>
      </c>
      <c r="D26" s="78" t="n">
        <f aca="false">'Balance Sheet'!E37+'Balance Sheet'!E38-('Balance Sheet'!D37+'Balance Sheet'!D38)</f>
        <v>100000</v>
      </c>
      <c r="E26" s="78" t="n">
        <f aca="false">'Balance Sheet'!F37+'Balance Sheet'!F38-('Balance Sheet'!E37+'Balance Sheet'!E38)</f>
        <v>-79679.8668930359</v>
      </c>
      <c r="F26" s="78"/>
      <c r="G26" s="78" t="n">
        <f aca="false">'Balance Sheet'!H37+'Balance Sheet'!H38-('Balance Sheet'!G37+'Balance Sheet'!G38)</f>
        <v>18578.5681689048</v>
      </c>
      <c r="H26" s="78" t="n">
        <f aca="false">'Balance Sheet'!I37+'Balance Sheet'!I38-('Balance Sheet'!H37+'Balance Sheet'!H38)</f>
        <v>-92598.0798573919</v>
      </c>
      <c r="I26" s="146" t="n">
        <f aca="false">SUM(D26:H26)</f>
        <v>-53699.378581523</v>
      </c>
    </row>
    <row r="27" customFormat="false" ht="12.75" hidden="false" customHeight="true" outlineLevel="0" collapsed="false">
      <c r="B27" s="63"/>
      <c r="C27" s="36" t="s">
        <v>121</v>
      </c>
      <c r="D27" s="95" t="n">
        <v>0</v>
      </c>
      <c r="E27" s="126" t="n">
        <f aca="false">D27</f>
        <v>0</v>
      </c>
      <c r="F27" s="126" t="n">
        <f aca="false">E27</f>
        <v>0</v>
      </c>
      <c r="G27" s="126" t="n">
        <f aca="false">F27</f>
        <v>0</v>
      </c>
      <c r="H27" s="126" t="n">
        <f aca="false">G27</f>
        <v>0</v>
      </c>
      <c r="I27" s="147" t="n">
        <f aca="false">SUM(D27:H27)</f>
        <v>0</v>
      </c>
    </row>
    <row r="28" customFormat="false" ht="12.75" hidden="false" customHeight="true" outlineLevel="0" collapsed="false">
      <c r="B28" s="63"/>
      <c r="C28" s="36" t="s">
        <v>122</v>
      </c>
      <c r="D28" s="95" t="n">
        <v>0</v>
      </c>
      <c r="E28" s="126" t="n">
        <f aca="false">D28</f>
        <v>0</v>
      </c>
      <c r="F28" s="126" t="n">
        <f aca="false">E28</f>
        <v>0</v>
      </c>
      <c r="G28" s="126" t="n">
        <f aca="false">F28</f>
        <v>0</v>
      </c>
      <c r="H28" s="126" t="n">
        <f aca="false">G28</f>
        <v>0</v>
      </c>
      <c r="I28" s="147" t="n">
        <f aca="false">SUM(D28:H28)</f>
        <v>0</v>
      </c>
    </row>
    <row r="29" customFormat="false" ht="12.75" hidden="false" customHeight="true" outlineLevel="0" collapsed="false">
      <c r="B29" s="63"/>
      <c r="C29" s="36" t="s">
        <v>123</v>
      </c>
      <c r="D29" s="95" t="n">
        <v>0</v>
      </c>
      <c r="E29" s="126"/>
      <c r="F29" s="126" t="n">
        <f aca="false">E29</f>
        <v>0</v>
      </c>
      <c r="G29" s="126" t="n">
        <f aca="false">F29</f>
        <v>0</v>
      </c>
      <c r="H29" s="126" t="n">
        <f aca="false">G29</f>
        <v>0</v>
      </c>
      <c r="I29" s="147" t="n">
        <f aca="false">H29</f>
        <v>0</v>
      </c>
    </row>
    <row r="30" customFormat="false" ht="12.75" hidden="false" customHeight="true" outlineLevel="0" collapsed="false">
      <c r="B30" s="63"/>
      <c r="C30" s="36" t="s">
        <v>124</v>
      </c>
      <c r="D30" s="95" t="n">
        <v>0</v>
      </c>
      <c r="E30" s="126" t="n">
        <f aca="false">D30</f>
        <v>0</v>
      </c>
      <c r="F30" s="126" t="n">
        <f aca="false">E30</f>
        <v>0</v>
      </c>
      <c r="G30" s="126" t="n">
        <f aca="false">F30</f>
        <v>0</v>
      </c>
      <c r="H30" s="126" t="n">
        <f aca="false">G30</f>
        <v>0</v>
      </c>
      <c r="I30" s="147" t="n">
        <f aca="false">SUM(D30:H30)</f>
        <v>0</v>
      </c>
    </row>
    <row r="31" customFormat="false" ht="12.75" hidden="false" customHeight="true" outlineLevel="0" collapsed="false">
      <c r="B31" s="63"/>
      <c r="C31" s="148" t="s">
        <v>125</v>
      </c>
      <c r="D31" s="109" t="n">
        <f aca="false">SUM(D26:D30)</f>
        <v>100000</v>
      </c>
      <c r="E31" s="109" t="n">
        <f aca="false">SUM(E26:E30)</f>
        <v>-79679.8668930359</v>
      </c>
      <c r="F31" s="109" t="n">
        <f aca="false">SUM(F26:F30)</f>
        <v>0</v>
      </c>
      <c r="G31" s="109" t="n">
        <f aca="false">SUM(G26:G30)</f>
        <v>18578.5681689048</v>
      </c>
      <c r="H31" s="109" t="n">
        <f aca="false">SUM(H26:H30)</f>
        <v>-92598.0798573919</v>
      </c>
      <c r="I31" s="149" t="n">
        <f aca="false">SUM(D31:H31)</f>
        <v>-53699.378581523</v>
      </c>
    </row>
    <row r="32" customFormat="false" ht="12.75" hidden="false" customHeight="true" outlineLevel="0" collapsed="false">
      <c r="B32" s="63"/>
      <c r="D32" s="94"/>
      <c r="E32" s="94"/>
      <c r="F32" s="94"/>
      <c r="G32" s="94"/>
      <c r="H32" s="94"/>
      <c r="I32" s="150"/>
    </row>
    <row r="33" customFormat="false" ht="12.75" hidden="false" customHeight="true" outlineLevel="0" collapsed="false">
      <c r="B33" s="39" t="s">
        <v>126</v>
      </c>
      <c r="D33" s="78" t="n">
        <f aca="false">D16+D23+D31</f>
        <v>97810.4014154888</v>
      </c>
      <c r="E33" s="78" t="n">
        <f aca="false">E16+E23+E31</f>
        <v>-81137.5662850341</v>
      </c>
      <c r="F33" s="78" t="n">
        <f aca="false">F16+F23+F31</f>
        <v>140600</v>
      </c>
      <c r="G33" s="78" t="n">
        <f aca="false">G16+G23+G31</f>
        <v>6309.28292904544</v>
      </c>
      <c r="H33" s="78" t="n">
        <f aca="false">H16+H23+H31</f>
        <v>-76189.0870375056</v>
      </c>
      <c r="I33" s="146" t="n">
        <f aca="false">SUM(D33:H33)</f>
        <v>87393.0310219944</v>
      </c>
    </row>
    <row r="34" customFormat="false" ht="12.75" hidden="false" customHeight="true" outlineLevel="0" collapsed="false">
      <c r="B34" s="63"/>
      <c r="D34" s="94"/>
      <c r="E34" s="94"/>
      <c r="F34" s="94"/>
      <c r="G34" s="94"/>
      <c r="H34" s="94"/>
      <c r="I34" s="151"/>
    </row>
    <row r="35" customFormat="false" ht="12.75" hidden="false" customHeight="true" outlineLevel="0" collapsed="false">
      <c r="B35" s="152" t="s">
        <v>127</v>
      </c>
      <c r="C35" s="80"/>
      <c r="D35" s="153" t="n">
        <f aca="false">50000</f>
        <v>50000</v>
      </c>
      <c r="E35" s="153" t="n">
        <f aca="false">D36</f>
        <v>147810.401415489</v>
      </c>
      <c r="F35" s="153" t="n">
        <f aca="false">E36</f>
        <v>66672.8351304546</v>
      </c>
      <c r="G35" s="153"/>
      <c r="H35" s="153" t="n">
        <f aca="false">G36</f>
        <v>6309.28292904544</v>
      </c>
      <c r="I35" s="154" t="n">
        <f aca="false">H36</f>
        <v>-69879.8041084602</v>
      </c>
    </row>
    <row r="36" customFormat="false" ht="13.5" hidden="false" customHeight="true" outlineLevel="0" collapsed="false">
      <c r="B36" s="155" t="s">
        <v>128</v>
      </c>
      <c r="C36" s="156"/>
      <c r="D36" s="157" t="n">
        <f aca="false">D35+D33</f>
        <v>147810.401415489</v>
      </c>
      <c r="E36" s="157" t="n">
        <f aca="false">E35+E33</f>
        <v>66672.8351304546</v>
      </c>
      <c r="F36" s="157" t="n">
        <f aca="false">F35+F33</f>
        <v>207272.835130455</v>
      </c>
      <c r="G36" s="157" t="n">
        <f aca="false">G35+G33</f>
        <v>6309.28292904544</v>
      </c>
      <c r="H36" s="157" t="n">
        <f aca="false">H35+H33</f>
        <v>-69879.8041084602</v>
      </c>
      <c r="I36" s="158" t="n">
        <f aca="false">I35+I33</f>
        <v>17513.2269135343</v>
      </c>
    </row>
  </sheetData>
  <printOptions headings="false" gridLines="false" gridLinesSet="true" horizontalCentered="true" verticalCentered="false"/>
  <pageMargins left="0.747916666666667" right="0.747916666666667" top="0.470138888888889" bottom="0.5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CC"/>
    <pageSetUpPr fitToPage="true"/>
  </sheetPr>
  <dimension ref="A1:G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1" width="19.97"/>
    <col collapsed="false" customWidth="true" hidden="false" outlineLevel="0" max="3" min="3" style="1" width="12.12"/>
    <col collapsed="false" customWidth="true" hidden="false" outlineLevel="0" max="4" min="4" style="159" width="17.4"/>
    <col collapsed="false" customWidth="true" hidden="false" outlineLevel="0" max="5" min="5" style="160" width="17.97"/>
    <col collapsed="false" customWidth="true" hidden="false" outlineLevel="0" max="6" min="6" style="161" width="10.55"/>
    <col collapsed="false" customWidth="true" hidden="false" outlineLevel="0" max="7" min="7" style="161" width="10.27"/>
    <col collapsed="false" customWidth="false" hidden="false" outlineLevel="0" max="257" min="8" style="1" width="9.13"/>
  </cols>
  <sheetData>
    <row r="1" customFormat="false" ht="15.75" hidden="false" customHeight="true" outlineLevel="0" collapsed="false">
      <c r="B1" s="3" t="str">
        <f aca="false">+'Model Inputs'!B1</f>
        <v>[Company Name]</v>
      </c>
    </row>
    <row r="2" customFormat="false" ht="15.75" hidden="false" customHeight="true" outlineLevel="0" collapsed="false">
      <c r="B2" s="3" t="str">
        <f aca="false">+'Model Inputs'!B2</f>
        <v>5-Year Financial Plan—Manufacturing</v>
      </c>
    </row>
    <row r="3" customFormat="false" ht="15.75" hidden="false" customHeight="true" outlineLevel="0" collapsed="false">
      <c r="B3" s="3" t="s">
        <v>129</v>
      </c>
    </row>
    <row r="4" customFormat="false" ht="13.5" hidden="false" customHeight="true" outlineLevel="0" collapsed="false">
      <c r="A4" s="84"/>
    </row>
    <row r="5" customFormat="false" ht="12.75" hidden="false" customHeight="true" outlineLevel="0" collapsed="false">
      <c r="B5" s="162" t="s">
        <v>130</v>
      </c>
      <c r="C5" s="163" t="n">
        <v>0.05</v>
      </c>
      <c r="E5" s="164" t="s">
        <v>131</v>
      </c>
      <c r="F5" s="164"/>
      <c r="G5" s="164"/>
    </row>
    <row r="6" customFormat="false" ht="12.75" hidden="false" customHeight="true" outlineLevel="0" collapsed="false">
      <c r="B6" s="63" t="s">
        <v>132</v>
      </c>
      <c r="C6" s="163" t="n">
        <f aca="false">(1+C5)^(1/12)-1</f>
        <v>0.00407412378364835</v>
      </c>
      <c r="D6" s="163"/>
      <c r="E6" s="164"/>
      <c r="F6" s="164"/>
      <c r="G6" s="164"/>
    </row>
    <row r="7" customFormat="false" ht="13.5" hidden="false" customHeight="true" outlineLevel="0" collapsed="false">
      <c r="B7" s="63" t="s">
        <v>133</v>
      </c>
      <c r="C7" s="165" t="n">
        <f aca="false">+'Model Inputs'!C44</f>
        <v>80000</v>
      </c>
      <c r="E7" s="164"/>
      <c r="F7" s="164"/>
      <c r="G7" s="164"/>
    </row>
    <row r="8" customFormat="false" ht="12.75" hidden="false" customHeight="true" outlineLevel="0" collapsed="false">
      <c r="B8" s="63" t="s">
        <v>134</v>
      </c>
      <c r="C8" s="166" t="n">
        <v>60</v>
      </c>
    </row>
    <row r="9" customFormat="false" ht="13.5" hidden="false" customHeight="true" outlineLevel="0" collapsed="false">
      <c r="B9" s="57" t="s">
        <v>135</v>
      </c>
      <c r="C9" s="167" t="n">
        <f aca="false">PMT(C6,C8,C7)</f>
        <v>-1505.63186956439</v>
      </c>
    </row>
    <row r="10" customFormat="false" ht="13.5" hidden="false" customHeight="true" outlineLevel="0" collapsed="false">
      <c r="C10" s="168"/>
    </row>
    <row r="11" s="36" customFormat="true" ht="12.75" hidden="false" customHeight="true" outlineLevel="0" collapsed="false">
      <c r="C11" s="169" t="s">
        <v>136</v>
      </c>
      <c r="D11" s="170" t="s">
        <v>137</v>
      </c>
      <c r="E11" s="171" t="s">
        <v>138</v>
      </c>
      <c r="F11" s="170" t="s">
        <v>139</v>
      </c>
      <c r="G11" s="172" t="s">
        <v>135</v>
      </c>
    </row>
    <row r="12" customFormat="false" ht="12.75" hidden="false" customHeight="true" outlineLevel="0" collapsed="false">
      <c r="C12" s="173" t="n">
        <v>1</v>
      </c>
      <c r="D12" s="174" t="n">
        <f aca="false">C7</f>
        <v>80000</v>
      </c>
      <c r="E12" s="175" t="n">
        <f aca="false">G12-F12</f>
        <v>-1179.70196687252</v>
      </c>
      <c r="F12" s="176" t="n">
        <f aca="false">-$C$6*D12</f>
        <v>-325.929902691868</v>
      </c>
      <c r="G12" s="177" t="n">
        <f aca="false">IF(C12&gt;$C$8,0,$C$9)</f>
        <v>-1505.63186956439</v>
      </c>
    </row>
    <row r="13" customFormat="false" ht="12.75" hidden="false" customHeight="true" outlineLevel="0" collapsed="false">
      <c r="C13" s="178" t="n">
        <v>2</v>
      </c>
      <c r="D13" s="179" t="n">
        <f aca="false">D12+E12</f>
        <v>78820.2980331275</v>
      </c>
      <c r="E13" s="180" t="n">
        <f aca="false">G13-F13</f>
        <v>-1184.50821871337</v>
      </c>
      <c r="F13" s="176" t="n">
        <f aca="false">-$C$6*D13</f>
        <v>-321.123650851016</v>
      </c>
      <c r="G13" s="177" t="n">
        <f aca="false">IF(C13&gt;$C$8,0,$C$9)</f>
        <v>-1505.63186956439</v>
      </c>
    </row>
    <row r="14" customFormat="false" ht="12.75" hidden="false" customHeight="true" outlineLevel="0" collapsed="false">
      <c r="C14" s="178" t="n">
        <v>3</v>
      </c>
      <c r="D14" s="179" t="n">
        <f aca="false">D13+E13</f>
        <v>77635.7898144141</v>
      </c>
      <c r="E14" s="180" t="n">
        <f aca="false">G14-F14</f>
        <v>-1189.33405181916</v>
      </c>
      <c r="F14" s="176" t="n">
        <f aca="false">-$C$6*D14</f>
        <v>-316.297817745229</v>
      </c>
      <c r="G14" s="177" t="n">
        <f aca="false">IF(C14&gt;$C$8,0,$C$9)</f>
        <v>-1505.63186956439</v>
      </c>
    </row>
    <row r="15" customFormat="false" ht="12.75" hidden="false" customHeight="true" outlineLevel="0" collapsed="false">
      <c r="C15" s="178" t="n">
        <v>4</v>
      </c>
      <c r="D15" s="179" t="n">
        <f aca="false">D14+E14</f>
        <v>76446.455762595</v>
      </c>
      <c r="E15" s="180" t="n">
        <f aca="false">G15-F15</f>
        <v>-1194.17954596638</v>
      </c>
      <c r="F15" s="176" t="n">
        <f aca="false">-$C$6*D15</f>
        <v>-311.45232359801</v>
      </c>
      <c r="G15" s="177" t="n">
        <f aca="false">IF(C15&gt;$C$8,0,$C$9)</f>
        <v>-1505.63186956439</v>
      </c>
    </row>
    <row r="16" customFormat="false" ht="12.75" hidden="false" customHeight="true" outlineLevel="0" collapsed="false">
      <c r="C16" s="178" t="n">
        <v>5</v>
      </c>
      <c r="D16" s="179" t="n">
        <f aca="false">D15+E15</f>
        <v>75252.2762166286</v>
      </c>
      <c r="E16" s="180" t="n">
        <f aca="false">G16-F16</f>
        <v>-1199.04478125655</v>
      </c>
      <c r="F16" s="176" t="n">
        <f aca="false">-$C$6*D16</f>
        <v>-306.587088307842</v>
      </c>
      <c r="G16" s="177" t="n">
        <f aca="false">IF(C16&gt;$C$8,0,$C$9)</f>
        <v>-1505.63186956439</v>
      </c>
    </row>
    <row r="17" customFormat="false" ht="12.75" hidden="false" customHeight="true" outlineLevel="0" collapsed="false">
      <c r="C17" s="178" t="n">
        <v>6</v>
      </c>
      <c r="D17" s="179" t="n">
        <f aca="false">D16+E16</f>
        <v>74053.231435372</v>
      </c>
      <c r="E17" s="180" t="n">
        <f aca="false">G17-F17</f>
        <v>-1203.92983811753</v>
      </c>
      <c r="F17" s="176" t="n">
        <f aca="false">-$C$6*D17</f>
        <v>-301.702031446865</v>
      </c>
      <c r="G17" s="177" t="n">
        <f aca="false">IF(C17&gt;$C$8,0,$C$9)</f>
        <v>-1505.63186956439</v>
      </c>
    </row>
    <row r="18" customFormat="false" ht="12.75" hidden="false" customHeight="true" outlineLevel="0" collapsed="false">
      <c r="C18" s="178" t="n">
        <v>7</v>
      </c>
      <c r="D18" s="179" t="n">
        <f aca="false">D17+E17</f>
        <v>72849.3015972545</v>
      </c>
      <c r="E18" s="180" t="n">
        <f aca="false">G18-F18</f>
        <v>-1208.83479730484</v>
      </c>
      <c r="F18" s="176" t="n">
        <f aca="false">-$C$6*D18</f>
        <v>-296.797072259546</v>
      </c>
      <c r="G18" s="177" t="n">
        <f aca="false">IF(C18&gt;$C$8,0,$C$9)</f>
        <v>-1505.63186956439</v>
      </c>
    </row>
    <row r="19" customFormat="false" ht="12.75" hidden="false" customHeight="true" outlineLevel="0" collapsed="false">
      <c r="C19" s="178" t="n">
        <v>8</v>
      </c>
      <c r="D19" s="179" t="n">
        <f aca="false">D18+E18</f>
        <v>71640.4667999496</v>
      </c>
      <c r="E19" s="180" t="n">
        <f aca="false">G19-F19</f>
        <v>-1213.75973990305</v>
      </c>
      <c r="F19" s="176" t="n">
        <f aca="false">-$C$6*D19</f>
        <v>-291.872129661345</v>
      </c>
      <c r="G19" s="177" t="n">
        <f aca="false">IF(C19&gt;$C$8,0,$C$9)</f>
        <v>-1505.63186956439</v>
      </c>
    </row>
    <row r="20" customFormat="false" ht="12.75" hidden="false" customHeight="true" outlineLevel="0" collapsed="false">
      <c r="C20" s="178" t="n">
        <v>9</v>
      </c>
      <c r="D20" s="179" t="n">
        <f aca="false">D19+E19</f>
        <v>70426.7070600466</v>
      </c>
      <c r="E20" s="180" t="n">
        <f aca="false">G20-F20</f>
        <v>-1218.70474732702</v>
      </c>
      <c r="F20" s="176" t="n">
        <f aca="false">-$C$6*D20</f>
        <v>-286.927122237371</v>
      </c>
      <c r="G20" s="177" t="n">
        <f aca="false">IF(C20&gt;$C$8,0,$C$9)</f>
        <v>-1505.63186956439</v>
      </c>
    </row>
    <row r="21" customFormat="false" ht="12.75" hidden="false" customHeight="true" outlineLevel="0" collapsed="false">
      <c r="C21" s="178" t="n">
        <v>10</v>
      </c>
      <c r="D21" s="179" t="n">
        <f aca="false">D20+E20</f>
        <v>69208.0023127196</v>
      </c>
      <c r="E21" s="180" t="n">
        <f aca="false">G21-F21</f>
        <v>-1223.66990132335</v>
      </c>
      <c r="F21" s="176" t="n">
        <f aca="false">-$C$6*D21</f>
        <v>-281.961968241041</v>
      </c>
      <c r="G21" s="177" t="n">
        <f aca="false">IF(C21&gt;$C$8,0,$C$9)</f>
        <v>-1505.63186956439</v>
      </c>
    </row>
    <row r="22" customFormat="false" ht="12.75" hidden="false" customHeight="true" outlineLevel="0" collapsed="false">
      <c r="C22" s="178" t="n">
        <v>11</v>
      </c>
      <c r="D22" s="179" t="n">
        <f aca="false">D21+E21</f>
        <v>67984.3324113962</v>
      </c>
      <c r="E22" s="180" t="n">
        <f aca="false">G22-F22</f>
        <v>-1228.65528397167</v>
      </c>
      <c r="F22" s="176" t="n">
        <f aca="false">-$C$6*D22</f>
        <v>-276.976585592725</v>
      </c>
      <c r="G22" s="177" t="n">
        <f aca="false">IF(C22&gt;$C$8,0,$C$9)</f>
        <v>-1505.63186956439</v>
      </c>
    </row>
    <row r="23" customFormat="false" ht="12.75" hidden="false" customHeight="true" outlineLevel="0" collapsed="false">
      <c r="C23" s="178" t="n">
        <v>12</v>
      </c>
      <c r="D23" s="179" t="n">
        <f aca="false">D22+E22</f>
        <v>66755.6771274246</v>
      </c>
      <c r="E23" s="180" t="n">
        <f aca="false">G23-F23</f>
        <v>-1233.660977686</v>
      </c>
      <c r="F23" s="176" t="n">
        <f aca="false">-$C$6*D23</f>
        <v>-271.970891878391</v>
      </c>
      <c r="G23" s="177" t="n">
        <f aca="false">IF(C23&gt;$C$8,0,$C$9)</f>
        <v>-1505.63186956439</v>
      </c>
    </row>
    <row r="24" customFormat="false" ht="12.75" hidden="false" customHeight="true" outlineLevel="0" collapsed="false">
      <c r="C24" s="178" t="n">
        <v>13</v>
      </c>
      <c r="D24" s="179" t="n">
        <f aca="false">D23+E23</f>
        <v>65522.0161497386</v>
      </c>
      <c r="E24" s="180" t="n">
        <f aca="false">G24-F24</f>
        <v>-1238.68706521615</v>
      </c>
      <c r="F24" s="176" t="n">
        <f aca="false">-$C$6*D24</f>
        <v>-266.944804348241</v>
      </c>
      <c r="G24" s="177" t="n">
        <f aca="false">IF(C24&gt;$C$8,0,$C$9)</f>
        <v>-1505.63186956439</v>
      </c>
    </row>
    <row r="25" customFormat="false" ht="12.75" hidden="false" customHeight="true" outlineLevel="0" collapsed="false">
      <c r="C25" s="178" t="n">
        <v>14</v>
      </c>
      <c r="D25" s="179" t="n">
        <f aca="false">D24+E24</f>
        <v>64283.3290845224</v>
      </c>
      <c r="E25" s="180" t="n">
        <f aca="false">G25-F25</f>
        <v>-1243.73362964904</v>
      </c>
      <c r="F25" s="176" t="n">
        <f aca="false">-$C$6*D25</f>
        <v>-261.898239915347</v>
      </c>
      <c r="G25" s="177" t="n">
        <f aca="false">IF(C25&gt;$C$8,0,$C$9)</f>
        <v>-1505.63186956439</v>
      </c>
    </row>
    <row r="26" customFormat="false" ht="12.75" hidden="false" customHeight="true" outlineLevel="0" collapsed="false">
      <c r="C26" s="178" t="n">
        <v>15</v>
      </c>
      <c r="D26" s="179" t="n">
        <f aca="false">D25+E25</f>
        <v>63039.5954548734</v>
      </c>
      <c r="E26" s="180" t="n">
        <f aca="false">G26-F26</f>
        <v>-1248.80075441012</v>
      </c>
      <c r="F26" s="176" t="n">
        <f aca="false">-$C$6*D26</f>
        <v>-256.83111515427</v>
      </c>
      <c r="G26" s="177" t="n">
        <f aca="false">IF(C26&gt;$C$8,0,$C$9)</f>
        <v>-1505.63186956439</v>
      </c>
    </row>
    <row r="27" customFormat="false" ht="12.75" hidden="false" customHeight="true" outlineLevel="0" collapsed="false">
      <c r="C27" s="178" t="n">
        <v>16</v>
      </c>
      <c r="D27" s="179" t="n">
        <f aca="false">D26+E26</f>
        <v>61790.7947004633</v>
      </c>
      <c r="E27" s="180" t="n">
        <f aca="false">G27-F27</f>
        <v>-1253.8885232647</v>
      </c>
      <c r="F27" s="176" t="n">
        <f aca="false">-$C$6*D27</f>
        <v>-251.74334629969</v>
      </c>
      <c r="G27" s="177" t="n">
        <f aca="false">IF(C27&gt;$C$8,0,$C$9)</f>
        <v>-1505.63186956439</v>
      </c>
    </row>
    <row r="28" customFormat="false" ht="12.75" hidden="false" customHeight="true" outlineLevel="0" collapsed="false">
      <c r="C28" s="178" t="n">
        <v>17</v>
      </c>
      <c r="D28" s="179" t="n">
        <f aca="false">D27+E27</f>
        <v>60536.9061771986</v>
      </c>
      <c r="E28" s="180" t="n">
        <f aca="false">G28-F28</f>
        <v>-1258.99702031938</v>
      </c>
      <c r="F28" s="176" t="n">
        <f aca="false">-$C$6*D28</f>
        <v>-246.634849245014</v>
      </c>
      <c r="G28" s="177" t="n">
        <f aca="false">IF(C28&gt;$C$8,0,$C$9)</f>
        <v>-1505.63186956439</v>
      </c>
    </row>
    <row r="29" customFormat="false" ht="12.75" hidden="false" customHeight="true" outlineLevel="0" collapsed="false">
      <c r="C29" s="178" t="n">
        <v>18</v>
      </c>
      <c r="D29" s="179" t="n">
        <f aca="false">D28+E28</f>
        <v>59277.9091568792</v>
      </c>
      <c r="E29" s="180" t="n">
        <f aca="false">G29-F29</f>
        <v>-1264.1263300234</v>
      </c>
      <c r="F29" s="176" t="n">
        <f aca="false">-$C$6*D29</f>
        <v>-241.505539540988</v>
      </c>
      <c r="G29" s="177" t="n">
        <f aca="false">IF(C29&gt;$C$8,0,$C$9)</f>
        <v>-1505.63186956439</v>
      </c>
    </row>
    <row r="30" customFormat="false" ht="12.75" hidden="false" customHeight="true" outlineLevel="0" collapsed="false">
      <c r="C30" s="178" t="n">
        <v>19</v>
      </c>
      <c r="D30" s="179" t="n">
        <f aca="false">D29+E29</f>
        <v>58013.7828268558</v>
      </c>
      <c r="E30" s="180" t="n">
        <f aca="false">G30-F30</f>
        <v>-1269.27653717009</v>
      </c>
      <c r="F30" s="176" t="n">
        <f aca="false">-$C$6*D30</f>
        <v>-236.355332394304</v>
      </c>
      <c r="G30" s="177" t="n">
        <f aca="false">IF(C30&gt;$C$8,0,$C$9)</f>
        <v>-1505.63186956439</v>
      </c>
    </row>
    <row r="31" customFormat="false" ht="12.75" hidden="false" customHeight="true" outlineLevel="0" collapsed="false">
      <c r="C31" s="178" t="n">
        <v>20</v>
      </c>
      <c r="D31" s="179" t="n">
        <f aca="false">D30+E30</f>
        <v>56744.5062896857</v>
      </c>
      <c r="E31" s="180" t="n">
        <f aca="false">G31-F31</f>
        <v>-1274.4477268982</v>
      </c>
      <c r="F31" s="176" t="n">
        <f aca="false">-$C$6*D31</f>
        <v>-231.184142666192</v>
      </c>
      <c r="G31" s="177" t="n">
        <f aca="false">IF(C31&gt;$C$8,0,$C$9)</f>
        <v>-1505.63186956439</v>
      </c>
    </row>
    <row r="32" customFormat="false" ht="12.75" hidden="false" customHeight="true" outlineLevel="0" collapsed="false">
      <c r="C32" s="178" t="n">
        <v>21</v>
      </c>
      <c r="D32" s="179" t="n">
        <f aca="false">D31+E31</f>
        <v>55470.0585627875</v>
      </c>
      <c r="E32" s="180" t="n">
        <f aca="false">G32-F32</f>
        <v>-1279.63998469337</v>
      </c>
      <c r="F32" s="176" t="n">
        <f aca="false">-$C$6*D32</f>
        <v>-225.99188487102</v>
      </c>
      <c r="G32" s="177" t="n">
        <f aca="false">IF(C32&gt;$C$8,0,$C$9)</f>
        <v>-1505.63186956439</v>
      </c>
    </row>
    <row r="33" customFormat="false" ht="12.75" hidden="false" customHeight="true" outlineLevel="0" collapsed="false">
      <c r="C33" s="178" t="n">
        <v>22</v>
      </c>
      <c r="D33" s="179" t="n">
        <f aca="false">D32+E32</f>
        <v>54190.4185780941</v>
      </c>
      <c r="E33" s="180" t="n">
        <f aca="false">G33-F33</f>
        <v>-1284.85339638952</v>
      </c>
      <c r="F33" s="176" t="n">
        <f aca="false">-$C$6*D33</f>
        <v>-220.778473174873</v>
      </c>
      <c r="G33" s="177" t="n">
        <f aca="false">IF(C33&gt;$C$8,0,$C$9)</f>
        <v>-1505.63186956439</v>
      </c>
    </row>
    <row r="34" customFormat="false" ht="12.75" hidden="false" customHeight="true" outlineLevel="0" collapsed="false">
      <c r="C34" s="178" t="n">
        <v>23</v>
      </c>
      <c r="D34" s="179" t="n">
        <f aca="false">D33+E33</f>
        <v>52905.5651817046</v>
      </c>
      <c r="E34" s="180" t="n">
        <f aca="false">G34-F34</f>
        <v>-1290.08804817025</v>
      </c>
      <c r="F34" s="176" t="n">
        <f aca="false">-$C$6*D34</f>
        <v>-215.543821394141</v>
      </c>
      <c r="G34" s="177" t="n">
        <f aca="false">IF(C34&gt;$C$8,0,$C$9)</f>
        <v>-1505.63186956439</v>
      </c>
    </row>
    <row r="35" customFormat="false" ht="12.75" hidden="false" customHeight="true" outlineLevel="0" collapsed="false">
      <c r="C35" s="178" t="n">
        <v>24</v>
      </c>
      <c r="D35" s="179" t="n">
        <f aca="false">D34+E34</f>
        <v>51615.4771335344</v>
      </c>
      <c r="E35" s="180" t="n">
        <f aca="false">G35-F35</f>
        <v>-1295.3440265703</v>
      </c>
      <c r="F35" s="176" t="n">
        <f aca="false">-$C$6*D35</f>
        <v>-210.28784299409</v>
      </c>
      <c r="G35" s="177" t="n">
        <f aca="false">IF(C35&gt;$C$8,0,$C$9)</f>
        <v>-1505.63186956439</v>
      </c>
    </row>
    <row r="36" customFormat="false" ht="12.75" hidden="false" customHeight="true" outlineLevel="0" collapsed="false">
      <c r="C36" s="178" t="n">
        <v>25</v>
      </c>
      <c r="D36" s="179" t="n">
        <f aca="false">D35+E35</f>
        <v>50320.1331069641</v>
      </c>
      <c r="E36" s="180" t="n">
        <f aca="false">G36-F36</f>
        <v>-1300.62141847696</v>
      </c>
      <c r="F36" s="176" t="n">
        <f aca="false">-$C$6*D36</f>
        <v>-205.010451087433</v>
      </c>
      <c r="G36" s="177" t="n">
        <f aca="false">IF(C36&gt;$C$8,0,$C$9)</f>
        <v>-1505.63186956439</v>
      </c>
    </row>
    <row r="37" customFormat="false" ht="12.75" hidden="false" customHeight="true" outlineLevel="0" collapsed="false">
      <c r="C37" s="178" t="n">
        <v>26</v>
      </c>
      <c r="D37" s="179" t="n">
        <f aca="false">D36+E36</f>
        <v>49019.5116884871</v>
      </c>
      <c r="E37" s="180" t="n">
        <f aca="false">G37-F37</f>
        <v>-1305.9203111315</v>
      </c>
      <c r="F37" s="176" t="n">
        <f aca="false">-$C$6*D37</f>
        <v>-199.711558432894</v>
      </c>
      <c r="G37" s="177" t="n">
        <f aca="false">IF(C37&gt;$C$8,0,$C$9)</f>
        <v>-1505.63186956439</v>
      </c>
    </row>
    <row r="38" customFormat="false" ht="12.75" hidden="false" customHeight="true" outlineLevel="0" collapsed="false">
      <c r="C38" s="178" t="n">
        <v>27</v>
      </c>
      <c r="D38" s="179" t="n">
        <f aca="false">D37+E37</f>
        <v>47713.5913773556</v>
      </c>
      <c r="E38" s="180" t="n">
        <f aca="false">G38-F38</f>
        <v>-1311.24079213063</v>
      </c>
      <c r="F38" s="176" t="n">
        <f aca="false">-$C$6*D38</f>
        <v>-194.391077433763</v>
      </c>
      <c r="G38" s="177" t="n">
        <f aca="false">IF(C38&gt;$C$8,0,$C$9)</f>
        <v>-1505.63186956439</v>
      </c>
    </row>
    <row r="39" customFormat="false" ht="12.75" hidden="false" customHeight="true" outlineLevel="0" collapsed="false">
      <c r="C39" s="178" t="n">
        <v>28</v>
      </c>
      <c r="D39" s="179" t="n">
        <f aca="false">D38+E38</f>
        <v>46402.350585225</v>
      </c>
      <c r="E39" s="180" t="n">
        <f aca="false">G39-F39</f>
        <v>-1316.58294942794</v>
      </c>
      <c r="F39" s="176" t="n">
        <f aca="false">-$C$6*D39</f>
        <v>-189.048920136454</v>
      </c>
      <c r="G39" s="177" t="n">
        <f aca="false">IF(C39&gt;$C$8,0,$C$9)</f>
        <v>-1505.63186956439</v>
      </c>
    </row>
    <row r="40" customFormat="false" ht="12.75" hidden="false" customHeight="true" outlineLevel="0" collapsed="false">
      <c r="C40" s="178" t="n">
        <v>29</v>
      </c>
      <c r="D40" s="179" t="n">
        <f aca="false">D39+E39</f>
        <v>45085.767635797</v>
      </c>
      <c r="E40" s="180" t="n">
        <f aca="false">G40-F40</f>
        <v>-1321.94687133535</v>
      </c>
      <c r="F40" s="176" t="n">
        <f aca="false">-$C$6*D40</f>
        <v>-183.684998229044</v>
      </c>
      <c r="G40" s="177" t="n">
        <f aca="false">IF(C40&gt;$C$8,0,$C$9)</f>
        <v>-1505.63186956439</v>
      </c>
    </row>
    <row r="41" customFormat="false" ht="12.75" hidden="false" customHeight="true" outlineLevel="0" collapsed="false">
      <c r="C41" s="178" t="n">
        <v>30</v>
      </c>
      <c r="D41" s="179" t="n">
        <f aca="false">D40+E40</f>
        <v>43763.8207644617</v>
      </c>
      <c r="E41" s="180" t="n">
        <f aca="false">G41-F41</f>
        <v>-1327.33264652457</v>
      </c>
      <c r="F41" s="176" t="n">
        <f aca="false">-$C$6*D41</f>
        <v>-178.299223039817</v>
      </c>
      <c r="G41" s="177" t="n">
        <f aca="false">IF(C41&gt;$C$8,0,$C$9)</f>
        <v>-1505.63186956439</v>
      </c>
    </row>
    <row r="42" customFormat="false" ht="12.75" hidden="false" customHeight="true" outlineLevel="0" collapsed="false">
      <c r="C42" s="178" t="n">
        <v>31</v>
      </c>
      <c r="D42" s="179" t="n">
        <f aca="false">D41+E41</f>
        <v>42436.4881179371</v>
      </c>
      <c r="E42" s="180" t="n">
        <f aca="false">G42-F42</f>
        <v>-1332.74036402859</v>
      </c>
      <c r="F42" s="176" t="n">
        <f aca="false">-$C$6*D42</f>
        <v>-172.891505535798</v>
      </c>
      <c r="G42" s="177" t="n">
        <f aca="false">IF(C42&gt;$C$8,0,$C$9)</f>
        <v>-1505.63186956439</v>
      </c>
    </row>
    <row r="43" customFormat="false" ht="12.75" hidden="false" customHeight="true" outlineLevel="0" collapsed="false">
      <c r="C43" s="178" t="n">
        <v>32</v>
      </c>
      <c r="D43" s="179" t="n">
        <f aca="false">D42+E42</f>
        <v>41103.7477539085</v>
      </c>
      <c r="E43" s="180" t="n">
        <f aca="false">G43-F43</f>
        <v>-1338.17011324311</v>
      </c>
      <c r="F43" s="176" t="n">
        <f aca="false">-$C$6*D43</f>
        <v>-167.461756321281</v>
      </c>
      <c r="G43" s="177" t="n">
        <f aca="false">IF(C43&gt;$C$8,0,$C$9)</f>
        <v>-1505.63186956439</v>
      </c>
    </row>
    <row r="44" customFormat="false" ht="12.75" hidden="false" customHeight="true" outlineLevel="0" collapsed="false">
      <c r="C44" s="178" t="n">
        <v>33</v>
      </c>
      <c r="D44" s="179" t="n">
        <f aca="false">D43+E43</f>
        <v>39765.5776406654</v>
      </c>
      <c r="E44" s="180" t="n">
        <f aca="false">G44-F44</f>
        <v>-1343.62198392804</v>
      </c>
      <c r="F44" s="176" t="n">
        <f aca="false">-$C$6*D44</f>
        <v>-162.00988563635</v>
      </c>
      <c r="G44" s="177" t="n">
        <f aca="false">IF(C44&gt;$C$8,0,$C$9)</f>
        <v>-1505.63186956439</v>
      </c>
    </row>
    <row r="45" customFormat="false" ht="12.75" hidden="false" customHeight="true" outlineLevel="0" collapsed="false">
      <c r="C45" s="178" t="n">
        <v>34</v>
      </c>
      <c r="D45" s="179" t="n">
        <f aca="false">D44+E44</f>
        <v>38421.9556567374</v>
      </c>
      <c r="E45" s="180" t="n">
        <f aca="false">G45-F45</f>
        <v>-1349.09606620899</v>
      </c>
      <c r="F45" s="176" t="n">
        <f aca="false">-$C$6*D45</f>
        <v>-156.535803355396</v>
      </c>
      <c r="G45" s="177" t="n">
        <f aca="false">IF(C45&gt;$C$8,0,$C$9)</f>
        <v>-1505.63186956439</v>
      </c>
    </row>
    <row r="46" customFormat="false" ht="12.75" hidden="false" customHeight="true" outlineLevel="0" collapsed="false">
      <c r="C46" s="178" t="n">
        <v>35</v>
      </c>
      <c r="D46" s="179" t="n">
        <f aca="false">D45+E45</f>
        <v>37072.8595905284</v>
      </c>
      <c r="E46" s="180" t="n">
        <f aca="false">G46-F46</f>
        <v>-1354.59245057876</v>
      </c>
      <c r="F46" s="176" t="n">
        <f aca="false">-$C$6*D46</f>
        <v>-151.039418985628</v>
      </c>
      <c r="G46" s="177" t="n">
        <f aca="false">IF(C46&gt;$C$8,0,$C$9)</f>
        <v>-1505.63186956439</v>
      </c>
    </row>
    <row r="47" customFormat="false" ht="12.75" hidden="false" customHeight="true" outlineLevel="0" collapsed="false">
      <c r="C47" s="178" t="n">
        <v>36</v>
      </c>
      <c r="D47" s="179" t="n">
        <f aca="false">D46+E46</f>
        <v>35718.2671399496</v>
      </c>
      <c r="E47" s="180" t="n">
        <f aca="false">G47-F47</f>
        <v>-1360.11122789882</v>
      </c>
      <c r="F47" s="176" t="n">
        <f aca="false">-$C$6*D47</f>
        <v>-145.520641665574</v>
      </c>
      <c r="G47" s="177" t="n">
        <f aca="false">IF(C47&gt;$C$8,0,$C$9)</f>
        <v>-1505.63186956439</v>
      </c>
    </row>
    <row r="48" customFormat="false" ht="12.75" hidden="false" customHeight="true" outlineLevel="0" collapsed="false">
      <c r="C48" s="178" t="n">
        <v>37</v>
      </c>
      <c r="D48" s="179" t="n">
        <f aca="false">D47+E47</f>
        <v>34358.1559120508</v>
      </c>
      <c r="E48" s="180" t="n">
        <f aca="false">G48-F48</f>
        <v>-1365.65248940081</v>
      </c>
      <c r="F48" s="176" t="n">
        <f aca="false">-$C$6*D48</f>
        <v>-139.979380163584</v>
      </c>
      <c r="G48" s="177" t="n">
        <f aca="false">IF(C48&gt;$C$8,0,$C$9)</f>
        <v>-1505.63186956439</v>
      </c>
    </row>
    <row r="49" customFormat="false" ht="12.75" hidden="false" customHeight="true" outlineLevel="0" collapsed="false">
      <c r="C49" s="178" t="n">
        <v>38</v>
      </c>
      <c r="D49" s="179" t="n">
        <f aca="false">D48+E48</f>
        <v>32992.50342265</v>
      </c>
      <c r="E49" s="180" t="n">
        <f aca="false">G49-F49</f>
        <v>-1371.21632668807</v>
      </c>
      <c r="F49" s="176" t="n">
        <f aca="false">-$C$6*D49</f>
        <v>-134.415542876318</v>
      </c>
      <c r="G49" s="177" t="n">
        <f aca="false">IF(C49&gt;$C$8,0,$C$9)</f>
        <v>-1505.63186956439</v>
      </c>
    </row>
    <row r="50" customFormat="false" ht="12.75" hidden="false" customHeight="true" outlineLevel="0" collapsed="false">
      <c r="C50" s="178" t="n">
        <v>39</v>
      </c>
      <c r="D50" s="179" t="n">
        <f aca="false">D49+E49</f>
        <v>31621.2870959619</v>
      </c>
      <c r="E50" s="180" t="n">
        <f aca="false">G50-F50</f>
        <v>-1376.80283173716</v>
      </c>
      <c r="F50" s="176" t="n">
        <f aca="false">-$C$6*D50</f>
        <v>-128.829037827231</v>
      </c>
      <c r="G50" s="177" t="n">
        <f aca="false">IF(C50&gt;$C$8,0,$C$9)</f>
        <v>-1505.63186956439</v>
      </c>
    </row>
    <row r="51" customFormat="false" ht="12.75" hidden="false" customHeight="true" outlineLevel="0" collapsed="false">
      <c r="C51" s="178" t="n">
        <v>40</v>
      </c>
      <c r="D51" s="179" t="n">
        <f aca="false">D50+E50</f>
        <v>30244.4842642248</v>
      </c>
      <c r="E51" s="180" t="n">
        <f aca="false">G51-F51</f>
        <v>-1382.41209689933</v>
      </c>
      <c r="F51" s="176" t="n">
        <f aca="false">-$C$6*D51</f>
        <v>-123.219772665056</v>
      </c>
      <c r="G51" s="177" t="n">
        <f aca="false">IF(C51&gt;$C$8,0,$C$9)</f>
        <v>-1505.63186956439</v>
      </c>
    </row>
    <row r="52" customFormat="false" ht="12.75" hidden="false" customHeight="true" outlineLevel="0" collapsed="false">
      <c r="C52" s="178" t="n">
        <v>41</v>
      </c>
      <c r="D52" s="179" t="n">
        <f aca="false">D51+E51</f>
        <v>28862.0721673254</v>
      </c>
      <c r="E52" s="180" t="n">
        <f aca="false">G52-F52</f>
        <v>-1388.04421490211</v>
      </c>
      <c r="F52" s="176" t="n">
        <f aca="false">-$C$6*D52</f>
        <v>-117.587654662276</v>
      </c>
      <c r="G52" s="177" t="n">
        <f aca="false">IF(C52&gt;$C$8,0,$C$9)</f>
        <v>-1505.63186956439</v>
      </c>
    </row>
    <row r="53" customFormat="false" ht="12.75" hidden="false" customHeight="true" outlineLevel="0" collapsed="false">
      <c r="C53" s="178" t="n">
        <v>42</v>
      </c>
      <c r="D53" s="179" t="n">
        <f aca="false">D52+E52</f>
        <v>27474.0279524233</v>
      </c>
      <c r="E53" s="180" t="n">
        <f aca="false">G53-F53</f>
        <v>-1393.6992788508</v>
      </c>
      <c r="F53" s="176" t="n">
        <f aca="false">-$C$6*D53</f>
        <v>-111.932590713588</v>
      </c>
      <c r="G53" s="177" t="n">
        <f aca="false">IF(C53&gt;$C$8,0,$C$9)</f>
        <v>-1505.63186956439</v>
      </c>
    </row>
    <row r="54" customFormat="false" ht="12.75" hidden="false" customHeight="true" outlineLevel="0" collapsed="false">
      <c r="C54" s="178" t="n">
        <v>43</v>
      </c>
      <c r="D54" s="179" t="n">
        <f aca="false">D53+E53</f>
        <v>26080.3286735725</v>
      </c>
      <c r="E54" s="180" t="n">
        <f aca="false">G54-F54</f>
        <v>-1399.37738223002</v>
      </c>
      <c r="F54" s="176" t="n">
        <f aca="false">-$C$6*D54</f>
        <v>-106.254487334368</v>
      </c>
      <c r="G54" s="177" t="n">
        <f aca="false">IF(C54&gt;$C$8,0,$C$9)</f>
        <v>-1505.63186956439</v>
      </c>
    </row>
    <row r="55" customFormat="false" ht="12.75" hidden="false" customHeight="true" outlineLevel="0" collapsed="false">
      <c r="C55" s="178" t="n">
        <v>44</v>
      </c>
      <c r="D55" s="179" t="n">
        <f aca="false">D54+E54</f>
        <v>24680.9512913425</v>
      </c>
      <c r="E55" s="180" t="n">
        <f aca="false">G55-F55</f>
        <v>-1405.07861890527</v>
      </c>
      <c r="F55" s="176" t="n">
        <f aca="false">-$C$6*D55</f>
        <v>-100.553250659125</v>
      </c>
      <c r="G55" s="177" t="n">
        <f aca="false">IF(C55&gt;$C$8,0,$C$9)</f>
        <v>-1505.63186956439</v>
      </c>
    </row>
    <row r="56" customFormat="false" ht="12.75" hidden="false" customHeight="true" outlineLevel="0" collapsed="false">
      <c r="C56" s="178" t="n">
        <v>45</v>
      </c>
      <c r="D56" s="179" t="n">
        <f aca="false">D55+E55</f>
        <v>23275.8726724372</v>
      </c>
      <c r="E56" s="180" t="n">
        <f aca="false">G56-F56</f>
        <v>-1410.80308312444</v>
      </c>
      <c r="F56" s="176" t="n">
        <f aca="false">-$C$6*D56</f>
        <v>-94.8287864399473</v>
      </c>
      <c r="G56" s="177" t="n">
        <f aca="false">IF(C56&gt;$C$8,0,$C$9)</f>
        <v>-1505.63186956439</v>
      </c>
    </row>
    <row r="57" customFormat="false" ht="12.75" hidden="false" customHeight="true" outlineLevel="0" collapsed="false">
      <c r="C57" s="178" t="n">
        <v>46</v>
      </c>
      <c r="D57" s="179" t="n">
        <f aca="false">D56+E56</f>
        <v>21865.0695893128</v>
      </c>
      <c r="E57" s="180" t="n">
        <f aca="false">G57-F57</f>
        <v>-1416.55086951944</v>
      </c>
      <c r="F57" s="176" t="n">
        <f aca="false">-$C$6*D57</f>
        <v>-89.0810000449455</v>
      </c>
      <c r="G57" s="177" t="n">
        <f aca="false">IF(C57&gt;$C$8,0,$C$9)</f>
        <v>-1505.63186956439</v>
      </c>
    </row>
    <row r="58" customFormat="false" ht="12.75" hidden="false" customHeight="true" outlineLevel="0" collapsed="false">
      <c r="C58" s="178" t="n">
        <v>47</v>
      </c>
      <c r="D58" s="179" t="n">
        <f aca="false">D57+E57</f>
        <v>20448.5187197933</v>
      </c>
      <c r="E58" s="180" t="n">
        <f aca="false">G58-F58</f>
        <v>-1422.3220731077</v>
      </c>
      <c r="F58" s="176" t="n">
        <f aca="false">-$C$6*D58</f>
        <v>-83.3097964566886</v>
      </c>
      <c r="G58" s="177" t="n">
        <f aca="false">IF(C58&gt;$C$8,0,$C$9)</f>
        <v>-1505.63186956439</v>
      </c>
    </row>
    <row r="59" customFormat="false" ht="12.75" hidden="false" customHeight="true" outlineLevel="0" collapsed="false">
      <c r="C59" s="178" t="n">
        <v>48</v>
      </c>
      <c r="D59" s="179" t="n">
        <f aca="false">D58+E58</f>
        <v>19026.1966466856</v>
      </c>
      <c r="E59" s="180" t="n">
        <f aca="false">G59-F59</f>
        <v>-1428.11678929376</v>
      </c>
      <c r="F59" s="176" t="n">
        <f aca="false">-$C$6*D59</f>
        <v>-77.5150802706325</v>
      </c>
      <c r="G59" s="177" t="n">
        <f aca="false">IF(C59&gt;$C$8,0,$C$9)</f>
        <v>-1505.63186956439</v>
      </c>
    </row>
    <row r="60" customFormat="false" ht="12.75" hidden="false" customHeight="true" outlineLevel="0" collapsed="false">
      <c r="C60" s="178" t="n">
        <v>49</v>
      </c>
      <c r="D60" s="179" t="n">
        <f aca="false">D59+E59</f>
        <v>17598.0798573919</v>
      </c>
      <c r="E60" s="180" t="n">
        <f aca="false">G60-F60</f>
        <v>-1433.93511387085</v>
      </c>
      <c r="F60" s="176" t="n">
        <f aca="false">-$C$6*D60</f>
        <v>-71.6967556935433</v>
      </c>
      <c r="G60" s="177" t="n">
        <f aca="false">IF(C60&gt;$C$8,0,$C$9)</f>
        <v>-1505.63186956439</v>
      </c>
    </row>
    <row r="61" customFormat="false" ht="12.75" hidden="false" customHeight="true" outlineLevel="0" collapsed="false">
      <c r="C61" s="178" t="n">
        <v>50</v>
      </c>
      <c r="D61" s="179" t="n">
        <f aca="false">D60+E60</f>
        <v>16164.144743521</v>
      </c>
      <c r="E61" s="180" t="n">
        <f aca="false">G61-F61</f>
        <v>-1439.77714302248</v>
      </c>
      <c r="F61" s="176" t="n">
        <f aca="false">-$C$6*D61</f>
        <v>-65.8547265419135</v>
      </c>
      <c r="G61" s="177" t="n">
        <f aca="false">IF(C61&gt;$C$8,0,$C$9)</f>
        <v>-1505.63186956439</v>
      </c>
    </row>
    <row r="62" customFormat="false" ht="12.75" hidden="false" customHeight="true" outlineLevel="0" collapsed="false">
      <c r="C62" s="178" t="n">
        <v>51</v>
      </c>
      <c r="D62" s="179" t="n">
        <f aca="false">D61+E61</f>
        <v>14724.3676004986</v>
      </c>
      <c r="E62" s="180" t="n">
        <f aca="false">G62-F62</f>
        <v>-1445.64297332402</v>
      </c>
      <c r="F62" s="176" t="n">
        <f aca="false">-$C$6*D62</f>
        <v>-59.9888962403724</v>
      </c>
      <c r="G62" s="177" t="n">
        <f aca="false">IF(C62&gt;$C$8,0,$C$9)</f>
        <v>-1505.63186956439</v>
      </c>
    </row>
    <row r="63" customFormat="false" ht="12.75" hidden="false" customHeight="true" outlineLevel="0" collapsed="false">
      <c r="C63" s="178" t="n">
        <v>52</v>
      </c>
      <c r="D63" s="179" t="n">
        <f aca="false">D62+E62</f>
        <v>13278.7246271745</v>
      </c>
      <c r="E63" s="180" t="n">
        <f aca="false">G63-F63</f>
        <v>-1451.5327017443</v>
      </c>
      <c r="F63" s="176" t="n">
        <f aca="false">-$C$6*D63</f>
        <v>-54.0991678200889</v>
      </c>
      <c r="G63" s="177" t="n">
        <f aca="false">IF(C63&gt;$C$8,0,$C$9)</f>
        <v>-1505.63186956439</v>
      </c>
    </row>
    <row r="64" customFormat="false" ht="12.75" hidden="false" customHeight="true" outlineLevel="0" collapsed="false">
      <c r="C64" s="178" t="n">
        <v>53</v>
      </c>
      <c r="D64" s="179" t="n">
        <f aca="false">D63+E63</f>
        <v>11827.1919254302</v>
      </c>
      <c r="E64" s="180" t="n">
        <f aca="false">G64-F64</f>
        <v>-1457.44642564722</v>
      </c>
      <c r="F64" s="176" t="n">
        <f aca="false">-$C$6*D64</f>
        <v>-48.1854439171691</v>
      </c>
      <c r="G64" s="177" t="n">
        <f aca="false">IF(C64&gt;$C$8,0,$C$9)</f>
        <v>-1505.63186956439</v>
      </c>
    </row>
    <row r="65" customFormat="false" ht="12.75" hidden="false" customHeight="true" outlineLevel="0" collapsed="false">
      <c r="C65" s="178" t="n">
        <v>54</v>
      </c>
      <c r="D65" s="179" t="n">
        <f aca="false">D64+E64</f>
        <v>10369.745499783</v>
      </c>
      <c r="E65" s="180" t="n">
        <f aca="false">G65-F65</f>
        <v>-1463.38424279334</v>
      </c>
      <c r="F65" s="176" t="n">
        <f aca="false">-$C$6*D65</f>
        <v>-42.2476267710465</v>
      </c>
      <c r="G65" s="177" t="n">
        <f aca="false">IF(C65&gt;$C$8,0,$C$9)</f>
        <v>-1505.63186956439</v>
      </c>
    </row>
    <row r="66" customFormat="false" ht="12.75" hidden="false" customHeight="true" outlineLevel="0" collapsed="false">
      <c r="C66" s="178" t="n">
        <v>55</v>
      </c>
      <c r="D66" s="179" t="n">
        <f aca="false">D65+E65</f>
        <v>8906.36125698967</v>
      </c>
      <c r="E66" s="180" t="n">
        <f aca="false">G66-F66</f>
        <v>-1469.34625134152</v>
      </c>
      <c r="F66" s="176" t="n">
        <f aca="false">-$C$6*D66</f>
        <v>-36.2856182228659</v>
      </c>
      <c r="G66" s="177" t="n">
        <f aca="false">IF(C66&gt;$C$8,0,$C$9)</f>
        <v>-1505.63186956439</v>
      </c>
    </row>
    <row r="67" customFormat="false" ht="12.75" hidden="false" customHeight="true" outlineLevel="0" collapsed="false">
      <c r="C67" s="178" t="n">
        <v>56</v>
      </c>
      <c r="D67" s="179" t="n">
        <f aca="false">D66+E66</f>
        <v>7437.01500564815</v>
      </c>
      <c r="E67" s="180" t="n">
        <f aca="false">G67-F67</f>
        <v>-1475.33254985053</v>
      </c>
      <c r="F67" s="176" t="n">
        <f aca="false">-$C$6*D67</f>
        <v>-30.2993197138608</v>
      </c>
      <c r="G67" s="177" t="n">
        <f aca="false">IF(C67&gt;$C$8,0,$C$9)</f>
        <v>-1505.63186956439</v>
      </c>
    </row>
    <row r="68" customFormat="false" ht="12.75" hidden="false" customHeight="true" outlineLevel="0" collapsed="false">
      <c r="C68" s="178" t="n">
        <v>57</v>
      </c>
      <c r="D68" s="179" t="n">
        <f aca="false">D67+E67</f>
        <v>5961.68245579762</v>
      </c>
      <c r="E68" s="180" t="n">
        <f aca="false">G68-F68</f>
        <v>-1481.34323728067</v>
      </c>
      <c r="F68" s="176" t="n">
        <f aca="false">-$C$6*D68</f>
        <v>-24.2886322837242</v>
      </c>
      <c r="G68" s="177" t="n">
        <f aca="false">IF(C68&gt;$C$8,0,$C$9)</f>
        <v>-1505.63186956439</v>
      </c>
    </row>
    <row r="69" customFormat="false" ht="12.75" hidden="false" customHeight="true" outlineLevel="0" collapsed="false">
      <c r="C69" s="178" t="n">
        <v>58</v>
      </c>
      <c r="D69" s="179" t="n">
        <f aca="false">D68+E68</f>
        <v>4480.33921851695</v>
      </c>
      <c r="E69" s="180" t="n">
        <f aca="false">G69-F69</f>
        <v>-1487.37841299542</v>
      </c>
      <c r="F69" s="176" t="n">
        <f aca="false">-$C$6*D69</f>
        <v>-18.2534565689724</v>
      </c>
      <c r="G69" s="177" t="n">
        <f aca="false">IF(C69&gt;$C$8,0,$C$9)</f>
        <v>-1505.63186956439</v>
      </c>
    </row>
    <row r="70" customFormat="false" ht="12.75" hidden="false" customHeight="true" outlineLevel="0" collapsed="false">
      <c r="C70" s="178" t="n">
        <v>59</v>
      </c>
      <c r="D70" s="179" t="n">
        <f aca="false">D69+E69</f>
        <v>2992.96080552153</v>
      </c>
      <c r="E70" s="180" t="n">
        <f aca="false">G70-F70</f>
        <v>-1493.43817676309</v>
      </c>
      <c r="F70" s="176" t="n">
        <f aca="false">-$C$6*D70</f>
        <v>-12.1936928013026</v>
      </c>
      <c r="G70" s="177" t="n">
        <f aca="false">IF(C70&gt;$C$8,0,$C$9)</f>
        <v>-1505.63186956439</v>
      </c>
    </row>
    <row r="71" customFormat="false" ht="12.75" hidden="false" customHeight="true" outlineLevel="0" collapsed="false">
      <c r="C71" s="178" t="n">
        <v>60</v>
      </c>
      <c r="D71" s="179" t="n">
        <f aca="false">D70+E70</f>
        <v>1499.52262875845</v>
      </c>
      <c r="E71" s="180" t="n">
        <f aca="false">G71-F71</f>
        <v>-1499.52262875845</v>
      </c>
      <c r="F71" s="176" t="n">
        <f aca="false">-$C$6*D71</f>
        <v>-6.10924080594368</v>
      </c>
      <c r="G71" s="177" t="n">
        <f aca="false">IF(C71&gt;$C$8,0,$C$9)</f>
        <v>-1505.63186956439</v>
      </c>
    </row>
    <row r="72" customFormat="false" ht="12.75" hidden="false" customHeight="true" outlineLevel="0" collapsed="false">
      <c r="C72" s="178" t="n">
        <v>61</v>
      </c>
      <c r="D72" s="179" t="n">
        <f aca="false">D71+E71</f>
        <v>0</v>
      </c>
      <c r="E72" s="180" t="n">
        <f aca="false">G72-F72</f>
        <v>0</v>
      </c>
      <c r="F72" s="176" t="n">
        <f aca="false">-$C$6*D72</f>
        <v>-0</v>
      </c>
      <c r="G72" s="177" t="n">
        <f aca="false">IF(C72&gt;$C$8,0,$C$9)</f>
        <v>0</v>
      </c>
    </row>
    <row r="73" customFormat="false" ht="12.75" hidden="false" customHeight="true" outlineLevel="0" collapsed="false">
      <c r="C73" s="178" t="n">
        <v>62</v>
      </c>
      <c r="D73" s="179" t="n">
        <f aca="false">D72+E72</f>
        <v>0</v>
      </c>
      <c r="E73" s="180" t="n">
        <f aca="false">G73-F73</f>
        <v>0</v>
      </c>
      <c r="F73" s="176" t="n">
        <f aca="false">-$C$6*D73</f>
        <v>-0</v>
      </c>
      <c r="G73" s="177" t="n">
        <f aca="false">IF(C73&gt;$C$8,0,$C$9)</f>
        <v>0</v>
      </c>
    </row>
    <row r="74" customFormat="false" ht="12.75" hidden="false" customHeight="true" outlineLevel="0" collapsed="false">
      <c r="C74" s="178" t="n">
        <v>63</v>
      </c>
      <c r="D74" s="179" t="n">
        <f aca="false">D73+E73</f>
        <v>0</v>
      </c>
      <c r="E74" s="180" t="n">
        <f aca="false">G74-F74</f>
        <v>0</v>
      </c>
      <c r="F74" s="176" t="n">
        <f aca="false">-$C$6*D74</f>
        <v>-0</v>
      </c>
      <c r="G74" s="177" t="n">
        <f aca="false">IF(C74&gt;$C$8,0,$C$9)</f>
        <v>0</v>
      </c>
    </row>
    <row r="75" customFormat="false" ht="12.75" hidden="false" customHeight="true" outlineLevel="0" collapsed="false">
      <c r="C75" s="178" t="n">
        <v>64</v>
      </c>
      <c r="D75" s="179" t="n">
        <f aca="false">D74+E74</f>
        <v>0</v>
      </c>
      <c r="E75" s="180" t="n">
        <f aca="false">G75-F75</f>
        <v>0</v>
      </c>
      <c r="F75" s="176" t="n">
        <f aca="false">-$C$6*D75</f>
        <v>-0</v>
      </c>
      <c r="G75" s="177" t="n">
        <f aca="false">IF(C75&gt;$C$8,0,$C$9)</f>
        <v>0</v>
      </c>
    </row>
    <row r="76" customFormat="false" ht="12.75" hidden="false" customHeight="true" outlineLevel="0" collapsed="false">
      <c r="C76" s="178" t="n">
        <v>65</v>
      </c>
      <c r="D76" s="179" t="n">
        <f aca="false">D75+E75</f>
        <v>0</v>
      </c>
      <c r="E76" s="180" t="n">
        <f aca="false">G76-F76</f>
        <v>0</v>
      </c>
      <c r="F76" s="176" t="n">
        <f aca="false">-$C$6*D76</f>
        <v>-0</v>
      </c>
      <c r="G76" s="177" t="n">
        <f aca="false">IF(C76&gt;$C$8,0,$C$9)</f>
        <v>0</v>
      </c>
    </row>
    <row r="77" customFormat="false" ht="12.75" hidden="false" customHeight="true" outlineLevel="0" collapsed="false">
      <c r="C77" s="178" t="n">
        <v>66</v>
      </c>
      <c r="D77" s="179" t="n">
        <f aca="false">D76+E76</f>
        <v>0</v>
      </c>
      <c r="E77" s="180" t="n">
        <f aca="false">G77-F77</f>
        <v>0</v>
      </c>
      <c r="F77" s="176" t="n">
        <f aca="false">-$C$6*D77</f>
        <v>-0</v>
      </c>
      <c r="G77" s="177" t="n">
        <f aca="false">IF(C77&gt;$C$8,0,$C$9)</f>
        <v>0</v>
      </c>
    </row>
    <row r="78" customFormat="false" ht="12.75" hidden="false" customHeight="true" outlineLevel="0" collapsed="false">
      <c r="C78" s="178" t="n">
        <v>67</v>
      </c>
      <c r="D78" s="179" t="n">
        <f aca="false">D77+E77</f>
        <v>0</v>
      </c>
      <c r="E78" s="180" t="n">
        <f aca="false">G78-F78</f>
        <v>0</v>
      </c>
      <c r="F78" s="176" t="n">
        <f aca="false">-$C$6*D78</f>
        <v>-0</v>
      </c>
      <c r="G78" s="177" t="n">
        <f aca="false">IF(C78&gt;$C$8,0,$C$9)</f>
        <v>0</v>
      </c>
    </row>
    <row r="79" customFormat="false" ht="12.75" hidden="false" customHeight="true" outlineLevel="0" collapsed="false">
      <c r="C79" s="178" t="n">
        <v>68</v>
      </c>
      <c r="D79" s="179" t="n">
        <f aca="false">D78+E78</f>
        <v>0</v>
      </c>
      <c r="E79" s="180" t="n">
        <f aca="false">G79-F79</f>
        <v>0</v>
      </c>
      <c r="F79" s="176" t="n">
        <f aca="false">-$C$6*D79</f>
        <v>-0</v>
      </c>
      <c r="G79" s="177" t="n">
        <f aca="false">IF(C79&gt;$C$8,0,$C$9)</f>
        <v>0</v>
      </c>
    </row>
    <row r="80" customFormat="false" ht="12.75" hidden="false" customHeight="true" outlineLevel="0" collapsed="false">
      <c r="C80" s="178" t="n">
        <v>69</v>
      </c>
      <c r="D80" s="179" t="n">
        <f aca="false">D79+E79</f>
        <v>0</v>
      </c>
      <c r="E80" s="180" t="n">
        <f aca="false">G80-F80</f>
        <v>0</v>
      </c>
      <c r="F80" s="176" t="n">
        <f aca="false">-$C$6*D80</f>
        <v>-0</v>
      </c>
      <c r="G80" s="177" t="n">
        <f aca="false">IF(C80&gt;$C$8,0,$C$9)</f>
        <v>0</v>
      </c>
    </row>
    <row r="81" customFormat="false" ht="12.75" hidden="false" customHeight="true" outlineLevel="0" collapsed="false">
      <c r="C81" s="178" t="n">
        <v>70</v>
      </c>
      <c r="D81" s="179" t="n">
        <f aca="false">D80+E80</f>
        <v>0</v>
      </c>
      <c r="E81" s="180" t="n">
        <f aca="false">G81-F81</f>
        <v>0</v>
      </c>
      <c r="F81" s="176" t="n">
        <f aca="false">-$C$6*D81</f>
        <v>-0</v>
      </c>
      <c r="G81" s="177" t="n">
        <f aca="false">IF(C81&gt;$C$8,0,$C$9)</f>
        <v>0</v>
      </c>
    </row>
    <row r="82" customFormat="false" ht="12.75" hidden="false" customHeight="true" outlineLevel="0" collapsed="false">
      <c r="C82" s="178" t="n">
        <v>71</v>
      </c>
      <c r="D82" s="179" t="n">
        <f aca="false">D81+E81</f>
        <v>0</v>
      </c>
      <c r="E82" s="180" t="n">
        <f aca="false">G82-F82</f>
        <v>0</v>
      </c>
      <c r="F82" s="176" t="n">
        <f aca="false">-$C$6*D82</f>
        <v>-0</v>
      </c>
      <c r="G82" s="177" t="n">
        <f aca="false">IF(C82&gt;$C$8,0,$C$9)</f>
        <v>0</v>
      </c>
    </row>
    <row r="83" customFormat="false" ht="12.75" hidden="false" customHeight="true" outlineLevel="0" collapsed="false">
      <c r="C83" s="178" t="n">
        <v>72</v>
      </c>
      <c r="D83" s="179" t="n">
        <f aca="false">D82+E82</f>
        <v>0</v>
      </c>
      <c r="E83" s="180" t="n">
        <f aca="false">G83-F83</f>
        <v>0</v>
      </c>
      <c r="F83" s="176" t="n">
        <f aca="false">-$C$6*D83</f>
        <v>-0</v>
      </c>
      <c r="G83" s="177" t="n">
        <f aca="false">IF(C83&gt;$C$8,0,$C$9)</f>
        <v>0</v>
      </c>
    </row>
    <row r="84" customFormat="false" ht="12.75" hidden="false" customHeight="true" outlineLevel="0" collapsed="false">
      <c r="C84" s="178" t="n">
        <v>73</v>
      </c>
      <c r="D84" s="179" t="n">
        <f aca="false">D83+E83</f>
        <v>0</v>
      </c>
      <c r="E84" s="180" t="n">
        <f aca="false">G84-F84</f>
        <v>0</v>
      </c>
      <c r="F84" s="176" t="n">
        <f aca="false">-$C$6*D84</f>
        <v>-0</v>
      </c>
      <c r="G84" s="177" t="n">
        <f aca="false">IF(C84&gt;$C$8,0,$C$9)</f>
        <v>0</v>
      </c>
    </row>
    <row r="85" customFormat="false" ht="12.75" hidden="false" customHeight="true" outlineLevel="0" collapsed="false">
      <c r="C85" s="178" t="n">
        <v>74</v>
      </c>
      <c r="D85" s="179" t="n">
        <f aca="false">D84+E84</f>
        <v>0</v>
      </c>
      <c r="E85" s="180" t="n">
        <f aca="false">G85-F85</f>
        <v>0</v>
      </c>
      <c r="F85" s="176" t="n">
        <f aca="false">-$C$6*D85</f>
        <v>-0</v>
      </c>
      <c r="G85" s="177" t="n">
        <f aca="false">IF(C85&gt;$C$8,0,$C$9)</f>
        <v>0</v>
      </c>
    </row>
    <row r="86" customFormat="false" ht="12.75" hidden="false" customHeight="true" outlineLevel="0" collapsed="false">
      <c r="C86" s="178" t="n">
        <v>75</v>
      </c>
      <c r="D86" s="179" t="n">
        <f aca="false">D85+E85</f>
        <v>0</v>
      </c>
      <c r="E86" s="180" t="n">
        <f aca="false">G86-F86</f>
        <v>0</v>
      </c>
      <c r="F86" s="176" t="n">
        <f aca="false">-$C$6*D86</f>
        <v>-0</v>
      </c>
      <c r="G86" s="177" t="n">
        <f aca="false">IF(C86&gt;$C$8,0,$C$9)</f>
        <v>0</v>
      </c>
    </row>
    <row r="87" customFormat="false" ht="12.75" hidden="false" customHeight="true" outlineLevel="0" collapsed="false">
      <c r="C87" s="178" t="n">
        <v>76</v>
      </c>
      <c r="D87" s="179" t="n">
        <f aca="false">D86+E86</f>
        <v>0</v>
      </c>
      <c r="E87" s="180" t="n">
        <f aca="false">G87-F87</f>
        <v>0</v>
      </c>
      <c r="F87" s="176" t="n">
        <f aca="false">-$C$6*D87</f>
        <v>-0</v>
      </c>
      <c r="G87" s="177" t="n">
        <f aca="false">IF(C87&gt;$C$8,0,$C$9)</f>
        <v>0</v>
      </c>
    </row>
    <row r="88" customFormat="false" ht="12.75" hidden="false" customHeight="true" outlineLevel="0" collapsed="false">
      <c r="C88" s="178" t="n">
        <v>77</v>
      </c>
      <c r="D88" s="179" t="n">
        <f aca="false">D87+E87</f>
        <v>0</v>
      </c>
      <c r="E88" s="180" t="n">
        <f aca="false">G88-F88</f>
        <v>0</v>
      </c>
      <c r="F88" s="176" t="n">
        <f aca="false">-$C$6*D88</f>
        <v>-0</v>
      </c>
      <c r="G88" s="177" t="n">
        <f aca="false">IF(C88&gt;$C$8,0,$C$9)</f>
        <v>0</v>
      </c>
    </row>
    <row r="89" customFormat="false" ht="12.75" hidden="false" customHeight="true" outlineLevel="0" collapsed="false">
      <c r="C89" s="178" t="n">
        <v>78</v>
      </c>
      <c r="D89" s="179" t="n">
        <f aca="false">D88+E88</f>
        <v>0</v>
      </c>
      <c r="E89" s="180" t="n">
        <f aca="false">G89-F89</f>
        <v>0</v>
      </c>
      <c r="F89" s="176" t="n">
        <f aca="false">-$C$6*D89</f>
        <v>-0</v>
      </c>
      <c r="G89" s="177" t="n">
        <f aca="false">IF(C89&gt;$C$8,0,$C$9)</f>
        <v>0</v>
      </c>
    </row>
    <row r="90" customFormat="false" ht="12.75" hidden="false" customHeight="true" outlineLevel="0" collapsed="false">
      <c r="C90" s="178" t="n">
        <v>79</v>
      </c>
      <c r="D90" s="179" t="n">
        <f aca="false">D89+E89</f>
        <v>0</v>
      </c>
      <c r="E90" s="180" t="n">
        <f aca="false">G90-F90</f>
        <v>0</v>
      </c>
      <c r="F90" s="176" t="n">
        <f aca="false">-$C$6*D90</f>
        <v>-0</v>
      </c>
      <c r="G90" s="177" t="n">
        <f aca="false">IF(C90&gt;$C$8,0,$C$9)</f>
        <v>0</v>
      </c>
    </row>
    <row r="91" customFormat="false" ht="12.75" hidden="false" customHeight="true" outlineLevel="0" collapsed="false">
      <c r="C91" s="178" t="n">
        <v>80</v>
      </c>
      <c r="D91" s="179" t="n">
        <f aca="false">D90+E90</f>
        <v>0</v>
      </c>
      <c r="E91" s="180" t="n">
        <f aca="false">G91-F91</f>
        <v>0</v>
      </c>
      <c r="F91" s="176" t="n">
        <f aca="false">-$C$6*D91</f>
        <v>-0</v>
      </c>
      <c r="G91" s="177" t="n">
        <f aca="false">IF(C91&gt;$C$8,0,$C$9)</f>
        <v>0</v>
      </c>
    </row>
    <row r="92" customFormat="false" ht="12.75" hidden="false" customHeight="true" outlineLevel="0" collapsed="false">
      <c r="C92" s="178" t="n">
        <v>81</v>
      </c>
      <c r="D92" s="179" t="n">
        <f aca="false">D91+E91</f>
        <v>0</v>
      </c>
      <c r="E92" s="180" t="n">
        <f aca="false">G92-F92</f>
        <v>0</v>
      </c>
      <c r="F92" s="176" t="n">
        <f aca="false">-$C$6*D92</f>
        <v>-0</v>
      </c>
      <c r="G92" s="177" t="n">
        <f aca="false">IF(C92&gt;$C$8,0,$C$9)</f>
        <v>0</v>
      </c>
    </row>
    <row r="93" customFormat="false" ht="12.75" hidden="false" customHeight="true" outlineLevel="0" collapsed="false">
      <c r="C93" s="178" t="n">
        <v>82</v>
      </c>
      <c r="D93" s="179" t="n">
        <f aca="false">D92+E92</f>
        <v>0</v>
      </c>
      <c r="E93" s="180" t="n">
        <f aca="false">G93-F93</f>
        <v>0</v>
      </c>
      <c r="F93" s="176" t="n">
        <f aca="false">-$C$6*D93</f>
        <v>-0</v>
      </c>
      <c r="G93" s="177" t="n">
        <f aca="false">IF(C93&gt;$C$8,0,$C$9)</f>
        <v>0</v>
      </c>
    </row>
    <row r="94" customFormat="false" ht="12.75" hidden="false" customHeight="true" outlineLevel="0" collapsed="false">
      <c r="C94" s="178" t="n">
        <v>83</v>
      </c>
      <c r="D94" s="179" t="n">
        <f aca="false">D93+E93</f>
        <v>0</v>
      </c>
      <c r="E94" s="180" t="n">
        <f aca="false">G94-F94</f>
        <v>0</v>
      </c>
      <c r="F94" s="176" t="n">
        <f aca="false">-$C$6*D94</f>
        <v>-0</v>
      </c>
      <c r="G94" s="177" t="n">
        <f aca="false">IF(C94&gt;$C$8,0,$C$9)</f>
        <v>0</v>
      </c>
    </row>
    <row r="95" customFormat="false" ht="12.75" hidden="false" customHeight="true" outlineLevel="0" collapsed="false">
      <c r="C95" s="178" t="n">
        <v>84</v>
      </c>
      <c r="D95" s="179" t="n">
        <f aca="false">D94+E94</f>
        <v>0</v>
      </c>
      <c r="E95" s="180" t="n">
        <f aca="false">G95-F95</f>
        <v>0</v>
      </c>
      <c r="F95" s="176" t="n">
        <f aca="false">-$C$6*D95</f>
        <v>-0</v>
      </c>
      <c r="G95" s="177" t="n">
        <f aca="false">IF(C95&gt;$C$8,0,$C$9)</f>
        <v>0</v>
      </c>
    </row>
    <row r="96" customFormat="false" ht="12.75" hidden="false" customHeight="true" outlineLevel="0" collapsed="false">
      <c r="C96" s="178" t="n">
        <v>85</v>
      </c>
      <c r="D96" s="179" t="n">
        <f aca="false">D95+E95</f>
        <v>0</v>
      </c>
      <c r="E96" s="180" t="n">
        <f aca="false">G96-F96</f>
        <v>0</v>
      </c>
      <c r="F96" s="176" t="n">
        <f aca="false">-$C$6*D96</f>
        <v>-0</v>
      </c>
      <c r="G96" s="177" t="n">
        <f aca="false">IF(C96&gt;$C$8,0,$C$9)</f>
        <v>0</v>
      </c>
    </row>
    <row r="97" customFormat="false" ht="12.75" hidden="false" customHeight="true" outlineLevel="0" collapsed="false">
      <c r="C97" s="178" t="n">
        <v>86</v>
      </c>
      <c r="D97" s="179" t="n">
        <f aca="false">D96+E96</f>
        <v>0</v>
      </c>
      <c r="E97" s="180" t="n">
        <f aca="false">G97-F97</f>
        <v>0</v>
      </c>
      <c r="F97" s="176" t="n">
        <f aca="false">-$C$6*D97</f>
        <v>-0</v>
      </c>
      <c r="G97" s="177" t="n">
        <f aca="false">IF(C97&gt;$C$8,0,$C$9)</f>
        <v>0</v>
      </c>
    </row>
    <row r="98" customFormat="false" ht="12.75" hidden="false" customHeight="true" outlineLevel="0" collapsed="false">
      <c r="C98" s="178" t="n">
        <v>87</v>
      </c>
      <c r="D98" s="179" t="n">
        <f aca="false">D97+E97</f>
        <v>0</v>
      </c>
      <c r="E98" s="180" t="n">
        <f aca="false">G98-F98</f>
        <v>0</v>
      </c>
      <c r="F98" s="176" t="n">
        <f aca="false">-$C$6*D98</f>
        <v>-0</v>
      </c>
      <c r="G98" s="177" t="n">
        <f aca="false">IF(C98&gt;$C$8,0,$C$9)</f>
        <v>0</v>
      </c>
    </row>
    <row r="99" customFormat="false" ht="12.75" hidden="false" customHeight="true" outlineLevel="0" collapsed="false">
      <c r="C99" s="178" t="n">
        <v>88</v>
      </c>
      <c r="D99" s="179" t="n">
        <f aca="false">D98+E98</f>
        <v>0</v>
      </c>
      <c r="E99" s="180" t="n">
        <f aca="false">G99-F99</f>
        <v>0</v>
      </c>
      <c r="F99" s="176" t="n">
        <f aca="false">-$C$6*D99</f>
        <v>-0</v>
      </c>
      <c r="G99" s="177" t="n">
        <f aca="false">IF(C99&gt;$C$8,0,$C$9)</f>
        <v>0</v>
      </c>
    </row>
    <row r="100" customFormat="false" ht="12.75" hidden="false" customHeight="true" outlineLevel="0" collapsed="false">
      <c r="C100" s="178" t="n">
        <v>89</v>
      </c>
      <c r="D100" s="179" t="n">
        <f aca="false">D99+E99</f>
        <v>0</v>
      </c>
      <c r="E100" s="180" t="n">
        <f aca="false">G100-F100</f>
        <v>0</v>
      </c>
      <c r="F100" s="176" t="n">
        <f aca="false">-$C$6*D100</f>
        <v>-0</v>
      </c>
      <c r="G100" s="177" t="n">
        <f aca="false">IF(C100&gt;$C$8,0,$C$9)</f>
        <v>0</v>
      </c>
    </row>
    <row r="101" customFormat="false" ht="12.75" hidden="false" customHeight="true" outlineLevel="0" collapsed="false">
      <c r="C101" s="178" t="n">
        <v>90</v>
      </c>
      <c r="D101" s="179" t="n">
        <f aca="false">D100+E100</f>
        <v>0</v>
      </c>
      <c r="E101" s="180" t="n">
        <f aca="false">G101-F101</f>
        <v>0</v>
      </c>
      <c r="F101" s="176" t="n">
        <f aca="false">-$C$6*D101</f>
        <v>-0</v>
      </c>
      <c r="G101" s="177" t="n">
        <f aca="false">IF(C101&gt;$C$8,0,$C$9)</f>
        <v>0</v>
      </c>
    </row>
    <row r="102" customFormat="false" ht="12.75" hidden="false" customHeight="true" outlineLevel="0" collapsed="false">
      <c r="C102" s="178" t="n">
        <v>91</v>
      </c>
      <c r="D102" s="179" t="n">
        <f aca="false">D101+E101</f>
        <v>0</v>
      </c>
      <c r="E102" s="180" t="n">
        <f aca="false">G102-F102</f>
        <v>0</v>
      </c>
      <c r="F102" s="176" t="n">
        <f aca="false">-$C$6*D102</f>
        <v>-0</v>
      </c>
      <c r="G102" s="177" t="n">
        <f aca="false">IF(C102&gt;$C$8,0,$C$9)</f>
        <v>0</v>
      </c>
    </row>
    <row r="103" customFormat="false" ht="12.75" hidden="false" customHeight="true" outlineLevel="0" collapsed="false">
      <c r="C103" s="178" t="n">
        <v>92</v>
      </c>
      <c r="D103" s="179" t="n">
        <f aca="false">D102+E102</f>
        <v>0</v>
      </c>
      <c r="E103" s="180" t="n">
        <f aca="false">G103-F103</f>
        <v>0</v>
      </c>
      <c r="F103" s="176" t="n">
        <f aca="false">-$C$6*D103</f>
        <v>-0</v>
      </c>
      <c r="G103" s="177" t="n">
        <f aca="false">IF(C103&gt;$C$8,0,$C$9)</f>
        <v>0</v>
      </c>
    </row>
    <row r="104" customFormat="false" ht="12.75" hidden="false" customHeight="true" outlineLevel="0" collapsed="false">
      <c r="C104" s="178" t="n">
        <v>93</v>
      </c>
      <c r="D104" s="179" t="n">
        <f aca="false">D103+E103</f>
        <v>0</v>
      </c>
      <c r="E104" s="180" t="n">
        <f aca="false">G104-F104</f>
        <v>0</v>
      </c>
      <c r="F104" s="176" t="n">
        <f aca="false">-$C$6*D104</f>
        <v>-0</v>
      </c>
      <c r="G104" s="177" t="n">
        <f aca="false">IF(C104&gt;$C$8,0,$C$9)</f>
        <v>0</v>
      </c>
    </row>
    <row r="105" customFormat="false" ht="12.75" hidden="false" customHeight="true" outlineLevel="0" collapsed="false">
      <c r="C105" s="178" t="n">
        <v>94</v>
      </c>
      <c r="D105" s="179" t="n">
        <f aca="false">D104+E104</f>
        <v>0</v>
      </c>
      <c r="E105" s="180" t="n">
        <f aca="false">G105-F105</f>
        <v>0</v>
      </c>
      <c r="F105" s="176" t="n">
        <f aca="false">-$C$6*D105</f>
        <v>-0</v>
      </c>
      <c r="G105" s="177" t="n">
        <f aca="false">IF(C105&gt;$C$8,0,$C$9)</f>
        <v>0</v>
      </c>
    </row>
    <row r="106" customFormat="false" ht="12.75" hidden="false" customHeight="true" outlineLevel="0" collapsed="false">
      <c r="C106" s="178" t="n">
        <v>95</v>
      </c>
      <c r="D106" s="179" t="n">
        <f aca="false">D105+E105</f>
        <v>0</v>
      </c>
      <c r="E106" s="180" t="n">
        <f aca="false">G106-F106</f>
        <v>0</v>
      </c>
      <c r="F106" s="176" t="n">
        <f aca="false">-$C$6*D106</f>
        <v>-0</v>
      </c>
      <c r="G106" s="177" t="n">
        <f aca="false">IF(C106&gt;$C$8,0,$C$9)</f>
        <v>0</v>
      </c>
    </row>
    <row r="107" customFormat="false" ht="12.75" hidden="false" customHeight="true" outlineLevel="0" collapsed="false">
      <c r="C107" s="178" t="n">
        <v>96</v>
      </c>
      <c r="D107" s="179" t="n">
        <f aca="false">D106+E106</f>
        <v>0</v>
      </c>
      <c r="E107" s="180" t="n">
        <f aca="false">G107-F107</f>
        <v>0</v>
      </c>
      <c r="F107" s="176" t="n">
        <f aca="false">-$C$6*D107</f>
        <v>-0</v>
      </c>
      <c r="G107" s="177" t="n">
        <f aca="false">IF(C107&gt;$C$8,0,$C$9)</f>
        <v>0</v>
      </c>
    </row>
    <row r="108" customFormat="false" ht="12.75" hidden="false" customHeight="true" outlineLevel="0" collapsed="false">
      <c r="C108" s="178" t="n">
        <v>97</v>
      </c>
      <c r="D108" s="179" t="n">
        <f aca="false">D107+E107</f>
        <v>0</v>
      </c>
      <c r="E108" s="180" t="n">
        <f aca="false">G108-F108</f>
        <v>0</v>
      </c>
      <c r="F108" s="176" t="n">
        <f aca="false">-$C$6*D108</f>
        <v>-0</v>
      </c>
      <c r="G108" s="177" t="n">
        <f aca="false">IF(C108&gt;$C$8,0,$C$9)</f>
        <v>0</v>
      </c>
    </row>
    <row r="109" customFormat="false" ht="12.75" hidden="false" customHeight="true" outlineLevel="0" collapsed="false">
      <c r="C109" s="178" t="n">
        <v>98</v>
      </c>
      <c r="D109" s="179" t="n">
        <f aca="false">D108+E108</f>
        <v>0</v>
      </c>
      <c r="E109" s="180" t="n">
        <f aca="false">G109-F109</f>
        <v>0</v>
      </c>
      <c r="F109" s="176" t="n">
        <f aca="false">-$C$6*D109</f>
        <v>-0</v>
      </c>
      <c r="G109" s="177" t="n">
        <f aca="false">IF(C109&gt;$C$8,0,$C$9)</f>
        <v>0</v>
      </c>
    </row>
    <row r="110" customFormat="false" ht="12.75" hidden="false" customHeight="true" outlineLevel="0" collapsed="false">
      <c r="C110" s="178" t="n">
        <v>99</v>
      </c>
      <c r="D110" s="179" t="n">
        <f aca="false">D109+E109</f>
        <v>0</v>
      </c>
      <c r="E110" s="180" t="n">
        <f aca="false">G110-F110</f>
        <v>0</v>
      </c>
      <c r="F110" s="176" t="n">
        <f aca="false">-$C$6*D110</f>
        <v>-0</v>
      </c>
      <c r="G110" s="177" t="n">
        <f aca="false">IF(C110&gt;$C$8,0,$C$9)</f>
        <v>0</v>
      </c>
    </row>
    <row r="111" customFormat="false" ht="12.75" hidden="false" customHeight="true" outlineLevel="0" collapsed="false">
      <c r="C111" s="178" t="n">
        <v>100</v>
      </c>
      <c r="D111" s="179" t="n">
        <f aca="false">D110+E110</f>
        <v>0</v>
      </c>
      <c r="E111" s="180" t="n">
        <f aca="false">G111-F111</f>
        <v>0</v>
      </c>
      <c r="F111" s="176" t="n">
        <f aca="false">-$C$6*D111</f>
        <v>-0</v>
      </c>
      <c r="G111" s="177" t="n">
        <f aca="false">IF(C111&gt;$C$8,0,$C$9)</f>
        <v>0</v>
      </c>
    </row>
    <row r="112" customFormat="false" ht="12.75" hidden="false" customHeight="true" outlineLevel="0" collapsed="false">
      <c r="C112" s="178" t="n">
        <v>101</v>
      </c>
      <c r="D112" s="179" t="n">
        <f aca="false">D111+E111</f>
        <v>0</v>
      </c>
      <c r="E112" s="180" t="n">
        <f aca="false">G112-F112</f>
        <v>0</v>
      </c>
      <c r="F112" s="176" t="n">
        <f aca="false">-$C$6*D112</f>
        <v>-0</v>
      </c>
      <c r="G112" s="177" t="n">
        <f aca="false">IF(C112&gt;$C$8,0,$C$9)</f>
        <v>0</v>
      </c>
    </row>
    <row r="113" customFormat="false" ht="12.75" hidden="false" customHeight="true" outlineLevel="0" collapsed="false">
      <c r="C113" s="178" t="n">
        <v>102</v>
      </c>
      <c r="D113" s="179" t="n">
        <f aca="false">D112+E112</f>
        <v>0</v>
      </c>
      <c r="E113" s="180" t="n">
        <f aca="false">G113-F113</f>
        <v>0</v>
      </c>
      <c r="F113" s="176" t="n">
        <f aca="false">-$C$6*D113</f>
        <v>-0</v>
      </c>
      <c r="G113" s="177" t="n">
        <f aca="false">IF(C113&gt;$C$8,0,$C$9)</f>
        <v>0</v>
      </c>
    </row>
    <row r="114" customFormat="false" ht="12.75" hidden="false" customHeight="true" outlineLevel="0" collapsed="false">
      <c r="C114" s="178" t="n">
        <v>103</v>
      </c>
      <c r="D114" s="179" t="n">
        <f aca="false">D113+E113</f>
        <v>0</v>
      </c>
      <c r="E114" s="180" t="n">
        <f aca="false">G114-F114</f>
        <v>0</v>
      </c>
      <c r="F114" s="176" t="n">
        <f aca="false">-$C$6*D114</f>
        <v>-0</v>
      </c>
      <c r="G114" s="177" t="n">
        <f aca="false">IF(C114&gt;$C$8,0,$C$9)</f>
        <v>0</v>
      </c>
    </row>
    <row r="115" customFormat="false" ht="12.75" hidden="false" customHeight="true" outlineLevel="0" collapsed="false">
      <c r="C115" s="178" t="n">
        <v>104</v>
      </c>
      <c r="D115" s="179" t="n">
        <f aca="false">D114+E114</f>
        <v>0</v>
      </c>
      <c r="E115" s="180" t="n">
        <f aca="false">G115-F115</f>
        <v>0</v>
      </c>
      <c r="F115" s="176" t="n">
        <f aca="false">-$C$6*D115</f>
        <v>-0</v>
      </c>
      <c r="G115" s="177" t="n">
        <f aca="false">IF(C115&gt;$C$8,0,$C$9)</f>
        <v>0</v>
      </c>
    </row>
    <row r="116" customFormat="false" ht="12.75" hidden="false" customHeight="true" outlineLevel="0" collapsed="false">
      <c r="C116" s="178" t="n">
        <v>105</v>
      </c>
      <c r="D116" s="179" t="n">
        <f aca="false">D115+E115</f>
        <v>0</v>
      </c>
      <c r="E116" s="180" t="n">
        <f aca="false">G116-F116</f>
        <v>0</v>
      </c>
      <c r="F116" s="176" t="n">
        <f aca="false">-$C$6*D116</f>
        <v>-0</v>
      </c>
      <c r="G116" s="177" t="n">
        <f aca="false">IF(C116&gt;$C$8,0,$C$9)</f>
        <v>0</v>
      </c>
    </row>
    <row r="117" customFormat="false" ht="12.75" hidden="false" customHeight="true" outlineLevel="0" collapsed="false">
      <c r="C117" s="178" t="n">
        <v>106</v>
      </c>
      <c r="D117" s="179" t="n">
        <f aca="false">D116+E116</f>
        <v>0</v>
      </c>
      <c r="E117" s="180" t="n">
        <f aca="false">G117-F117</f>
        <v>0</v>
      </c>
      <c r="F117" s="176" t="n">
        <f aca="false">-$C$6*D117</f>
        <v>-0</v>
      </c>
      <c r="G117" s="177" t="n">
        <f aca="false">IF(C117&gt;$C$8,0,$C$9)</f>
        <v>0</v>
      </c>
    </row>
    <row r="118" customFormat="false" ht="12.75" hidden="false" customHeight="true" outlineLevel="0" collapsed="false">
      <c r="C118" s="178" t="n">
        <v>107</v>
      </c>
      <c r="D118" s="179" t="n">
        <f aca="false">D117+E117</f>
        <v>0</v>
      </c>
      <c r="E118" s="180" t="n">
        <f aca="false">G118-F118</f>
        <v>0</v>
      </c>
      <c r="F118" s="176" t="n">
        <f aca="false">-$C$6*D118</f>
        <v>-0</v>
      </c>
      <c r="G118" s="177" t="n">
        <f aca="false">IF(C118&gt;$C$8,0,$C$9)</f>
        <v>0</v>
      </c>
    </row>
    <row r="119" customFormat="false" ht="12.75" hidden="false" customHeight="true" outlineLevel="0" collapsed="false">
      <c r="C119" s="178" t="n">
        <v>108</v>
      </c>
      <c r="D119" s="179" t="n">
        <f aca="false">D118+E118</f>
        <v>0</v>
      </c>
      <c r="E119" s="180" t="n">
        <f aca="false">G119-F119</f>
        <v>0</v>
      </c>
      <c r="F119" s="176" t="n">
        <f aca="false">-$C$6*D119</f>
        <v>-0</v>
      </c>
      <c r="G119" s="177" t="n">
        <f aca="false">IF(C119&gt;$C$8,0,$C$9)</f>
        <v>0</v>
      </c>
    </row>
    <row r="120" customFormat="false" ht="12.75" hidden="false" customHeight="true" outlineLevel="0" collapsed="false">
      <c r="C120" s="178" t="n">
        <v>109</v>
      </c>
      <c r="D120" s="179" t="n">
        <f aca="false">D119+E119</f>
        <v>0</v>
      </c>
      <c r="E120" s="180" t="n">
        <f aca="false">G120-F120</f>
        <v>0</v>
      </c>
      <c r="F120" s="176" t="n">
        <f aca="false">-$C$6*D120</f>
        <v>-0</v>
      </c>
      <c r="G120" s="177" t="n">
        <f aca="false">IF(C120&gt;$C$8,0,$C$9)</f>
        <v>0</v>
      </c>
    </row>
    <row r="121" customFormat="false" ht="12.75" hidden="false" customHeight="true" outlineLevel="0" collapsed="false">
      <c r="C121" s="178" t="n">
        <v>110</v>
      </c>
      <c r="D121" s="179" t="n">
        <f aca="false">D120+E120</f>
        <v>0</v>
      </c>
      <c r="E121" s="180" t="n">
        <f aca="false">G121-F121</f>
        <v>0</v>
      </c>
      <c r="F121" s="176" t="n">
        <f aca="false">-$C$6*D121</f>
        <v>-0</v>
      </c>
      <c r="G121" s="177" t="n">
        <f aca="false">IF(C121&gt;$C$8,0,$C$9)</f>
        <v>0</v>
      </c>
    </row>
    <row r="122" customFormat="false" ht="12.75" hidden="false" customHeight="true" outlineLevel="0" collapsed="false">
      <c r="C122" s="178" t="n">
        <v>111</v>
      </c>
      <c r="D122" s="179" t="n">
        <f aca="false">D121+E121</f>
        <v>0</v>
      </c>
      <c r="E122" s="180" t="n">
        <f aca="false">G122-F122</f>
        <v>0</v>
      </c>
      <c r="F122" s="176" t="n">
        <f aca="false">-$C$6*D122</f>
        <v>-0</v>
      </c>
      <c r="G122" s="177" t="n">
        <f aca="false">IF(C122&gt;$C$8,0,$C$9)</f>
        <v>0</v>
      </c>
    </row>
    <row r="123" customFormat="false" ht="12.75" hidden="false" customHeight="true" outlineLevel="0" collapsed="false">
      <c r="C123" s="178" t="n">
        <v>112</v>
      </c>
      <c r="D123" s="179" t="n">
        <f aca="false">D122+E122</f>
        <v>0</v>
      </c>
      <c r="E123" s="180" t="n">
        <f aca="false">G123-F123</f>
        <v>0</v>
      </c>
      <c r="F123" s="176" t="n">
        <f aca="false">-$C$6*D123</f>
        <v>-0</v>
      </c>
      <c r="G123" s="177" t="n">
        <f aca="false">IF(C123&gt;$C$8,0,$C$9)</f>
        <v>0</v>
      </c>
    </row>
    <row r="124" customFormat="false" ht="12.75" hidden="false" customHeight="true" outlineLevel="0" collapsed="false">
      <c r="C124" s="178" t="n">
        <v>113</v>
      </c>
      <c r="D124" s="179" t="n">
        <f aca="false">D123+E123</f>
        <v>0</v>
      </c>
      <c r="E124" s="180" t="n">
        <f aca="false">G124-F124</f>
        <v>0</v>
      </c>
      <c r="F124" s="176" t="n">
        <f aca="false">-$C$6*D124</f>
        <v>-0</v>
      </c>
      <c r="G124" s="177" t="n">
        <f aca="false">IF(C124&gt;$C$8,0,$C$9)</f>
        <v>0</v>
      </c>
    </row>
    <row r="125" customFormat="false" ht="12.75" hidden="false" customHeight="true" outlineLevel="0" collapsed="false">
      <c r="C125" s="178" t="n">
        <v>114</v>
      </c>
      <c r="D125" s="179" t="n">
        <f aca="false">D124+E124</f>
        <v>0</v>
      </c>
      <c r="E125" s="180" t="n">
        <f aca="false">G125-F125</f>
        <v>0</v>
      </c>
      <c r="F125" s="176" t="n">
        <f aca="false">-$C$6*D125</f>
        <v>-0</v>
      </c>
      <c r="G125" s="177" t="n">
        <f aca="false">IF(C125&gt;$C$8,0,$C$9)</f>
        <v>0</v>
      </c>
    </row>
    <row r="126" customFormat="false" ht="12.75" hidden="false" customHeight="true" outlineLevel="0" collapsed="false">
      <c r="C126" s="178" t="n">
        <v>115</v>
      </c>
      <c r="D126" s="179" t="n">
        <f aca="false">D125+E125</f>
        <v>0</v>
      </c>
      <c r="E126" s="180" t="n">
        <f aca="false">G126-F126</f>
        <v>0</v>
      </c>
      <c r="F126" s="176" t="n">
        <f aca="false">-$C$6*D126</f>
        <v>-0</v>
      </c>
      <c r="G126" s="177" t="n">
        <f aca="false">IF(C126&gt;$C$8,0,$C$9)</f>
        <v>0</v>
      </c>
    </row>
    <row r="127" customFormat="false" ht="12.75" hidden="false" customHeight="true" outlineLevel="0" collapsed="false">
      <c r="C127" s="178" t="n">
        <v>116</v>
      </c>
      <c r="D127" s="179" t="n">
        <f aca="false">D126+E126</f>
        <v>0</v>
      </c>
      <c r="E127" s="180" t="n">
        <f aca="false">G127-F127</f>
        <v>0</v>
      </c>
      <c r="F127" s="176" t="n">
        <f aca="false">-$C$6*D127</f>
        <v>-0</v>
      </c>
      <c r="G127" s="177" t="n">
        <f aca="false">IF(C127&gt;$C$8,0,$C$9)</f>
        <v>0</v>
      </c>
    </row>
    <row r="128" customFormat="false" ht="12.75" hidden="false" customHeight="true" outlineLevel="0" collapsed="false">
      <c r="C128" s="178" t="n">
        <v>117</v>
      </c>
      <c r="D128" s="179" t="n">
        <f aca="false">D127+E127</f>
        <v>0</v>
      </c>
      <c r="E128" s="180" t="n">
        <f aca="false">G128-F128</f>
        <v>0</v>
      </c>
      <c r="F128" s="176" t="n">
        <f aca="false">-$C$6*D128</f>
        <v>-0</v>
      </c>
      <c r="G128" s="177" t="n">
        <f aca="false">IF(C128&gt;$C$8,0,$C$9)</f>
        <v>0</v>
      </c>
    </row>
    <row r="129" customFormat="false" ht="12.75" hidden="false" customHeight="true" outlineLevel="0" collapsed="false">
      <c r="C129" s="178" t="n">
        <v>118</v>
      </c>
      <c r="D129" s="179" t="n">
        <f aca="false">D128+E128</f>
        <v>0</v>
      </c>
      <c r="E129" s="180" t="n">
        <f aca="false">G129-F129</f>
        <v>0</v>
      </c>
      <c r="F129" s="176" t="n">
        <f aca="false">-$C$6*D129</f>
        <v>-0</v>
      </c>
      <c r="G129" s="177" t="n">
        <f aca="false">IF(C129&gt;$C$8,0,$C$9)</f>
        <v>0</v>
      </c>
    </row>
    <row r="130" customFormat="false" ht="12.75" hidden="false" customHeight="true" outlineLevel="0" collapsed="false">
      <c r="C130" s="178" t="n">
        <v>119</v>
      </c>
      <c r="D130" s="179" t="n">
        <f aca="false">D129+E129</f>
        <v>0</v>
      </c>
      <c r="E130" s="180" t="n">
        <f aca="false">G130-F130</f>
        <v>0</v>
      </c>
      <c r="F130" s="176" t="n">
        <f aca="false">-$C$6*D130</f>
        <v>-0</v>
      </c>
      <c r="G130" s="177" t="n">
        <f aca="false">IF(C130&gt;$C$8,0,$C$9)</f>
        <v>0</v>
      </c>
    </row>
    <row r="131" customFormat="false" ht="12.75" hidden="false" customHeight="true" outlineLevel="0" collapsed="false">
      <c r="C131" s="178" t="n">
        <v>120</v>
      </c>
      <c r="D131" s="179" t="n">
        <f aca="false">D130+E130</f>
        <v>0</v>
      </c>
      <c r="E131" s="180" t="n">
        <f aca="false">G131-F131</f>
        <v>0</v>
      </c>
      <c r="F131" s="176" t="n">
        <f aca="false">-$C$6*D131</f>
        <v>-0</v>
      </c>
      <c r="G131" s="177" t="n">
        <f aca="false">IF(C131&gt;$C$8,0,$C$9)</f>
        <v>0</v>
      </c>
    </row>
    <row r="132" customFormat="false" ht="12.75" hidden="false" customHeight="true" outlineLevel="0" collapsed="false">
      <c r="C132" s="178" t="n">
        <v>121</v>
      </c>
      <c r="D132" s="179" t="n">
        <f aca="false">D131+E131</f>
        <v>0</v>
      </c>
      <c r="E132" s="180" t="n">
        <f aca="false">G132-F132</f>
        <v>0</v>
      </c>
      <c r="F132" s="176" t="n">
        <f aca="false">-$C$6*D132</f>
        <v>-0</v>
      </c>
      <c r="G132" s="177" t="n">
        <f aca="false">IF(C132&gt;$C$8,0,$C$9)</f>
        <v>0</v>
      </c>
    </row>
    <row r="133" customFormat="false" ht="12.75" hidden="false" customHeight="true" outlineLevel="0" collapsed="false">
      <c r="C133" s="178" t="n">
        <v>122</v>
      </c>
      <c r="D133" s="179" t="n">
        <f aca="false">D132+E132</f>
        <v>0</v>
      </c>
      <c r="E133" s="180" t="n">
        <f aca="false">G133-F133</f>
        <v>0</v>
      </c>
      <c r="F133" s="176" t="n">
        <f aca="false">-$C$6*D133</f>
        <v>-0</v>
      </c>
      <c r="G133" s="177" t="n">
        <f aca="false">IF(C133&gt;$C$8,0,$C$9)</f>
        <v>0</v>
      </c>
    </row>
    <row r="134" customFormat="false" ht="12.75" hidden="false" customHeight="true" outlineLevel="0" collapsed="false">
      <c r="C134" s="178" t="n">
        <v>123</v>
      </c>
      <c r="D134" s="179" t="n">
        <f aca="false">D133+E133</f>
        <v>0</v>
      </c>
      <c r="E134" s="180" t="n">
        <f aca="false">G134-F134</f>
        <v>0</v>
      </c>
      <c r="F134" s="176" t="n">
        <f aca="false">-$C$6*D134</f>
        <v>-0</v>
      </c>
      <c r="G134" s="177" t="n">
        <f aca="false">IF(C134&gt;$C$8,0,$C$9)</f>
        <v>0</v>
      </c>
    </row>
    <row r="135" customFormat="false" ht="12.75" hidden="false" customHeight="true" outlineLevel="0" collapsed="false">
      <c r="C135" s="178" t="n">
        <v>124</v>
      </c>
      <c r="D135" s="179" t="n">
        <f aca="false">D134+E134</f>
        <v>0</v>
      </c>
      <c r="E135" s="180" t="n">
        <f aca="false">G135-F135</f>
        <v>0</v>
      </c>
      <c r="F135" s="176" t="n">
        <f aca="false">-$C$6*D135</f>
        <v>-0</v>
      </c>
      <c r="G135" s="177" t="n">
        <f aca="false">IF(C135&gt;$C$8,0,$C$9)</f>
        <v>0</v>
      </c>
    </row>
    <row r="136" customFormat="false" ht="12.75" hidden="false" customHeight="true" outlineLevel="0" collapsed="false">
      <c r="C136" s="178" t="n">
        <v>125</v>
      </c>
      <c r="D136" s="179" t="n">
        <f aca="false">D135+E135</f>
        <v>0</v>
      </c>
      <c r="E136" s="180" t="n">
        <f aca="false">G136-F136</f>
        <v>0</v>
      </c>
      <c r="F136" s="176" t="n">
        <f aca="false">-$C$6*D136</f>
        <v>-0</v>
      </c>
      <c r="G136" s="177" t="n">
        <f aca="false">IF(C136&gt;$C$8,0,$C$9)</f>
        <v>0</v>
      </c>
    </row>
    <row r="137" customFormat="false" ht="12.75" hidden="false" customHeight="true" outlineLevel="0" collapsed="false">
      <c r="C137" s="178" t="n">
        <v>126</v>
      </c>
      <c r="D137" s="179" t="n">
        <f aca="false">D136+E136</f>
        <v>0</v>
      </c>
      <c r="E137" s="180" t="n">
        <f aca="false">G137-F137</f>
        <v>0</v>
      </c>
      <c r="F137" s="176" t="n">
        <f aca="false">-$C$6*D137</f>
        <v>-0</v>
      </c>
      <c r="G137" s="177" t="n">
        <f aca="false">IF(C137&gt;$C$8,0,$C$9)</f>
        <v>0</v>
      </c>
    </row>
    <row r="138" customFormat="false" ht="12.75" hidden="false" customHeight="true" outlineLevel="0" collapsed="false">
      <c r="C138" s="178" t="n">
        <v>127</v>
      </c>
      <c r="D138" s="179" t="n">
        <f aca="false">D137+E137</f>
        <v>0</v>
      </c>
      <c r="E138" s="180" t="n">
        <f aca="false">G138-F138</f>
        <v>0</v>
      </c>
      <c r="F138" s="176" t="n">
        <f aca="false">-$C$6*D138</f>
        <v>-0</v>
      </c>
      <c r="G138" s="177" t="n">
        <f aca="false">IF(C138&gt;$C$8,0,$C$9)</f>
        <v>0</v>
      </c>
    </row>
    <row r="139" customFormat="false" ht="12.75" hidden="false" customHeight="true" outlineLevel="0" collapsed="false">
      <c r="C139" s="178" t="n">
        <v>128</v>
      </c>
      <c r="D139" s="179" t="n">
        <f aca="false">D138+E138</f>
        <v>0</v>
      </c>
      <c r="E139" s="180" t="n">
        <f aca="false">G139-F139</f>
        <v>0</v>
      </c>
      <c r="F139" s="176" t="n">
        <f aca="false">-$C$6*D139</f>
        <v>-0</v>
      </c>
      <c r="G139" s="177" t="n">
        <f aca="false">IF(C139&gt;$C$8,0,$C$9)</f>
        <v>0</v>
      </c>
    </row>
    <row r="140" customFormat="false" ht="12.75" hidden="false" customHeight="true" outlineLevel="0" collapsed="false">
      <c r="C140" s="178" t="n">
        <v>129</v>
      </c>
      <c r="D140" s="179" t="n">
        <f aca="false">D139+E139</f>
        <v>0</v>
      </c>
      <c r="E140" s="180" t="n">
        <f aca="false">G140-F140</f>
        <v>0</v>
      </c>
      <c r="F140" s="176" t="n">
        <f aca="false">-$C$6*D140</f>
        <v>-0</v>
      </c>
      <c r="G140" s="177" t="n">
        <f aca="false">IF(C140&gt;$C$8,0,$C$9)</f>
        <v>0</v>
      </c>
    </row>
    <row r="141" customFormat="false" ht="12.75" hidden="false" customHeight="true" outlineLevel="0" collapsed="false">
      <c r="C141" s="178" t="n">
        <v>130</v>
      </c>
      <c r="D141" s="179" t="n">
        <f aca="false">D140+E140</f>
        <v>0</v>
      </c>
      <c r="E141" s="180" t="n">
        <f aca="false">G141-F141</f>
        <v>0</v>
      </c>
      <c r="F141" s="176" t="n">
        <f aca="false">-$C$6*D141</f>
        <v>-0</v>
      </c>
      <c r="G141" s="177" t="n">
        <f aca="false">IF(C141&gt;$C$8,0,$C$9)</f>
        <v>0</v>
      </c>
    </row>
    <row r="142" customFormat="false" ht="12.75" hidden="false" customHeight="true" outlineLevel="0" collapsed="false">
      <c r="C142" s="178" t="n">
        <v>131</v>
      </c>
      <c r="D142" s="179" t="n">
        <f aca="false">D141+E141</f>
        <v>0</v>
      </c>
      <c r="E142" s="180" t="n">
        <f aca="false">G142-F142</f>
        <v>0</v>
      </c>
      <c r="F142" s="176" t="n">
        <f aca="false">-$C$6*D142</f>
        <v>-0</v>
      </c>
      <c r="G142" s="177" t="n">
        <f aca="false">IF(C142&gt;$C$8,0,$C$9)</f>
        <v>0</v>
      </c>
    </row>
    <row r="143" customFormat="false" ht="12.75" hidden="false" customHeight="true" outlineLevel="0" collapsed="false">
      <c r="C143" s="178" t="n">
        <v>132</v>
      </c>
      <c r="D143" s="179" t="n">
        <f aca="false">D142+E142</f>
        <v>0</v>
      </c>
      <c r="E143" s="180" t="n">
        <f aca="false">G143-F143</f>
        <v>0</v>
      </c>
      <c r="F143" s="176" t="n">
        <f aca="false">-$C$6*D143</f>
        <v>-0</v>
      </c>
      <c r="G143" s="177" t="n">
        <f aca="false">IF(C143&gt;$C$8,0,$C$9)</f>
        <v>0</v>
      </c>
    </row>
    <row r="144" customFormat="false" ht="12.75" hidden="false" customHeight="true" outlineLevel="0" collapsed="false">
      <c r="C144" s="178" t="n">
        <v>133</v>
      </c>
      <c r="D144" s="179" t="n">
        <f aca="false">D143+E143</f>
        <v>0</v>
      </c>
      <c r="E144" s="180" t="n">
        <f aca="false">G144-F144</f>
        <v>0</v>
      </c>
      <c r="F144" s="176" t="n">
        <f aca="false">-$C$6*D144</f>
        <v>-0</v>
      </c>
      <c r="G144" s="177" t="n">
        <f aca="false">IF(C144&gt;$C$8,0,$C$9)</f>
        <v>0</v>
      </c>
    </row>
    <row r="145" customFormat="false" ht="12.75" hidden="false" customHeight="true" outlineLevel="0" collapsed="false">
      <c r="C145" s="178" t="n">
        <v>134</v>
      </c>
      <c r="D145" s="179" t="n">
        <f aca="false">D144+E144</f>
        <v>0</v>
      </c>
      <c r="E145" s="180" t="n">
        <f aca="false">G145-F145</f>
        <v>0</v>
      </c>
      <c r="F145" s="176" t="n">
        <f aca="false">-$C$6*D145</f>
        <v>-0</v>
      </c>
      <c r="G145" s="177" t="n">
        <f aca="false">IF(C145&gt;$C$8,0,$C$9)</f>
        <v>0</v>
      </c>
    </row>
    <row r="146" customFormat="false" ht="12.75" hidden="false" customHeight="true" outlineLevel="0" collapsed="false">
      <c r="C146" s="178" t="n">
        <v>135</v>
      </c>
      <c r="D146" s="179" t="n">
        <f aca="false">D145+E145</f>
        <v>0</v>
      </c>
      <c r="E146" s="180" t="n">
        <f aca="false">G146-F146</f>
        <v>0</v>
      </c>
      <c r="F146" s="176" t="n">
        <f aca="false">-$C$6*D146</f>
        <v>-0</v>
      </c>
      <c r="G146" s="177" t="n">
        <f aca="false">IF(C146&gt;$C$8,0,$C$9)</f>
        <v>0</v>
      </c>
    </row>
    <row r="147" customFormat="false" ht="12.75" hidden="false" customHeight="true" outlineLevel="0" collapsed="false">
      <c r="C147" s="178" t="n">
        <v>136</v>
      </c>
      <c r="D147" s="179" t="n">
        <f aca="false">D146+E146</f>
        <v>0</v>
      </c>
      <c r="E147" s="180" t="n">
        <f aca="false">G147-F147</f>
        <v>0</v>
      </c>
      <c r="F147" s="176" t="n">
        <f aca="false">-$C$6*D147</f>
        <v>-0</v>
      </c>
      <c r="G147" s="177" t="n">
        <f aca="false">IF(C147&gt;$C$8,0,$C$9)</f>
        <v>0</v>
      </c>
    </row>
    <row r="148" customFormat="false" ht="12.75" hidden="false" customHeight="true" outlineLevel="0" collapsed="false">
      <c r="C148" s="178" t="n">
        <v>137</v>
      </c>
      <c r="D148" s="179" t="n">
        <f aca="false">D147+E147</f>
        <v>0</v>
      </c>
      <c r="E148" s="180" t="n">
        <f aca="false">G148-F148</f>
        <v>0</v>
      </c>
      <c r="F148" s="176" t="n">
        <f aca="false">-$C$6*D148</f>
        <v>-0</v>
      </c>
      <c r="G148" s="177" t="n">
        <f aca="false">IF(C148&gt;$C$8,0,$C$9)</f>
        <v>0</v>
      </c>
    </row>
    <row r="149" customFormat="false" ht="12.75" hidden="false" customHeight="true" outlineLevel="0" collapsed="false">
      <c r="C149" s="178" t="n">
        <v>138</v>
      </c>
      <c r="D149" s="179" t="n">
        <f aca="false">D148+E148</f>
        <v>0</v>
      </c>
      <c r="E149" s="180" t="n">
        <f aca="false">G149-F149</f>
        <v>0</v>
      </c>
      <c r="F149" s="176" t="n">
        <f aca="false">-$C$6*D149</f>
        <v>-0</v>
      </c>
      <c r="G149" s="177" t="n">
        <f aca="false">IF(C149&gt;$C$8,0,$C$9)</f>
        <v>0</v>
      </c>
    </row>
    <row r="150" customFormat="false" ht="12.75" hidden="false" customHeight="true" outlineLevel="0" collapsed="false">
      <c r="C150" s="178" t="n">
        <v>139</v>
      </c>
      <c r="D150" s="179" t="n">
        <f aca="false">D149+E149</f>
        <v>0</v>
      </c>
      <c r="E150" s="180" t="n">
        <f aca="false">G150-F150</f>
        <v>0</v>
      </c>
      <c r="F150" s="176" t="n">
        <f aca="false">-$C$6*D150</f>
        <v>-0</v>
      </c>
      <c r="G150" s="177" t="n">
        <f aca="false">IF(C150&gt;$C$8,0,$C$9)</f>
        <v>0</v>
      </c>
    </row>
    <row r="151" customFormat="false" ht="12.75" hidden="false" customHeight="true" outlineLevel="0" collapsed="false">
      <c r="C151" s="178" t="n">
        <v>140</v>
      </c>
      <c r="D151" s="179" t="n">
        <f aca="false">D150+E150</f>
        <v>0</v>
      </c>
      <c r="E151" s="180" t="n">
        <f aca="false">G151-F151</f>
        <v>0</v>
      </c>
      <c r="F151" s="176" t="n">
        <f aca="false">-$C$6*D151</f>
        <v>-0</v>
      </c>
      <c r="G151" s="177" t="n">
        <f aca="false">IF(C151&gt;$C$8,0,$C$9)</f>
        <v>0</v>
      </c>
    </row>
    <row r="152" customFormat="false" ht="12.75" hidden="false" customHeight="true" outlineLevel="0" collapsed="false">
      <c r="C152" s="178" t="n">
        <v>141</v>
      </c>
      <c r="D152" s="179" t="n">
        <f aca="false">D151+E151</f>
        <v>0</v>
      </c>
      <c r="E152" s="180" t="n">
        <f aca="false">G152-F152</f>
        <v>0</v>
      </c>
      <c r="F152" s="176" t="n">
        <f aca="false">-$C$6*D152</f>
        <v>-0</v>
      </c>
      <c r="G152" s="177" t="n">
        <f aca="false">IF(C152&gt;$C$8,0,$C$9)</f>
        <v>0</v>
      </c>
    </row>
    <row r="153" customFormat="false" ht="12.75" hidden="false" customHeight="true" outlineLevel="0" collapsed="false">
      <c r="C153" s="178" t="n">
        <v>142</v>
      </c>
      <c r="D153" s="179" t="n">
        <f aca="false">D152+E152</f>
        <v>0</v>
      </c>
      <c r="E153" s="180" t="n">
        <f aca="false">G153-F153</f>
        <v>0</v>
      </c>
      <c r="F153" s="176" t="n">
        <f aca="false">-$C$6*D153</f>
        <v>-0</v>
      </c>
      <c r="G153" s="177" t="n">
        <f aca="false">IF(C153&gt;$C$8,0,$C$9)</f>
        <v>0</v>
      </c>
    </row>
    <row r="154" customFormat="false" ht="12.75" hidden="false" customHeight="true" outlineLevel="0" collapsed="false">
      <c r="C154" s="178" t="n">
        <v>143</v>
      </c>
      <c r="D154" s="179" t="n">
        <f aca="false">D153+E153</f>
        <v>0</v>
      </c>
      <c r="E154" s="180" t="n">
        <f aca="false">G154-F154</f>
        <v>0</v>
      </c>
      <c r="F154" s="176" t="n">
        <f aca="false">-$C$6*D154</f>
        <v>-0</v>
      </c>
      <c r="G154" s="177" t="n">
        <f aca="false">IF(C154&gt;$C$8,0,$C$9)</f>
        <v>0</v>
      </c>
    </row>
    <row r="155" customFormat="false" ht="12.75" hidden="false" customHeight="true" outlineLevel="0" collapsed="false">
      <c r="C155" s="178" t="n">
        <v>144</v>
      </c>
      <c r="D155" s="179" t="n">
        <f aca="false">D154+E154</f>
        <v>0</v>
      </c>
      <c r="E155" s="180" t="n">
        <f aca="false">G155-F155</f>
        <v>0</v>
      </c>
      <c r="F155" s="176" t="n">
        <f aca="false">-$C$6*D155</f>
        <v>-0</v>
      </c>
      <c r="G155" s="177" t="n">
        <f aca="false">IF(C155&gt;$C$8,0,$C$9)</f>
        <v>0</v>
      </c>
    </row>
    <row r="156" customFormat="false" ht="12.75" hidden="false" customHeight="true" outlineLevel="0" collapsed="false">
      <c r="C156" s="178" t="n">
        <v>145</v>
      </c>
      <c r="D156" s="179" t="n">
        <f aca="false">D155+E155</f>
        <v>0</v>
      </c>
      <c r="E156" s="180" t="n">
        <f aca="false">G156-F156</f>
        <v>0</v>
      </c>
      <c r="F156" s="176" t="n">
        <f aca="false">-$C$6*D156</f>
        <v>-0</v>
      </c>
      <c r="G156" s="177" t="n">
        <f aca="false">IF(C156&gt;$C$8,0,$C$9)</f>
        <v>0</v>
      </c>
    </row>
    <row r="157" customFormat="false" ht="12.75" hidden="false" customHeight="true" outlineLevel="0" collapsed="false">
      <c r="C157" s="178" t="n">
        <v>146</v>
      </c>
      <c r="D157" s="179" t="n">
        <f aca="false">D156+E156</f>
        <v>0</v>
      </c>
      <c r="E157" s="180" t="n">
        <f aca="false">G157-F157</f>
        <v>0</v>
      </c>
      <c r="F157" s="176" t="n">
        <f aca="false">-$C$6*D157</f>
        <v>-0</v>
      </c>
      <c r="G157" s="177" t="n">
        <f aca="false">IF(C157&gt;$C$8,0,$C$9)</f>
        <v>0</v>
      </c>
    </row>
    <row r="158" customFormat="false" ht="12.75" hidden="false" customHeight="true" outlineLevel="0" collapsed="false">
      <c r="C158" s="178" t="n">
        <v>147</v>
      </c>
      <c r="D158" s="179" t="n">
        <f aca="false">D157+E157</f>
        <v>0</v>
      </c>
      <c r="E158" s="180" t="n">
        <f aca="false">G158-F158</f>
        <v>0</v>
      </c>
      <c r="F158" s="176" t="n">
        <f aca="false">-$C$6*D158</f>
        <v>-0</v>
      </c>
      <c r="G158" s="177" t="n">
        <f aca="false">IF(C158&gt;$C$8,0,$C$9)</f>
        <v>0</v>
      </c>
    </row>
    <row r="159" customFormat="false" ht="12.75" hidden="false" customHeight="true" outlineLevel="0" collapsed="false">
      <c r="C159" s="178" t="n">
        <v>148</v>
      </c>
      <c r="D159" s="179" t="n">
        <f aca="false">D158+E158</f>
        <v>0</v>
      </c>
      <c r="E159" s="180" t="n">
        <f aca="false">G159-F159</f>
        <v>0</v>
      </c>
      <c r="F159" s="176" t="n">
        <f aca="false">-$C$6*D159</f>
        <v>-0</v>
      </c>
      <c r="G159" s="177" t="n">
        <f aca="false">IF(C159&gt;$C$8,0,$C$9)</f>
        <v>0</v>
      </c>
    </row>
    <row r="160" customFormat="false" ht="12.75" hidden="false" customHeight="true" outlineLevel="0" collapsed="false">
      <c r="C160" s="178" t="n">
        <v>149</v>
      </c>
      <c r="D160" s="179" t="n">
        <f aca="false">D159+E159</f>
        <v>0</v>
      </c>
      <c r="E160" s="180" t="n">
        <f aca="false">G160-F160</f>
        <v>0</v>
      </c>
      <c r="F160" s="176" t="n">
        <f aca="false">-$C$6*D160</f>
        <v>-0</v>
      </c>
      <c r="G160" s="177" t="n">
        <f aca="false">IF(C160&gt;$C$8,0,$C$9)</f>
        <v>0</v>
      </c>
    </row>
    <row r="161" customFormat="false" ht="12.75" hidden="false" customHeight="true" outlineLevel="0" collapsed="false">
      <c r="C161" s="178" t="n">
        <v>150</v>
      </c>
      <c r="D161" s="179" t="n">
        <f aca="false">D160+E160</f>
        <v>0</v>
      </c>
      <c r="E161" s="180" t="n">
        <f aca="false">G161-F161</f>
        <v>0</v>
      </c>
      <c r="F161" s="176" t="n">
        <f aca="false">-$C$6*D161</f>
        <v>-0</v>
      </c>
      <c r="G161" s="177" t="n">
        <f aca="false">IF(C161&gt;$C$8,0,$C$9)</f>
        <v>0</v>
      </c>
    </row>
    <row r="162" customFormat="false" ht="12.75" hidden="false" customHeight="true" outlineLevel="0" collapsed="false">
      <c r="C162" s="178" t="n">
        <v>151</v>
      </c>
      <c r="D162" s="179" t="n">
        <f aca="false">D161+E161</f>
        <v>0</v>
      </c>
      <c r="E162" s="180" t="n">
        <f aca="false">G162-F162</f>
        <v>0</v>
      </c>
      <c r="F162" s="176" t="n">
        <f aca="false">-$C$6*D162</f>
        <v>-0</v>
      </c>
      <c r="G162" s="177" t="n">
        <f aca="false">IF(C162&gt;$C$8,0,$C$9)</f>
        <v>0</v>
      </c>
    </row>
    <row r="163" customFormat="false" ht="12.75" hidden="false" customHeight="true" outlineLevel="0" collapsed="false">
      <c r="C163" s="178" t="n">
        <v>152</v>
      </c>
      <c r="D163" s="179" t="n">
        <f aca="false">D162+E162</f>
        <v>0</v>
      </c>
      <c r="E163" s="180" t="n">
        <f aca="false">G163-F163</f>
        <v>0</v>
      </c>
      <c r="F163" s="176" t="n">
        <f aca="false">-$C$6*D163</f>
        <v>-0</v>
      </c>
      <c r="G163" s="177" t="n">
        <f aca="false">IF(C163&gt;$C$8,0,$C$9)</f>
        <v>0</v>
      </c>
    </row>
    <row r="164" customFormat="false" ht="12.75" hidden="false" customHeight="true" outlineLevel="0" collapsed="false">
      <c r="C164" s="178" t="n">
        <v>153</v>
      </c>
      <c r="D164" s="179" t="n">
        <f aca="false">D163+E163</f>
        <v>0</v>
      </c>
      <c r="E164" s="180" t="n">
        <f aca="false">G164-F164</f>
        <v>0</v>
      </c>
      <c r="F164" s="176" t="n">
        <f aca="false">-$C$6*D164</f>
        <v>-0</v>
      </c>
      <c r="G164" s="177" t="n">
        <f aca="false">IF(C164&gt;$C$8,0,$C$9)</f>
        <v>0</v>
      </c>
    </row>
    <row r="165" customFormat="false" ht="12.75" hidden="false" customHeight="true" outlineLevel="0" collapsed="false">
      <c r="C165" s="178" t="n">
        <v>154</v>
      </c>
      <c r="D165" s="179" t="n">
        <f aca="false">D164+E164</f>
        <v>0</v>
      </c>
      <c r="E165" s="180" t="n">
        <f aca="false">G165-F165</f>
        <v>0</v>
      </c>
      <c r="F165" s="176" t="n">
        <f aca="false">-$C$6*D165</f>
        <v>-0</v>
      </c>
      <c r="G165" s="177" t="n">
        <f aca="false">IF(C165&gt;$C$8,0,$C$9)</f>
        <v>0</v>
      </c>
    </row>
    <row r="166" customFormat="false" ht="12.75" hidden="false" customHeight="true" outlineLevel="0" collapsed="false">
      <c r="C166" s="178" t="n">
        <v>155</v>
      </c>
      <c r="D166" s="179" t="n">
        <f aca="false">D165+E165</f>
        <v>0</v>
      </c>
      <c r="E166" s="180" t="n">
        <f aca="false">G166-F166</f>
        <v>0</v>
      </c>
      <c r="F166" s="176" t="n">
        <f aca="false">-$C$6*D166</f>
        <v>-0</v>
      </c>
      <c r="G166" s="177" t="n">
        <f aca="false">IF(C166&gt;$C$8,0,$C$9)</f>
        <v>0</v>
      </c>
    </row>
    <row r="167" customFormat="false" ht="12.75" hidden="false" customHeight="true" outlineLevel="0" collapsed="false">
      <c r="C167" s="178" t="n">
        <v>156</v>
      </c>
      <c r="D167" s="179" t="n">
        <f aca="false">D166+E166</f>
        <v>0</v>
      </c>
      <c r="E167" s="180" t="n">
        <f aca="false">G167-F167</f>
        <v>0</v>
      </c>
      <c r="F167" s="176" t="n">
        <f aca="false">-$C$6*D167</f>
        <v>-0</v>
      </c>
      <c r="G167" s="177" t="n">
        <f aca="false">IF(C167&gt;$C$8,0,$C$9)</f>
        <v>0</v>
      </c>
    </row>
    <row r="168" customFormat="false" ht="12.75" hidden="false" customHeight="true" outlineLevel="0" collapsed="false">
      <c r="C168" s="178" t="n">
        <v>157</v>
      </c>
      <c r="D168" s="179" t="n">
        <f aca="false">D167+E167</f>
        <v>0</v>
      </c>
      <c r="E168" s="180" t="n">
        <f aca="false">G168-F168</f>
        <v>0</v>
      </c>
      <c r="F168" s="176" t="n">
        <f aca="false">-$C$6*D168</f>
        <v>-0</v>
      </c>
      <c r="G168" s="177" t="n">
        <f aca="false">IF(C168&gt;$C$8,0,$C$9)</f>
        <v>0</v>
      </c>
    </row>
    <row r="169" customFormat="false" ht="12.75" hidden="false" customHeight="true" outlineLevel="0" collapsed="false">
      <c r="C169" s="178" t="n">
        <v>158</v>
      </c>
      <c r="D169" s="179" t="n">
        <f aca="false">D168+E168</f>
        <v>0</v>
      </c>
      <c r="E169" s="180" t="n">
        <f aca="false">G169-F169</f>
        <v>0</v>
      </c>
      <c r="F169" s="176" t="n">
        <f aca="false">-$C$6*D169</f>
        <v>-0</v>
      </c>
      <c r="G169" s="177" t="n">
        <f aca="false">IF(C169&gt;$C$8,0,$C$9)</f>
        <v>0</v>
      </c>
    </row>
    <row r="170" customFormat="false" ht="12.75" hidden="false" customHeight="true" outlineLevel="0" collapsed="false">
      <c r="C170" s="178" t="n">
        <v>159</v>
      </c>
      <c r="D170" s="179" t="n">
        <f aca="false">D169+E169</f>
        <v>0</v>
      </c>
      <c r="E170" s="180" t="n">
        <f aca="false">G170-F170</f>
        <v>0</v>
      </c>
      <c r="F170" s="176" t="n">
        <f aca="false">-$C$6*D170</f>
        <v>-0</v>
      </c>
      <c r="G170" s="177" t="n">
        <f aca="false">IF(C170&gt;$C$8,0,$C$9)</f>
        <v>0</v>
      </c>
    </row>
    <row r="171" customFormat="false" ht="12.75" hidden="false" customHeight="true" outlineLevel="0" collapsed="false">
      <c r="C171" s="178" t="n">
        <v>160</v>
      </c>
      <c r="D171" s="179" t="n">
        <f aca="false">D170+E170</f>
        <v>0</v>
      </c>
      <c r="E171" s="180" t="n">
        <f aca="false">G171-F171</f>
        <v>0</v>
      </c>
      <c r="F171" s="176" t="n">
        <f aca="false">-$C$6*D171</f>
        <v>-0</v>
      </c>
      <c r="G171" s="177" t="n">
        <f aca="false">IF(C171&gt;$C$8,0,$C$9)</f>
        <v>0</v>
      </c>
    </row>
    <row r="172" customFormat="false" ht="12.75" hidden="false" customHeight="true" outlineLevel="0" collapsed="false">
      <c r="C172" s="178" t="n">
        <v>161</v>
      </c>
      <c r="D172" s="179" t="n">
        <f aca="false">D171+E171</f>
        <v>0</v>
      </c>
      <c r="E172" s="180" t="n">
        <f aca="false">G172-F172</f>
        <v>0</v>
      </c>
      <c r="F172" s="176" t="n">
        <f aca="false">-$C$6*D172</f>
        <v>-0</v>
      </c>
      <c r="G172" s="177" t="n">
        <f aca="false">IF(C172&gt;$C$8,0,$C$9)</f>
        <v>0</v>
      </c>
    </row>
    <row r="173" customFormat="false" ht="12.75" hidden="false" customHeight="true" outlineLevel="0" collapsed="false">
      <c r="C173" s="178" t="n">
        <v>162</v>
      </c>
      <c r="D173" s="179" t="n">
        <f aca="false">D172+E172</f>
        <v>0</v>
      </c>
      <c r="E173" s="180" t="n">
        <f aca="false">G173-F173</f>
        <v>0</v>
      </c>
      <c r="F173" s="176" t="n">
        <f aca="false">-$C$6*D173</f>
        <v>-0</v>
      </c>
      <c r="G173" s="177" t="n">
        <f aca="false">IF(C173&gt;$C$8,0,$C$9)</f>
        <v>0</v>
      </c>
    </row>
    <row r="174" customFormat="false" ht="12.75" hidden="false" customHeight="true" outlineLevel="0" collapsed="false">
      <c r="C174" s="178" t="n">
        <v>163</v>
      </c>
      <c r="D174" s="179" t="n">
        <f aca="false">D173+E173</f>
        <v>0</v>
      </c>
      <c r="E174" s="180" t="n">
        <f aca="false">G174-F174</f>
        <v>0</v>
      </c>
      <c r="F174" s="176" t="n">
        <f aca="false">-$C$6*D174</f>
        <v>-0</v>
      </c>
      <c r="G174" s="177" t="n">
        <f aca="false">IF(C174&gt;$C$8,0,$C$9)</f>
        <v>0</v>
      </c>
    </row>
    <row r="175" customFormat="false" ht="12.75" hidden="false" customHeight="true" outlineLevel="0" collapsed="false">
      <c r="C175" s="178" t="n">
        <v>164</v>
      </c>
      <c r="D175" s="179" t="n">
        <f aca="false">D174+E174</f>
        <v>0</v>
      </c>
      <c r="E175" s="180" t="n">
        <f aca="false">G175-F175</f>
        <v>0</v>
      </c>
      <c r="F175" s="176" t="n">
        <f aca="false">-$C$6*D175</f>
        <v>-0</v>
      </c>
      <c r="G175" s="177" t="n">
        <f aca="false">IF(C175&gt;$C$8,0,$C$9)</f>
        <v>0</v>
      </c>
    </row>
    <row r="176" customFormat="false" ht="12.75" hidden="false" customHeight="true" outlineLevel="0" collapsed="false">
      <c r="C176" s="178" t="n">
        <v>165</v>
      </c>
      <c r="D176" s="179" t="n">
        <f aca="false">D175+E175</f>
        <v>0</v>
      </c>
      <c r="E176" s="180" t="n">
        <f aca="false">G176-F176</f>
        <v>0</v>
      </c>
      <c r="F176" s="176" t="n">
        <f aca="false">-$C$6*D176</f>
        <v>-0</v>
      </c>
      <c r="G176" s="177" t="n">
        <f aca="false">IF(C176&gt;$C$8,0,$C$9)</f>
        <v>0</v>
      </c>
    </row>
    <row r="177" customFormat="false" ht="12.75" hidden="false" customHeight="true" outlineLevel="0" collapsed="false">
      <c r="C177" s="178" t="n">
        <v>166</v>
      </c>
      <c r="D177" s="179" t="n">
        <f aca="false">D176+E176</f>
        <v>0</v>
      </c>
      <c r="E177" s="180" t="n">
        <f aca="false">G177-F177</f>
        <v>0</v>
      </c>
      <c r="F177" s="176" t="n">
        <f aca="false">-$C$6*D177</f>
        <v>-0</v>
      </c>
      <c r="G177" s="177" t="n">
        <f aca="false">IF(C177&gt;$C$8,0,$C$9)</f>
        <v>0</v>
      </c>
    </row>
    <row r="178" customFormat="false" ht="12.75" hidden="false" customHeight="true" outlineLevel="0" collapsed="false">
      <c r="C178" s="178" t="n">
        <v>167</v>
      </c>
      <c r="D178" s="179" t="n">
        <f aca="false">D177+E177</f>
        <v>0</v>
      </c>
      <c r="E178" s="180" t="n">
        <f aca="false">G178-F178</f>
        <v>0</v>
      </c>
      <c r="F178" s="176" t="n">
        <f aca="false">-$C$6*D178</f>
        <v>-0</v>
      </c>
      <c r="G178" s="177" t="n">
        <f aca="false">IF(C178&gt;$C$8,0,$C$9)</f>
        <v>0</v>
      </c>
    </row>
    <row r="179" customFormat="false" ht="12.75" hidden="false" customHeight="true" outlineLevel="0" collapsed="false">
      <c r="C179" s="178" t="n">
        <v>168</v>
      </c>
      <c r="D179" s="179" t="n">
        <f aca="false">D178+E178</f>
        <v>0</v>
      </c>
      <c r="E179" s="180" t="n">
        <f aca="false">G179-F179</f>
        <v>0</v>
      </c>
      <c r="F179" s="176" t="n">
        <f aca="false">-$C$6*D179</f>
        <v>-0</v>
      </c>
      <c r="G179" s="177" t="n">
        <f aca="false">IF(C179&gt;$C$8,0,$C$9)</f>
        <v>0</v>
      </c>
    </row>
    <row r="180" customFormat="false" ht="12.75" hidden="false" customHeight="true" outlineLevel="0" collapsed="false">
      <c r="C180" s="178" t="n">
        <v>169</v>
      </c>
      <c r="D180" s="179" t="n">
        <f aca="false">D179+E179</f>
        <v>0</v>
      </c>
      <c r="E180" s="180" t="n">
        <f aca="false">G180-F180</f>
        <v>0</v>
      </c>
      <c r="F180" s="176" t="n">
        <f aca="false">-$C$6*D180</f>
        <v>-0</v>
      </c>
      <c r="G180" s="177" t="n">
        <f aca="false">IF(C180&gt;$C$8,0,$C$9)</f>
        <v>0</v>
      </c>
    </row>
    <row r="181" customFormat="false" ht="12.75" hidden="false" customHeight="true" outlineLevel="0" collapsed="false">
      <c r="C181" s="178" t="n">
        <v>170</v>
      </c>
      <c r="D181" s="179" t="n">
        <f aca="false">D180+E180</f>
        <v>0</v>
      </c>
      <c r="E181" s="180" t="n">
        <f aca="false">G181-F181</f>
        <v>0</v>
      </c>
      <c r="F181" s="176" t="n">
        <f aca="false">-$C$6*D181</f>
        <v>-0</v>
      </c>
      <c r="G181" s="177" t="n">
        <f aca="false">IF(C181&gt;$C$8,0,$C$9)</f>
        <v>0</v>
      </c>
    </row>
    <row r="182" customFormat="false" ht="12.75" hidden="false" customHeight="true" outlineLevel="0" collapsed="false">
      <c r="C182" s="178" t="n">
        <v>171</v>
      </c>
      <c r="D182" s="179" t="n">
        <f aca="false">D181+E181</f>
        <v>0</v>
      </c>
      <c r="E182" s="180" t="n">
        <f aca="false">G182-F182</f>
        <v>0</v>
      </c>
      <c r="F182" s="176" t="n">
        <f aca="false">-$C$6*D182</f>
        <v>-0</v>
      </c>
      <c r="G182" s="177" t="n">
        <f aca="false">IF(C182&gt;$C$8,0,$C$9)</f>
        <v>0</v>
      </c>
    </row>
    <row r="183" customFormat="false" ht="12.75" hidden="false" customHeight="true" outlineLevel="0" collapsed="false">
      <c r="C183" s="178" t="n">
        <v>172</v>
      </c>
      <c r="D183" s="179" t="n">
        <f aca="false">D182+E182</f>
        <v>0</v>
      </c>
      <c r="E183" s="180" t="n">
        <f aca="false">G183-F183</f>
        <v>0</v>
      </c>
      <c r="F183" s="176" t="n">
        <f aca="false">-$C$6*D183</f>
        <v>-0</v>
      </c>
      <c r="G183" s="177" t="n">
        <f aca="false">IF(C183&gt;$C$8,0,$C$9)</f>
        <v>0</v>
      </c>
    </row>
    <row r="184" customFormat="false" ht="12.75" hidden="false" customHeight="true" outlineLevel="0" collapsed="false">
      <c r="C184" s="178" t="n">
        <v>173</v>
      </c>
      <c r="D184" s="179" t="n">
        <f aca="false">D183+E183</f>
        <v>0</v>
      </c>
      <c r="E184" s="180" t="n">
        <f aca="false">G184-F184</f>
        <v>0</v>
      </c>
      <c r="F184" s="176" t="n">
        <f aca="false">-$C$6*D184</f>
        <v>-0</v>
      </c>
      <c r="G184" s="177" t="n">
        <f aca="false">IF(C184&gt;$C$8,0,$C$9)</f>
        <v>0</v>
      </c>
    </row>
    <row r="185" customFormat="false" ht="12.75" hidden="false" customHeight="true" outlineLevel="0" collapsed="false">
      <c r="C185" s="178" t="n">
        <v>174</v>
      </c>
      <c r="D185" s="179" t="n">
        <f aca="false">D184+E184</f>
        <v>0</v>
      </c>
      <c r="E185" s="180" t="n">
        <f aca="false">G185-F185</f>
        <v>0</v>
      </c>
      <c r="F185" s="176" t="n">
        <f aca="false">-$C$6*D185</f>
        <v>-0</v>
      </c>
      <c r="G185" s="177" t="n">
        <f aca="false">IF(C185&gt;$C$8,0,$C$9)</f>
        <v>0</v>
      </c>
    </row>
    <row r="186" customFormat="false" ht="12.75" hidden="false" customHeight="true" outlineLevel="0" collapsed="false">
      <c r="C186" s="178" t="n">
        <v>175</v>
      </c>
      <c r="D186" s="179" t="n">
        <f aca="false">D185+E185</f>
        <v>0</v>
      </c>
      <c r="E186" s="180" t="n">
        <f aca="false">G186-F186</f>
        <v>0</v>
      </c>
      <c r="F186" s="176" t="n">
        <f aca="false">-$C$6*D186</f>
        <v>-0</v>
      </c>
      <c r="G186" s="177" t="n">
        <f aca="false">IF(C186&gt;$C$8,0,$C$9)</f>
        <v>0</v>
      </c>
    </row>
    <row r="187" customFormat="false" ht="12.75" hidden="false" customHeight="true" outlineLevel="0" collapsed="false">
      <c r="C187" s="178" t="n">
        <v>176</v>
      </c>
      <c r="D187" s="179" t="n">
        <f aca="false">D186+E186</f>
        <v>0</v>
      </c>
      <c r="E187" s="180" t="n">
        <f aca="false">G187-F187</f>
        <v>0</v>
      </c>
      <c r="F187" s="176" t="n">
        <f aca="false">-$C$6*D187</f>
        <v>-0</v>
      </c>
      <c r="G187" s="177" t="n">
        <f aca="false">IF(C187&gt;$C$8,0,$C$9)</f>
        <v>0</v>
      </c>
    </row>
    <row r="188" customFormat="false" ht="12.75" hidden="false" customHeight="true" outlineLevel="0" collapsed="false">
      <c r="C188" s="178" t="n">
        <v>177</v>
      </c>
      <c r="D188" s="179" t="n">
        <f aca="false">D187+E187</f>
        <v>0</v>
      </c>
      <c r="E188" s="180" t="n">
        <f aca="false">G188-F188</f>
        <v>0</v>
      </c>
      <c r="F188" s="176" t="n">
        <f aca="false">-$C$6*D188</f>
        <v>-0</v>
      </c>
      <c r="G188" s="177" t="n">
        <f aca="false">IF(C188&gt;$C$8,0,$C$9)</f>
        <v>0</v>
      </c>
    </row>
    <row r="189" customFormat="false" ht="12.75" hidden="false" customHeight="true" outlineLevel="0" collapsed="false">
      <c r="C189" s="178" t="n">
        <v>178</v>
      </c>
      <c r="D189" s="179" t="n">
        <f aca="false">D188+E188</f>
        <v>0</v>
      </c>
      <c r="E189" s="180" t="n">
        <f aca="false">G189-F189</f>
        <v>0</v>
      </c>
      <c r="F189" s="176" t="n">
        <f aca="false">-$C$6*D189</f>
        <v>-0</v>
      </c>
      <c r="G189" s="177" t="n">
        <f aca="false">IF(C189&gt;$C$8,0,$C$9)</f>
        <v>0</v>
      </c>
    </row>
    <row r="190" customFormat="false" ht="12.75" hidden="false" customHeight="true" outlineLevel="0" collapsed="false">
      <c r="C190" s="178" t="n">
        <v>179</v>
      </c>
      <c r="D190" s="179" t="n">
        <f aca="false">D189+E189</f>
        <v>0</v>
      </c>
      <c r="E190" s="180" t="n">
        <f aca="false">G190-F190</f>
        <v>0</v>
      </c>
      <c r="F190" s="176" t="n">
        <f aca="false">-$C$6*D190</f>
        <v>-0</v>
      </c>
      <c r="G190" s="177" t="n">
        <f aca="false">IF(C190&gt;$C$8,0,$C$9)</f>
        <v>0</v>
      </c>
    </row>
    <row r="191" customFormat="false" ht="12.75" hidden="false" customHeight="true" outlineLevel="0" collapsed="false">
      <c r="C191" s="178" t="n">
        <v>180</v>
      </c>
      <c r="D191" s="179" t="n">
        <f aca="false">D190+E190</f>
        <v>0</v>
      </c>
      <c r="E191" s="180" t="n">
        <f aca="false">G191-F191</f>
        <v>0</v>
      </c>
      <c r="F191" s="176" t="n">
        <f aca="false">-$C$6*D191</f>
        <v>-0</v>
      </c>
      <c r="G191" s="177" t="n">
        <f aca="false">IF(C191&gt;$C$8,0,$C$9)</f>
        <v>0</v>
      </c>
    </row>
    <row r="192" customFormat="false" ht="12.75" hidden="false" customHeight="true" outlineLevel="0" collapsed="false">
      <c r="C192" s="178" t="n">
        <v>181</v>
      </c>
      <c r="D192" s="179" t="n">
        <f aca="false">D191+E191</f>
        <v>0</v>
      </c>
      <c r="E192" s="180" t="n">
        <f aca="false">G192-F192</f>
        <v>0</v>
      </c>
      <c r="F192" s="176" t="n">
        <f aca="false">-$C$6*D192</f>
        <v>-0</v>
      </c>
      <c r="G192" s="177" t="n">
        <f aca="false">IF(C192&gt;$C$8,0,$C$9)</f>
        <v>0</v>
      </c>
    </row>
    <row r="193" customFormat="false" ht="12.75" hidden="false" customHeight="true" outlineLevel="0" collapsed="false">
      <c r="C193" s="178" t="n">
        <v>182</v>
      </c>
      <c r="D193" s="179" t="n">
        <f aca="false">D192+E192</f>
        <v>0</v>
      </c>
      <c r="E193" s="180" t="n">
        <f aca="false">G193-F193</f>
        <v>0</v>
      </c>
      <c r="F193" s="176" t="n">
        <f aca="false">-$C$6*D193</f>
        <v>-0</v>
      </c>
      <c r="G193" s="177" t="n">
        <f aca="false">IF(C193&gt;$C$8,0,$C$9)</f>
        <v>0</v>
      </c>
    </row>
    <row r="194" customFormat="false" ht="12.75" hidden="false" customHeight="true" outlineLevel="0" collapsed="false">
      <c r="C194" s="178" t="n">
        <v>183</v>
      </c>
      <c r="D194" s="179" t="n">
        <f aca="false">D193+E193</f>
        <v>0</v>
      </c>
      <c r="E194" s="180" t="n">
        <f aca="false">G194-F194</f>
        <v>0</v>
      </c>
      <c r="F194" s="176" t="n">
        <f aca="false">-$C$6*D194</f>
        <v>-0</v>
      </c>
      <c r="G194" s="177" t="n">
        <f aca="false">IF(C194&gt;$C$8,0,$C$9)</f>
        <v>0</v>
      </c>
    </row>
    <row r="195" customFormat="false" ht="12.75" hidden="false" customHeight="true" outlineLevel="0" collapsed="false">
      <c r="C195" s="178" t="n">
        <v>184</v>
      </c>
      <c r="D195" s="179" t="n">
        <f aca="false">D194+E194</f>
        <v>0</v>
      </c>
      <c r="E195" s="180" t="n">
        <f aca="false">G195-F195</f>
        <v>0</v>
      </c>
      <c r="F195" s="176" t="n">
        <f aca="false">-$C$6*D195</f>
        <v>-0</v>
      </c>
      <c r="G195" s="177" t="n">
        <f aca="false">IF(C195&gt;$C$8,0,$C$9)</f>
        <v>0</v>
      </c>
    </row>
    <row r="196" customFormat="false" ht="12.75" hidden="false" customHeight="true" outlineLevel="0" collapsed="false">
      <c r="C196" s="178" t="n">
        <v>185</v>
      </c>
      <c r="D196" s="179" t="n">
        <f aca="false">D195+E195</f>
        <v>0</v>
      </c>
      <c r="E196" s="180" t="n">
        <f aca="false">G196-F196</f>
        <v>0</v>
      </c>
      <c r="F196" s="176" t="n">
        <f aca="false">-$C$6*D196</f>
        <v>-0</v>
      </c>
      <c r="G196" s="177" t="n">
        <f aca="false">IF(C196&gt;$C$8,0,$C$9)</f>
        <v>0</v>
      </c>
    </row>
    <row r="197" customFormat="false" ht="12.75" hidden="false" customHeight="true" outlineLevel="0" collapsed="false">
      <c r="C197" s="178" t="n">
        <v>186</v>
      </c>
      <c r="D197" s="179" t="n">
        <f aca="false">D196+E196</f>
        <v>0</v>
      </c>
      <c r="E197" s="180" t="n">
        <f aca="false">G197-F197</f>
        <v>0</v>
      </c>
      <c r="F197" s="176" t="n">
        <f aca="false">-$C$6*D197</f>
        <v>-0</v>
      </c>
      <c r="G197" s="177" t="n">
        <f aca="false">IF(C197&gt;$C$8,0,$C$9)</f>
        <v>0</v>
      </c>
    </row>
    <row r="198" customFormat="false" ht="12.75" hidden="false" customHeight="true" outlineLevel="0" collapsed="false">
      <c r="C198" s="178" t="n">
        <v>187</v>
      </c>
      <c r="D198" s="179" t="n">
        <f aca="false">D197+E197</f>
        <v>0</v>
      </c>
      <c r="E198" s="180" t="n">
        <f aca="false">G198-F198</f>
        <v>0</v>
      </c>
      <c r="F198" s="176" t="n">
        <f aca="false">-$C$6*D198</f>
        <v>-0</v>
      </c>
      <c r="G198" s="177" t="n">
        <f aca="false">IF(C198&gt;$C$8,0,$C$9)</f>
        <v>0</v>
      </c>
    </row>
    <row r="199" customFormat="false" ht="12.75" hidden="false" customHeight="true" outlineLevel="0" collapsed="false">
      <c r="C199" s="178" t="n">
        <v>188</v>
      </c>
      <c r="D199" s="179" t="n">
        <f aca="false">D198+E198</f>
        <v>0</v>
      </c>
      <c r="E199" s="180" t="n">
        <f aca="false">G199-F199</f>
        <v>0</v>
      </c>
      <c r="F199" s="176" t="n">
        <f aca="false">-$C$6*D199</f>
        <v>-0</v>
      </c>
      <c r="G199" s="177" t="n">
        <f aca="false">IF(C199&gt;$C$8,0,$C$9)</f>
        <v>0</v>
      </c>
    </row>
    <row r="200" customFormat="false" ht="12.75" hidden="false" customHeight="true" outlineLevel="0" collapsed="false">
      <c r="C200" s="178" t="n">
        <v>189</v>
      </c>
      <c r="D200" s="179" t="n">
        <f aca="false">D199+E199</f>
        <v>0</v>
      </c>
      <c r="E200" s="180" t="n">
        <f aca="false">G200-F200</f>
        <v>0</v>
      </c>
      <c r="F200" s="176" t="n">
        <f aca="false">-$C$6*D200</f>
        <v>-0</v>
      </c>
      <c r="G200" s="177" t="n">
        <f aca="false">IF(C200&gt;$C$8,0,$C$9)</f>
        <v>0</v>
      </c>
    </row>
    <row r="201" customFormat="false" ht="12.75" hidden="false" customHeight="true" outlineLevel="0" collapsed="false">
      <c r="C201" s="178" t="n">
        <v>190</v>
      </c>
      <c r="D201" s="179" t="n">
        <f aca="false">D200+E200</f>
        <v>0</v>
      </c>
      <c r="E201" s="180" t="n">
        <f aca="false">G201-F201</f>
        <v>0</v>
      </c>
      <c r="F201" s="176" t="n">
        <f aca="false">-$C$6*D201</f>
        <v>-0</v>
      </c>
      <c r="G201" s="177" t="n">
        <f aca="false">IF(C201&gt;$C$8,0,$C$9)</f>
        <v>0</v>
      </c>
    </row>
    <row r="202" customFormat="false" ht="12.75" hidden="false" customHeight="true" outlineLevel="0" collapsed="false">
      <c r="C202" s="178" t="n">
        <v>191</v>
      </c>
      <c r="D202" s="179" t="n">
        <f aca="false">D201+E201</f>
        <v>0</v>
      </c>
      <c r="E202" s="180" t="n">
        <f aca="false">G202-F202</f>
        <v>0</v>
      </c>
      <c r="F202" s="176" t="n">
        <f aca="false">-$C$6*D202</f>
        <v>-0</v>
      </c>
      <c r="G202" s="177" t="n">
        <f aca="false">IF(C202&gt;$C$8,0,$C$9)</f>
        <v>0</v>
      </c>
    </row>
    <row r="203" customFormat="false" ht="12.75" hidden="false" customHeight="true" outlineLevel="0" collapsed="false">
      <c r="C203" s="178" t="n">
        <v>192</v>
      </c>
      <c r="D203" s="179" t="n">
        <f aca="false">D202+E202</f>
        <v>0</v>
      </c>
      <c r="E203" s="180" t="n">
        <f aca="false">G203-F203</f>
        <v>0</v>
      </c>
      <c r="F203" s="176" t="n">
        <f aca="false">-$C$6*D203</f>
        <v>-0</v>
      </c>
      <c r="G203" s="177" t="n">
        <f aca="false">IF(C203&gt;$C$8,0,$C$9)</f>
        <v>0</v>
      </c>
    </row>
    <row r="204" customFormat="false" ht="12.75" hidden="false" customHeight="true" outlineLevel="0" collapsed="false">
      <c r="C204" s="178" t="n">
        <v>193</v>
      </c>
      <c r="D204" s="179" t="n">
        <f aca="false">D203+E203</f>
        <v>0</v>
      </c>
      <c r="E204" s="180" t="n">
        <f aca="false">G204-F204</f>
        <v>0</v>
      </c>
      <c r="F204" s="176" t="n">
        <f aca="false">-$C$6*D204</f>
        <v>-0</v>
      </c>
      <c r="G204" s="177" t="n">
        <f aca="false">IF(C204&gt;$C$8,0,$C$9)</f>
        <v>0</v>
      </c>
    </row>
    <row r="205" customFormat="false" ht="12.75" hidden="false" customHeight="true" outlineLevel="0" collapsed="false">
      <c r="C205" s="178" t="n">
        <v>194</v>
      </c>
      <c r="D205" s="179" t="n">
        <f aca="false">D204+E204</f>
        <v>0</v>
      </c>
      <c r="E205" s="180" t="n">
        <f aca="false">G205-F205</f>
        <v>0</v>
      </c>
      <c r="F205" s="176" t="n">
        <f aca="false">-$C$6*D205</f>
        <v>-0</v>
      </c>
      <c r="G205" s="177" t="n">
        <f aca="false">IF(C205&gt;$C$8,0,$C$9)</f>
        <v>0</v>
      </c>
    </row>
    <row r="206" customFormat="false" ht="12.75" hidden="false" customHeight="true" outlineLevel="0" collapsed="false">
      <c r="C206" s="178" t="n">
        <v>195</v>
      </c>
      <c r="D206" s="179" t="n">
        <f aca="false">D205+E205</f>
        <v>0</v>
      </c>
      <c r="E206" s="180" t="n">
        <f aca="false">G206-F206</f>
        <v>0</v>
      </c>
      <c r="F206" s="176" t="n">
        <f aca="false">-$C$6*D206</f>
        <v>-0</v>
      </c>
      <c r="G206" s="177" t="n">
        <f aca="false">IF(C206&gt;$C$8,0,$C$9)</f>
        <v>0</v>
      </c>
    </row>
    <row r="207" customFormat="false" ht="12.75" hidden="false" customHeight="true" outlineLevel="0" collapsed="false">
      <c r="C207" s="178" t="n">
        <v>196</v>
      </c>
      <c r="D207" s="179" t="n">
        <f aca="false">D206+E206</f>
        <v>0</v>
      </c>
      <c r="E207" s="180" t="n">
        <f aca="false">G207-F207</f>
        <v>0</v>
      </c>
      <c r="F207" s="176" t="n">
        <f aca="false">-$C$6*D207</f>
        <v>-0</v>
      </c>
      <c r="G207" s="177" t="n">
        <f aca="false">IF(C207&gt;$C$8,0,$C$9)</f>
        <v>0</v>
      </c>
    </row>
    <row r="208" customFormat="false" ht="12.75" hidden="false" customHeight="true" outlineLevel="0" collapsed="false">
      <c r="C208" s="178" t="n">
        <v>197</v>
      </c>
      <c r="D208" s="179" t="n">
        <f aca="false">D207+E207</f>
        <v>0</v>
      </c>
      <c r="E208" s="180" t="n">
        <f aca="false">G208-F208</f>
        <v>0</v>
      </c>
      <c r="F208" s="176" t="n">
        <f aca="false">-$C$6*D208</f>
        <v>-0</v>
      </c>
      <c r="G208" s="177" t="n">
        <f aca="false">IF(C208&gt;$C$8,0,$C$9)</f>
        <v>0</v>
      </c>
    </row>
    <row r="209" customFormat="false" ht="12.75" hidden="false" customHeight="true" outlineLevel="0" collapsed="false">
      <c r="C209" s="178" t="n">
        <v>198</v>
      </c>
      <c r="D209" s="179" t="n">
        <f aca="false">D208+E208</f>
        <v>0</v>
      </c>
      <c r="E209" s="180" t="n">
        <f aca="false">G209-F209</f>
        <v>0</v>
      </c>
      <c r="F209" s="176" t="n">
        <f aca="false">-$C$6*D209</f>
        <v>-0</v>
      </c>
      <c r="G209" s="177" t="n">
        <f aca="false">IF(C209&gt;$C$8,0,$C$9)</f>
        <v>0</v>
      </c>
    </row>
    <row r="210" customFormat="false" ht="12.75" hidden="false" customHeight="true" outlineLevel="0" collapsed="false">
      <c r="C210" s="178" t="n">
        <v>199</v>
      </c>
      <c r="D210" s="179" t="n">
        <f aca="false">D209+E209</f>
        <v>0</v>
      </c>
      <c r="E210" s="180" t="n">
        <f aca="false">G210-F210</f>
        <v>0</v>
      </c>
      <c r="F210" s="176" t="n">
        <f aca="false">-$C$6*D210</f>
        <v>-0</v>
      </c>
      <c r="G210" s="177" t="n">
        <f aca="false">IF(C210&gt;$C$8,0,$C$9)</f>
        <v>0</v>
      </c>
    </row>
    <row r="211" customFormat="false" ht="12.75" hidden="false" customHeight="true" outlineLevel="0" collapsed="false">
      <c r="C211" s="178" t="n">
        <v>200</v>
      </c>
      <c r="D211" s="179" t="n">
        <f aca="false">D210+E210</f>
        <v>0</v>
      </c>
      <c r="E211" s="180" t="n">
        <f aca="false">G211-F211</f>
        <v>0</v>
      </c>
      <c r="F211" s="176" t="n">
        <f aca="false">-$C$6*D211</f>
        <v>-0</v>
      </c>
      <c r="G211" s="177" t="n">
        <f aca="false">IF(C211&gt;$C$8,0,$C$9)</f>
        <v>0</v>
      </c>
    </row>
    <row r="212" customFormat="false" ht="12.75" hidden="false" customHeight="true" outlineLevel="0" collapsed="false">
      <c r="C212" s="178" t="n">
        <v>201</v>
      </c>
      <c r="D212" s="179" t="n">
        <f aca="false">D211+E211</f>
        <v>0</v>
      </c>
      <c r="E212" s="180" t="n">
        <f aca="false">G212-F212</f>
        <v>0</v>
      </c>
      <c r="F212" s="176" t="n">
        <f aca="false">-$C$6*D212</f>
        <v>-0</v>
      </c>
      <c r="G212" s="177" t="n">
        <f aca="false">IF(C212&gt;$C$8,0,$C$9)</f>
        <v>0</v>
      </c>
    </row>
    <row r="213" customFormat="false" ht="12.75" hidden="false" customHeight="true" outlineLevel="0" collapsed="false">
      <c r="C213" s="178" t="n">
        <v>202</v>
      </c>
      <c r="D213" s="179" t="n">
        <f aca="false">D212+E212</f>
        <v>0</v>
      </c>
      <c r="E213" s="180" t="n">
        <f aca="false">G213-F213</f>
        <v>0</v>
      </c>
      <c r="F213" s="176" t="n">
        <f aca="false">-$C$6*D213</f>
        <v>-0</v>
      </c>
      <c r="G213" s="177" t="n">
        <f aca="false">IF(C213&gt;$C$8,0,$C$9)</f>
        <v>0</v>
      </c>
    </row>
    <row r="214" customFormat="false" ht="12.75" hidden="false" customHeight="true" outlineLevel="0" collapsed="false">
      <c r="C214" s="178" t="n">
        <v>203</v>
      </c>
      <c r="D214" s="179" t="n">
        <f aca="false">D213+E213</f>
        <v>0</v>
      </c>
      <c r="E214" s="180" t="n">
        <f aca="false">G214-F214</f>
        <v>0</v>
      </c>
      <c r="F214" s="176" t="n">
        <f aca="false">-$C$6*D214</f>
        <v>-0</v>
      </c>
      <c r="G214" s="177" t="n">
        <f aca="false">IF(C214&gt;$C$8,0,$C$9)</f>
        <v>0</v>
      </c>
    </row>
    <row r="215" customFormat="false" ht="12.75" hidden="false" customHeight="true" outlineLevel="0" collapsed="false">
      <c r="C215" s="178" t="n">
        <v>204</v>
      </c>
      <c r="D215" s="179" t="n">
        <f aca="false">D214+E214</f>
        <v>0</v>
      </c>
      <c r="E215" s="180" t="n">
        <f aca="false">G215-F215</f>
        <v>0</v>
      </c>
      <c r="F215" s="176" t="n">
        <f aca="false">-$C$6*D215</f>
        <v>-0</v>
      </c>
      <c r="G215" s="177" t="n">
        <f aca="false">IF(C215&gt;$C$8,0,$C$9)</f>
        <v>0</v>
      </c>
    </row>
    <row r="216" customFormat="false" ht="12.75" hidden="false" customHeight="true" outlineLevel="0" collapsed="false">
      <c r="C216" s="178" t="n">
        <v>205</v>
      </c>
      <c r="D216" s="179" t="n">
        <f aca="false">D215+E215</f>
        <v>0</v>
      </c>
      <c r="E216" s="180" t="n">
        <f aca="false">G216-F216</f>
        <v>0</v>
      </c>
      <c r="F216" s="176" t="n">
        <f aca="false">-$C$6*D216</f>
        <v>-0</v>
      </c>
      <c r="G216" s="177" t="n">
        <f aca="false">IF(C216&gt;$C$8,0,$C$9)</f>
        <v>0</v>
      </c>
    </row>
    <row r="217" customFormat="false" ht="12.75" hidden="false" customHeight="true" outlineLevel="0" collapsed="false">
      <c r="C217" s="178" t="n">
        <v>206</v>
      </c>
      <c r="D217" s="179" t="n">
        <f aca="false">D216+E216</f>
        <v>0</v>
      </c>
      <c r="E217" s="180" t="n">
        <f aca="false">G217-F217</f>
        <v>0</v>
      </c>
      <c r="F217" s="176" t="n">
        <f aca="false">-$C$6*D217</f>
        <v>-0</v>
      </c>
      <c r="G217" s="177" t="n">
        <f aca="false">IF(C217&gt;$C$8,0,$C$9)</f>
        <v>0</v>
      </c>
    </row>
    <row r="218" customFormat="false" ht="12.75" hidden="false" customHeight="true" outlineLevel="0" collapsed="false">
      <c r="C218" s="178" t="n">
        <v>207</v>
      </c>
      <c r="D218" s="179" t="n">
        <f aca="false">D217+E217</f>
        <v>0</v>
      </c>
      <c r="E218" s="180" t="n">
        <f aca="false">G218-F218</f>
        <v>0</v>
      </c>
      <c r="F218" s="176" t="n">
        <f aca="false">-$C$6*D218</f>
        <v>-0</v>
      </c>
      <c r="G218" s="177" t="n">
        <f aca="false">IF(C218&gt;$C$8,0,$C$9)</f>
        <v>0</v>
      </c>
    </row>
    <row r="219" customFormat="false" ht="12.75" hidden="false" customHeight="true" outlineLevel="0" collapsed="false">
      <c r="C219" s="178" t="n">
        <v>208</v>
      </c>
      <c r="D219" s="179" t="n">
        <f aca="false">D218+E218</f>
        <v>0</v>
      </c>
      <c r="E219" s="180" t="n">
        <f aca="false">G219-F219</f>
        <v>0</v>
      </c>
      <c r="F219" s="176" t="n">
        <f aca="false">-$C$6*D219</f>
        <v>-0</v>
      </c>
      <c r="G219" s="177" t="n">
        <f aca="false">IF(C219&gt;$C$8,0,$C$9)</f>
        <v>0</v>
      </c>
    </row>
    <row r="220" customFormat="false" ht="12.75" hidden="false" customHeight="true" outlineLevel="0" collapsed="false">
      <c r="C220" s="178" t="n">
        <v>209</v>
      </c>
      <c r="D220" s="179" t="n">
        <f aca="false">D219+E219</f>
        <v>0</v>
      </c>
      <c r="E220" s="180" t="n">
        <f aca="false">G220-F220</f>
        <v>0</v>
      </c>
      <c r="F220" s="176" t="n">
        <f aca="false">-$C$6*D220</f>
        <v>-0</v>
      </c>
      <c r="G220" s="177" t="n">
        <f aca="false">IF(C220&gt;$C$8,0,$C$9)</f>
        <v>0</v>
      </c>
    </row>
    <row r="221" customFormat="false" ht="12.75" hidden="false" customHeight="true" outlineLevel="0" collapsed="false">
      <c r="C221" s="178" t="n">
        <v>210</v>
      </c>
      <c r="D221" s="179" t="n">
        <f aca="false">D220+E220</f>
        <v>0</v>
      </c>
      <c r="E221" s="180" t="n">
        <f aca="false">G221-F221</f>
        <v>0</v>
      </c>
      <c r="F221" s="176" t="n">
        <f aca="false">-$C$6*D221</f>
        <v>-0</v>
      </c>
      <c r="G221" s="177" t="n">
        <f aca="false">IF(C221&gt;$C$8,0,$C$9)</f>
        <v>0</v>
      </c>
    </row>
    <row r="222" customFormat="false" ht="12.75" hidden="false" customHeight="true" outlineLevel="0" collapsed="false">
      <c r="C222" s="178" t="n">
        <v>211</v>
      </c>
      <c r="D222" s="179" t="n">
        <f aca="false">D221+E221</f>
        <v>0</v>
      </c>
      <c r="E222" s="180" t="n">
        <f aca="false">G222-F222</f>
        <v>0</v>
      </c>
      <c r="F222" s="176" t="n">
        <f aca="false">-$C$6*D222</f>
        <v>-0</v>
      </c>
      <c r="G222" s="177" t="n">
        <f aca="false">IF(C222&gt;$C$8,0,$C$9)</f>
        <v>0</v>
      </c>
    </row>
    <row r="223" customFormat="false" ht="12.75" hidden="false" customHeight="true" outlineLevel="0" collapsed="false">
      <c r="C223" s="178" t="n">
        <v>212</v>
      </c>
      <c r="D223" s="179" t="n">
        <f aca="false">D222+E222</f>
        <v>0</v>
      </c>
      <c r="E223" s="180" t="n">
        <f aca="false">G223-F223</f>
        <v>0</v>
      </c>
      <c r="F223" s="176" t="n">
        <f aca="false">-$C$6*D223</f>
        <v>-0</v>
      </c>
      <c r="G223" s="177" t="n">
        <f aca="false">IF(C223&gt;$C$8,0,$C$9)</f>
        <v>0</v>
      </c>
    </row>
    <row r="224" customFormat="false" ht="12.75" hidden="false" customHeight="true" outlineLevel="0" collapsed="false">
      <c r="C224" s="178" t="n">
        <v>213</v>
      </c>
      <c r="D224" s="179" t="n">
        <f aca="false">D223+E223</f>
        <v>0</v>
      </c>
      <c r="E224" s="180" t="n">
        <f aca="false">G224-F224</f>
        <v>0</v>
      </c>
      <c r="F224" s="176" t="n">
        <f aca="false">-$C$6*D224</f>
        <v>-0</v>
      </c>
      <c r="G224" s="177" t="n">
        <f aca="false">IF(C224&gt;$C$8,0,$C$9)</f>
        <v>0</v>
      </c>
    </row>
    <row r="225" customFormat="false" ht="12.75" hidden="false" customHeight="true" outlineLevel="0" collapsed="false">
      <c r="C225" s="178" t="n">
        <v>214</v>
      </c>
      <c r="D225" s="179" t="n">
        <f aca="false">D224+E224</f>
        <v>0</v>
      </c>
      <c r="E225" s="180" t="n">
        <f aca="false">G225-F225</f>
        <v>0</v>
      </c>
      <c r="F225" s="176" t="n">
        <f aca="false">-$C$6*D225</f>
        <v>-0</v>
      </c>
      <c r="G225" s="177" t="n">
        <f aca="false">IF(C225&gt;$C$8,0,$C$9)</f>
        <v>0</v>
      </c>
    </row>
    <row r="226" customFormat="false" ht="12.75" hidden="false" customHeight="true" outlineLevel="0" collapsed="false">
      <c r="C226" s="178" t="n">
        <v>215</v>
      </c>
      <c r="D226" s="179" t="n">
        <f aca="false">D225+E225</f>
        <v>0</v>
      </c>
      <c r="E226" s="180" t="n">
        <f aca="false">G226-F226</f>
        <v>0</v>
      </c>
      <c r="F226" s="176" t="n">
        <f aca="false">-$C$6*D226</f>
        <v>-0</v>
      </c>
      <c r="G226" s="177" t="n">
        <f aca="false">IF(C226&gt;$C$8,0,$C$9)</f>
        <v>0</v>
      </c>
    </row>
    <row r="227" customFormat="false" ht="12.75" hidden="false" customHeight="true" outlineLevel="0" collapsed="false">
      <c r="C227" s="178" t="n">
        <v>216</v>
      </c>
      <c r="D227" s="179" t="n">
        <f aca="false">D226+E226</f>
        <v>0</v>
      </c>
      <c r="E227" s="180" t="n">
        <f aca="false">G227-F227</f>
        <v>0</v>
      </c>
      <c r="F227" s="176" t="n">
        <f aca="false">-$C$6*D227</f>
        <v>-0</v>
      </c>
      <c r="G227" s="177" t="n">
        <f aca="false">IF(C227&gt;$C$8,0,$C$9)</f>
        <v>0</v>
      </c>
    </row>
    <row r="228" customFormat="false" ht="12.75" hidden="false" customHeight="true" outlineLevel="0" collapsed="false">
      <c r="C228" s="178" t="n">
        <v>217</v>
      </c>
      <c r="D228" s="179" t="n">
        <f aca="false">D227+E227</f>
        <v>0</v>
      </c>
      <c r="E228" s="180" t="n">
        <f aca="false">G228-F228</f>
        <v>0</v>
      </c>
      <c r="F228" s="176" t="n">
        <f aca="false">-$C$6*D228</f>
        <v>-0</v>
      </c>
      <c r="G228" s="177" t="n">
        <f aca="false">IF(C228&gt;$C$8,0,$C$9)</f>
        <v>0</v>
      </c>
    </row>
    <row r="229" customFormat="false" ht="12.75" hidden="false" customHeight="true" outlineLevel="0" collapsed="false">
      <c r="C229" s="178" t="n">
        <v>218</v>
      </c>
      <c r="D229" s="179" t="n">
        <f aca="false">D228+E228</f>
        <v>0</v>
      </c>
      <c r="E229" s="180" t="n">
        <f aca="false">G229-F229</f>
        <v>0</v>
      </c>
      <c r="F229" s="176" t="n">
        <f aca="false">-$C$6*D229</f>
        <v>-0</v>
      </c>
      <c r="G229" s="177" t="n">
        <f aca="false">IF(C229&gt;$C$8,0,$C$9)</f>
        <v>0</v>
      </c>
    </row>
    <row r="230" customFormat="false" ht="12.75" hidden="false" customHeight="true" outlineLevel="0" collapsed="false">
      <c r="C230" s="178" t="n">
        <v>219</v>
      </c>
      <c r="D230" s="179" t="n">
        <f aca="false">D229+E229</f>
        <v>0</v>
      </c>
      <c r="E230" s="180" t="n">
        <f aca="false">G230-F230</f>
        <v>0</v>
      </c>
      <c r="F230" s="176" t="n">
        <f aca="false">-$C$6*D230</f>
        <v>-0</v>
      </c>
      <c r="G230" s="177" t="n">
        <f aca="false">IF(C230&gt;$C$8,0,$C$9)</f>
        <v>0</v>
      </c>
    </row>
    <row r="231" customFormat="false" ht="12.75" hidden="false" customHeight="true" outlineLevel="0" collapsed="false">
      <c r="C231" s="178" t="n">
        <v>220</v>
      </c>
      <c r="D231" s="179" t="n">
        <f aca="false">D230+E230</f>
        <v>0</v>
      </c>
      <c r="E231" s="180" t="n">
        <f aca="false">G231-F231</f>
        <v>0</v>
      </c>
      <c r="F231" s="176" t="n">
        <f aca="false">-$C$6*D231</f>
        <v>-0</v>
      </c>
      <c r="G231" s="177" t="n">
        <f aca="false">IF(C231&gt;$C$8,0,$C$9)</f>
        <v>0</v>
      </c>
    </row>
    <row r="232" customFormat="false" ht="12.75" hidden="false" customHeight="true" outlineLevel="0" collapsed="false">
      <c r="C232" s="178" t="n">
        <v>221</v>
      </c>
      <c r="D232" s="179" t="n">
        <f aca="false">D231+E231</f>
        <v>0</v>
      </c>
      <c r="E232" s="180" t="n">
        <f aca="false">G232-F232</f>
        <v>0</v>
      </c>
      <c r="F232" s="176" t="n">
        <f aca="false">-$C$6*D232</f>
        <v>-0</v>
      </c>
      <c r="G232" s="177" t="n">
        <f aca="false">IF(C232&gt;$C$8,0,$C$9)</f>
        <v>0</v>
      </c>
    </row>
    <row r="233" customFormat="false" ht="12.75" hidden="false" customHeight="true" outlineLevel="0" collapsed="false">
      <c r="C233" s="178" t="n">
        <v>222</v>
      </c>
      <c r="D233" s="179" t="n">
        <f aca="false">D232+E232</f>
        <v>0</v>
      </c>
      <c r="E233" s="180" t="n">
        <f aca="false">G233-F233</f>
        <v>0</v>
      </c>
      <c r="F233" s="176" t="n">
        <f aca="false">-$C$6*D233</f>
        <v>-0</v>
      </c>
      <c r="G233" s="177" t="n">
        <f aca="false">IF(C233&gt;$C$8,0,$C$9)</f>
        <v>0</v>
      </c>
    </row>
    <row r="234" customFormat="false" ht="12.75" hidden="false" customHeight="true" outlineLevel="0" collapsed="false">
      <c r="C234" s="178" t="n">
        <v>223</v>
      </c>
      <c r="D234" s="179" t="n">
        <f aca="false">D233+E233</f>
        <v>0</v>
      </c>
      <c r="E234" s="180" t="n">
        <f aca="false">G234-F234</f>
        <v>0</v>
      </c>
      <c r="F234" s="176" t="n">
        <f aca="false">-$C$6*D234</f>
        <v>-0</v>
      </c>
      <c r="G234" s="177" t="n">
        <f aca="false">IF(C234&gt;$C$8,0,$C$9)</f>
        <v>0</v>
      </c>
    </row>
    <row r="235" customFormat="false" ht="12.75" hidden="false" customHeight="true" outlineLevel="0" collapsed="false">
      <c r="C235" s="178" t="n">
        <v>224</v>
      </c>
      <c r="D235" s="179" t="n">
        <f aca="false">D234+E234</f>
        <v>0</v>
      </c>
      <c r="E235" s="180" t="n">
        <f aca="false">G235-F235</f>
        <v>0</v>
      </c>
      <c r="F235" s="176" t="n">
        <f aca="false">-$C$6*D235</f>
        <v>-0</v>
      </c>
      <c r="G235" s="177" t="n">
        <f aca="false">IF(C235&gt;$C$8,0,$C$9)</f>
        <v>0</v>
      </c>
    </row>
    <row r="236" customFormat="false" ht="12.75" hidden="false" customHeight="true" outlineLevel="0" collapsed="false">
      <c r="C236" s="178" t="n">
        <v>225</v>
      </c>
      <c r="D236" s="179" t="n">
        <f aca="false">D235+E235</f>
        <v>0</v>
      </c>
      <c r="E236" s="180" t="n">
        <f aca="false">G236-F236</f>
        <v>0</v>
      </c>
      <c r="F236" s="176" t="n">
        <f aca="false">-$C$6*D236</f>
        <v>-0</v>
      </c>
      <c r="G236" s="177" t="n">
        <f aca="false">IF(C236&gt;$C$8,0,$C$9)</f>
        <v>0</v>
      </c>
    </row>
    <row r="237" customFormat="false" ht="12.75" hidden="false" customHeight="true" outlineLevel="0" collapsed="false">
      <c r="C237" s="178" t="n">
        <v>226</v>
      </c>
      <c r="D237" s="179" t="n">
        <f aca="false">D236+E236</f>
        <v>0</v>
      </c>
      <c r="E237" s="180" t="n">
        <f aca="false">G237-F237</f>
        <v>0</v>
      </c>
      <c r="F237" s="176" t="n">
        <f aca="false">-$C$6*D237</f>
        <v>-0</v>
      </c>
      <c r="G237" s="177" t="n">
        <f aca="false">IF(C237&gt;$C$8,0,$C$9)</f>
        <v>0</v>
      </c>
    </row>
    <row r="238" customFormat="false" ht="12.75" hidden="false" customHeight="true" outlineLevel="0" collapsed="false">
      <c r="C238" s="178" t="n">
        <v>227</v>
      </c>
      <c r="D238" s="179" t="n">
        <f aca="false">D237+E237</f>
        <v>0</v>
      </c>
      <c r="E238" s="180" t="n">
        <f aca="false">G238-F238</f>
        <v>0</v>
      </c>
      <c r="F238" s="176" t="n">
        <f aca="false">-$C$6*D238</f>
        <v>-0</v>
      </c>
      <c r="G238" s="177" t="n">
        <f aca="false">IF(C238&gt;$C$8,0,$C$9)</f>
        <v>0</v>
      </c>
    </row>
    <row r="239" customFormat="false" ht="12.75" hidden="false" customHeight="true" outlineLevel="0" collapsed="false">
      <c r="C239" s="178" t="n">
        <v>228</v>
      </c>
      <c r="D239" s="179" t="n">
        <f aca="false">D238+E238</f>
        <v>0</v>
      </c>
      <c r="E239" s="180" t="n">
        <f aca="false">G239-F239</f>
        <v>0</v>
      </c>
      <c r="F239" s="176" t="n">
        <f aca="false">-$C$6*D239</f>
        <v>-0</v>
      </c>
      <c r="G239" s="177" t="n">
        <f aca="false">IF(C239&gt;$C$8,0,$C$9)</f>
        <v>0</v>
      </c>
    </row>
    <row r="240" customFormat="false" ht="12.75" hidden="false" customHeight="true" outlineLevel="0" collapsed="false">
      <c r="C240" s="178" t="n">
        <v>229</v>
      </c>
      <c r="D240" s="179" t="n">
        <f aca="false">D239+E239</f>
        <v>0</v>
      </c>
      <c r="E240" s="180" t="n">
        <f aca="false">G240-F240</f>
        <v>0</v>
      </c>
      <c r="F240" s="176" t="n">
        <f aca="false">-$C$6*D240</f>
        <v>-0</v>
      </c>
      <c r="G240" s="177" t="n">
        <f aca="false">IF(C240&gt;$C$8,0,$C$9)</f>
        <v>0</v>
      </c>
    </row>
    <row r="241" customFormat="false" ht="12.75" hidden="false" customHeight="true" outlineLevel="0" collapsed="false">
      <c r="C241" s="178" t="n">
        <v>230</v>
      </c>
      <c r="D241" s="179" t="n">
        <f aca="false">D240+E240</f>
        <v>0</v>
      </c>
      <c r="E241" s="180" t="n">
        <f aca="false">G241-F241</f>
        <v>0</v>
      </c>
      <c r="F241" s="176" t="n">
        <f aca="false">-$C$6*D241</f>
        <v>-0</v>
      </c>
      <c r="G241" s="177" t="n">
        <f aca="false">IF(C241&gt;$C$8,0,$C$9)</f>
        <v>0</v>
      </c>
    </row>
    <row r="242" customFormat="false" ht="12.75" hidden="false" customHeight="true" outlineLevel="0" collapsed="false">
      <c r="C242" s="178" t="n">
        <v>231</v>
      </c>
      <c r="D242" s="179" t="n">
        <f aca="false">D241+E241</f>
        <v>0</v>
      </c>
      <c r="E242" s="180" t="n">
        <f aca="false">G242-F242</f>
        <v>0</v>
      </c>
      <c r="F242" s="176" t="n">
        <f aca="false">-$C$6*D242</f>
        <v>-0</v>
      </c>
      <c r="G242" s="177" t="n">
        <f aca="false">IF(C242&gt;$C$8,0,$C$9)</f>
        <v>0</v>
      </c>
    </row>
    <row r="243" customFormat="false" ht="12.75" hidden="false" customHeight="true" outlineLevel="0" collapsed="false">
      <c r="C243" s="178" t="n">
        <v>232</v>
      </c>
      <c r="D243" s="179" t="n">
        <f aca="false">D242+E242</f>
        <v>0</v>
      </c>
      <c r="E243" s="180" t="n">
        <f aca="false">G243-F243</f>
        <v>0</v>
      </c>
      <c r="F243" s="176" t="n">
        <f aca="false">-$C$6*D243</f>
        <v>-0</v>
      </c>
      <c r="G243" s="177" t="n">
        <f aca="false">IF(C243&gt;$C$8,0,$C$9)</f>
        <v>0</v>
      </c>
    </row>
    <row r="244" customFormat="false" ht="12.75" hidden="false" customHeight="true" outlineLevel="0" collapsed="false">
      <c r="C244" s="178" t="n">
        <v>233</v>
      </c>
      <c r="D244" s="179" t="n">
        <f aca="false">D243+E243</f>
        <v>0</v>
      </c>
      <c r="E244" s="180" t="n">
        <f aca="false">G244-F244</f>
        <v>0</v>
      </c>
      <c r="F244" s="176" t="n">
        <f aca="false">-$C$6*D244</f>
        <v>-0</v>
      </c>
      <c r="G244" s="177" t="n">
        <f aca="false">IF(C244&gt;$C$8,0,$C$9)</f>
        <v>0</v>
      </c>
    </row>
    <row r="245" customFormat="false" ht="12.75" hidden="false" customHeight="true" outlineLevel="0" collapsed="false">
      <c r="C245" s="178" t="n">
        <v>234</v>
      </c>
      <c r="D245" s="179" t="n">
        <f aca="false">D244+E244</f>
        <v>0</v>
      </c>
      <c r="E245" s="180" t="n">
        <f aca="false">G245-F245</f>
        <v>0</v>
      </c>
      <c r="F245" s="176" t="n">
        <f aca="false">-$C$6*D245</f>
        <v>-0</v>
      </c>
      <c r="G245" s="177" t="n">
        <f aca="false">IF(C245&gt;$C$8,0,$C$9)</f>
        <v>0</v>
      </c>
    </row>
    <row r="246" customFormat="false" ht="12.75" hidden="false" customHeight="true" outlineLevel="0" collapsed="false">
      <c r="C246" s="178" t="n">
        <v>235</v>
      </c>
      <c r="D246" s="179" t="n">
        <f aca="false">D245+E245</f>
        <v>0</v>
      </c>
      <c r="E246" s="180" t="n">
        <f aca="false">G246-F246</f>
        <v>0</v>
      </c>
      <c r="F246" s="176" t="n">
        <f aca="false">-$C$6*D246</f>
        <v>-0</v>
      </c>
      <c r="G246" s="177" t="n">
        <f aca="false">IF(C246&gt;$C$8,0,$C$9)</f>
        <v>0</v>
      </c>
    </row>
    <row r="247" customFormat="false" ht="12.75" hidden="false" customHeight="true" outlineLevel="0" collapsed="false">
      <c r="C247" s="178" t="n">
        <v>236</v>
      </c>
      <c r="D247" s="179" t="n">
        <f aca="false">D246+E246</f>
        <v>0</v>
      </c>
      <c r="E247" s="180" t="n">
        <f aca="false">G247-F247</f>
        <v>0</v>
      </c>
      <c r="F247" s="176" t="n">
        <f aca="false">-$C$6*D247</f>
        <v>-0</v>
      </c>
      <c r="G247" s="177" t="n">
        <f aca="false">IF(C247&gt;$C$8,0,$C$9)</f>
        <v>0</v>
      </c>
    </row>
    <row r="248" customFormat="false" ht="12.75" hidden="false" customHeight="true" outlineLevel="0" collapsed="false">
      <c r="C248" s="178" t="n">
        <v>237</v>
      </c>
      <c r="D248" s="179" t="n">
        <f aca="false">D247+E247</f>
        <v>0</v>
      </c>
      <c r="E248" s="180" t="n">
        <f aca="false">G248-F248</f>
        <v>0</v>
      </c>
      <c r="F248" s="176" t="n">
        <f aca="false">-$C$6*D248</f>
        <v>-0</v>
      </c>
      <c r="G248" s="177" t="n">
        <f aca="false">IF(C248&gt;$C$8,0,$C$9)</f>
        <v>0</v>
      </c>
    </row>
    <row r="249" customFormat="false" ht="12.75" hidden="false" customHeight="true" outlineLevel="0" collapsed="false">
      <c r="C249" s="178" t="n">
        <v>238</v>
      </c>
      <c r="D249" s="179" t="n">
        <f aca="false">D248+E248</f>
        <v>0</v>
      </c>
      <c r="E249" s="180" t="n">
        <f aca="false">G249-F249</f>
        <v>0</v>
      </c>
      <c r="F249" s="176" t="n">
        <f aca="false">-$C$6*D249</f>
        <v>-0</v>
      </c>
      <c r="G249" s="177" t="n">
        <f aca="false">IF(C249&gt;$C$8,0,$C$9)</f>
        <v>0</v>
      </c>
    </row>
    <row r="250" customFormat="false" ht="12.75" hidden="false" customHeight="true" outlineLevel="0" collapsed="false">
      <c r="C250" s="178" t="n">
        <v>239</v>
      </c>
      <c r="D250" s="179" t="n">
        <f aca="false">D249+E249</f>
        <v>0</v>
      </c>
      <c r="E250" s="180" t="n">
        <f aca="false">G250-F250</f>
        <v>0</v>
      </c>
      <c r="F250" s="176" t="n">
        <f aca="false">-$C$6*D250</f>
        <v>-0</v>
      </c>
      <c r="G250" s="177" t="n">
        <f aca="false">IF(C250&gt;$C$8,0,$C$9)</f>
        <v>0</v>
      </c>
    </row>
    <row r="251" customFormat="false" ht="12.75" hidden="false" customHeight="true" outlineLevel="0" collapsed="false">
      <c r="C251" s="178" t="n">
        <v>240</v>
      </c>
      <c r="D251" s="179" t="n">
        <f aca="false">D250+E250</f>
        <v>0</v>
      </c>
      <c r="E251" s="180" t="n">
        <f aca="false">G251-F251</f>
        <v>0</v>
      </c>
      <c r="F251" s="176" t="n">
        <f aca="false">-$C$6*D251</f>
        <v>-0</v>
      </c>
      <c r="G251" s="177" t="n">
        <f aca="false">IF(C251&gt;$C$8,0,$C$9)</f>
        <v>0</v>
      </c>
    </row>
    <row r="252" customFormat="false" ht="12.75" hidden="false" customHeight="true" outlineLevel="0" collapsed="false">
      <c r="C252" s="178" t="n">
        <v>241</v>
      </c>
      <c r="D252" s="179" t="n">
        <f aca="false">D251+E251</f>
        <v>0</v>
      </c>
      <c r="E252" s="180" t="n">
        <f aca="false">G252-F252</f>
        <v>0</v>
      </c>
      <c r="F252" s="176" t="n">
        <f aca="false">-$C$6*D252</f>
        <v>-0</v>
      </c>
      <c r="G252" s="177" t="n">
        <f aca="false">IF(C252&gt;$C$8,0,$C$9)</f>
        <v>0</v>
      </c>
    </row>
    <row r="253" customFormat="false" ht="12.75" hidden="false" customHeight="true" outlineLevel="0" collapsed="false">
      <c r="C253" s="178" t="n">
        <v>242</v>
      </c>
      <c r="D253" s="179" t="n">
        <f aca="false">D252+E252</f>
        <v>0</v>
      </c>
      <c r="E253" s="180" t="n">
        <f aca="false">G253-F253</f>
        <v>0</v>
      </c>
      <c r="F253" s="176" t="n">
        <f aca="false">-$C$6*D253</f>
        <v>-0</v>
      </c>
      <c r="G253" s="177" t="n">
        <f aca="false">IF(C253&gt;$C$8,0,$C$9)</f>
        <v>0</v>
      </c>
    </row>
    <row r="254" customFormat="false" ht="12.75" hidden="false" customHeight="true" outlineLevel="0" collapsed="false">
      <c r="C254" s="178" t="n">
        <v>243</v>
      </c>
      <c r="D254" s="179" t="n">
        <f aca="false">D253+E253</f>
        <v>0</v>
      </c>
      <c r="E254" s="180" t="n">
        <f aca="false">G254-F254</f>
        <v>0</v>
      </c>
      <c r="F254" s="176" t="n">
        <f aca="false">-$C$6*D254</f>
        <v>-0</v>
      </c>
      <c r="G254" s="177" t="n">
        <f aca="false">IF(C254&gt;$C$8,0,$C$9)</f>
        <v>0</v>
      </c>
    </row>
    <row r="255" customFormat="false" ht="12.75" hidden="false" customHeight="true" outlineLevel="0" collapsed="false">
      <c r="C255" s="178" t="n">
        <v>244</v>
      </c>
      <c r="D255" s="179" t="n">
        <f aca="false">D254+E254</f>
        <v>0</v>
      </c>
      <c r="E255" s="180" t="n">
        <f aca="false">G255-F255</f>
        <v>0</v>
      </c>
      <c r="F255" s="176" t="n">
        <f aca="false">-$C$6*D255</f>
        <v>-0</v>
      </c>
      <c r="G255" s="177" t="n">
        <f aca="false">IF(C255&gt;$C$8,0,$C$9)</f>
        <v>0</v>
      </c>
    </row>
    <row r="256" customFormat="false" ht="12.75" hidden="false" customHeight="true" outlineLevel="0" collapsed="false">
      <c r="C256" s="178" t="n">
        <v>245</v>
      </c>
      <c r="D256" s="179" t="n">
        <f aca="false">D255+E255</f>
        <v>0</v>
      </c>
      <c r="E256" s="180" t="n">
        <f aca="false">G256-F256</f>
        <v>0</v>
      </c>
      <c r="F256" s="176" t="n">
        <f aca="false">-$C$6*D256</f>
        <v>-0</v>
      </c>
      <c r="G256" s="177" t="n">
        <f aca="false">IF(C256&gt;$C$8,0,$C$9)</f>
        <v>0</v>
      </c>
    </row>
    <row r="257" customFormat="false" ht="12.75" hidden="false" customHeight="true" outlineLevel="0" collapsed="false">
      <c r="C257" s="178" t="n">
        <v>246</v>
      </c>
      <c r="D257" s="179" t="n">
        <f aca="false">D256+E256</f>
        <v>0</v>
      </c>
      <c r="E257" s="180" t="n">
        <f aca="false">G257-F257</f>
        <v>0</v>
      </c>
      <c r="F257" s="176" t="n">
        <f aca="false">-$C$6*D257</f>
        <v>-0</v>
      </c>
      <c r="G257" s="177" t="n">
        <f aca="false">IF(C257&gt;$C$8,0,$C$9)</f>
        <v>0</v>
      </c>
    </row>
    <row r="258" customFormat="false" ht="12.75" hidden="false" customHeight="true" outlineLevel="0" collapsed="false">
      <c r="C258" s="178" t="n">
        <v>247</v>
      </c>
      <c r="D258" s="179" t="n">
        <f aca="false">D257+E257</f>
        <v>0</v>
      </c>
      <c r="E258" s="180" t="n">
        <f aca="false">G258-F258</f>
        <v>0</v>
      </c>
      <c r="F258" s="176" t="n">
        <f aca="false">-$C$6*D258</f>
        <v>-0</v>
      </c>
      <c r="G258" s="177" t="n">
        <f aca="false">IF(C258&gt;$C$8,0,$C$9)</f>
        <v>0</v>
      </c>
    </row>
    <row r="259" customFormat="false" ht="12.75" hidden="false" customHeight="true" outlineLevel="0" collapsed="false">
      <c r="C259" s="178" t="n">
        <v>248</v>
      </c>
      <c r="D259" s="179" t="n">
        <f aca="false">D258+E258</f>
        <v>0</v>
      </c>
      <c r="E259" s="180" t="n">
        <f aca="false">G259-F259</f>
        <v>0</v>
      </c>
      <c r="F259" s="176" t="n">
        <f aca="false">-$C$6*D259</f>
        <v>-0</v>
      </c>
      <c r="G259" s="177" t="n">
        <f aca="false">IF(C259&gt;$C$8,0,$C$9)</f>
        <v>0</v>
      </c>
    </row>
    <row r="260" customFormat="false" ht="12.75" hidden="false" customHeight="true" outlineLevel="0" collapsed="false">
      <c r="C260" s="178" t="n">
        <v>249</v>
      </c>
      <c r="D260" s="179" t="n">
        <f aca="false">D259+E259</f>
        <v>0</v>
      </c>
      <c r="E260" s="180" t="n">
        <f aca="false">G260-F260</f>
        <v>0</v>
      </c>
      <c r="F260" s="176" t="n">
        <f aca="false">-$C$6*D260</f>
        <v>-0</v>
      </c>
      <c r="G260" s="177" t="n">
        <f aca="false">IF(C260&gt;$C$8,0,$C$9)</f>
        <v>0</v>
      </c>
    </row>
    <row r="261" customFormat="false" ht="12.75" hidden="false" customHeight="true" outlineLevel="0" collapsed="false">
      <c r="C261" s="178" t="n">
        <v>250</v>
      </c>
      <c r="D261" s="179" t="n">
        <f aca="false">D260+E260</f>
        <v>0</v>
      </c>
      <c r="E261" s="180" t="n">
        <f aca="false">G261-F261</f>
        <v>0</v>
      </c>
      <c r="F261" s="176" t="n">
        <f aca="false">-$C$6*D261</f>
        <v>-0</v>
      </c>
      <c r="G261" s="177" t="n">
        <f aca="false">IF(C261&gt;$C$8,0,$C$9)</f>
        <v>0</v>
      </c>
    </row>
    <row r="262" customFormat="false" ht="12.75" hidden="false" customHeight="true" outlineLevel="0" collapsed="false">
      <c r="C262" s="178" t="n">
        <v>251</v>
      </c>
      <c r="D262" s="179" t="n">
        <f aca="false">D261+E261</f>
        <v>0</v>
      </c>
      <c r="E262" s="180" t="n">
        <f aca="false">G262-F262</f>
        <v>0</v>
      </c>
      <c r="F262" s="176" t="n">
        <f aca="false">-$C$6*D262</f>
        <v>-0</v>
      </c>
      <c r="G262" s="177" t="n">
        <f aca="false">IF(C262&gt;$C$8,0,$C$9)</f>
        <v>0</v>
      </c>
    </row>
    <row r="263" customFormat="false" ht="12.75" hidden="false" customHeight="true" outlineLevel="0" collapsed="false">
      <c r="C263" s="178" t="n">
        <v>252</v>
      </c>
      <c r="D263" s="179" t="n">
        <f aca="false">D262+E262</f>
        <v>0</v>
      </c>
      <c r="E263" s="180" t="n">
        <f aca="false">G263-F263</f>
        <v>0</v>
      </c>
      <c r="F263" s="176" t="n">
        <f aca="false">-$C$6*D263</f>
        <v>-0</v>
      </c>
      <c r="G263" s="177" t="n">
        <f aca="false">IF(C263&gt;$C$8,0,$C$9)</f>
        <v>0</v>
      </c>
    </row>
    <row r="264" customFormat="false" ht="12.75" hidden="false" customHeight="true" outlineLevel="0" collapsed="false">
      <c r="C264" s="178" t="n">
        <v>253</v>
      </c>
      <c r="D264" s="179" t="n">
        <f aca="false">D263+E263</f>
        <v>0</v>
      </c>
      <c r="E264" s="180" t="n">
        <f aca="false">G264-F264</f>
        <v>0</v>
      </c>
      <c r="F264" s="176" t="n">
        <f aca="false">-$C$6*D264</f>
        <v>-0</v>
      </c>
      <c r="G264" s="177" t="n">
        <f aca="false">IF(C264&gt;$C$8,0,$C$9)</f>
        <v>0</v>
      </c>
    </row>
    <row r="265" customFormat="false" ht="12.75" hidden="false" customHeight="true" outlineLevel="0" collapsed="false">
      <c r="C265" s="178" t="n">
        <v>254</v>
      </c>
      <c r="D265" s="179" t="n">
        <f aca="false">D264+E264</f>
        <v>0</v>
      </c>
      <c r="E265" s="180" t="n">
        <f aca="false">G265-F265</f>
        <v>0</v>
      </c>
      <c r="F265" s="176" t="n">
        <f aca="false">-$C$6*D265</f>
        <v>-0</v>
      </c>
      <c r="G265" s="177" t="n">
        <f aca="false">IF(C265&gt;$C$8,0,$C$9)</f>
        <v>0</v>
      </c>
    </row>
    <row r="266" customFormat="false" ht="12.75" hidden="false" customHeight="true" outlineLevel="0" collapsed="false">
      <c r="C266" s="178" t="n">
        <v>255</v>
      </c>
      <c r="D266" s="179" t="n">
        <f aca="false">D265+E265</f>
        <v>0</v>
      </c>
      <c r="E266" s="180" t="n">
        <f aca="false">G266-F266</f>
        <v>0</v>
      </c>
      <c r="F266" s="176" t="n">
        <f aca="false">-$C$6*D266</f>
        <v>-0</v>
      </c>
      <c r="G266" s="177" t="n">
        <f aca="false">IF(C266&gt;$C$8,0,$C$9)</f>
        <v>0</v>
      </c>
    </row>
    <row r="267" customFormat="false" ht="12.75" hidden="false" customHeight="true" outlineLevel="0" collapsed="false">
      <c r="C267" s="178" t="n">
        <v>256</v>
      </c>
      <c r="D267" s="179" t="n">
        <f aca="false">D266+E266</f>
        <v>0</v>
      </c>
      <c r="E267" s="180" t="n">
        <f aca="false">G267-F267</f>
        <v>0</v>
      </c>
      <c r="F267" s="176" t="n">
        <f aca="false">-$C$6*D267</f>
        <v>-0</v>
      </c>
      <c r="G267" s="177" t="n">
        <f aca="false">IF(C267&gt;$C$8,0,$C$9)</f>
        <v>0</v>
      </c>
    </row>
    <row r="268" customFormat="false" ht="12.75" hidden="false" customHeight="true" outlineLevel="0" collapsed="false">
      <c r="C268" s="178" t="n">
        <v>257</v>
      </c>
      <c r="D268" s="179" t="n">
        <f aca="false">D267+E267</f>
        <v>0</v>
      </c>
      <c r="E268" s="180" t="n">
        <f aca="false">G268-F268</f>
        <v>0</v>
      </c>
      <c r="F268" s="176" t="n">
        <f aca="false">-$C$6*D268</f>
        <v>-0</v>
      </c>
      <c r="G268" s="177" t="n">
        <f aca="false">IF(C268&gt;$C$8,0,$C$9)</f>
        <v>0</v>
      </c>
    </row>
    <row r="269" customFormat="false" ht="12.75" hidden="false" customHeight="true" outlineLevel="0" collapsed="false">
      <c r="C269" s="178" t="n">
        <v>258</v>
      </c>
      <c r="D269" s="179" t="n">
        <f aca="false">D268+E268</f>
        <v>0</v>
      </c>
      <c r="E269" s="180" t="n">
        <f aca="false">G269-F269</f>
        <v>0</v>
      </c>
      <c r="F269" s="176" t="n">
        <f aca="false">-$C$6*D269</f>
        <v>-0</v>
      </c>
      <c r="G269" s="177" t="n">
        <f aca="false">IF(C269&gt;$C$8,0,$C$9)</f>
        <v>0</v>
      </c>
    </row>
    <row r="270" customFormat="false" ht="12.75" hidden="false" customHeight="true" outlineLevel="0" collapsed="false">
      <c r="C270" s="178" t="n">
        <v>259</v>
      </c>
      <c r="D270" s="179" t="n">
        <f aca="false">D269+E269</f>
        <v>0</v>
      </c>
      <c r="E270" s="180" t="n">
        <f aca="false">G270-F270</f>
        <v>0</v>
      </c>
      <c r="F270" s="176" t="n">
        <f aca="false">-$C$6*D270</f>
        <v>-0</v>
      </c>
      <c r="G270" s="177" t="n">
        <f aca="false">IF(C270&gt;$C$8,0,$C$9)</f>
        <v>0</v>
      </c>
    </row>
    <row r="271" customFormat="false" ht="12.75" hidden="false" customHeight="true" outlineLevel="0" collapsed="false">
      <c r="C271" s="178" t="n">
        <v>260</v>
      </c>
      <c r="D271" s="179" t="n">
        <f aca="false">D270+E270</f>
        <v>0</v>
      </c>
      <c r="E271" s="180" t="n">
        <f aca="false">G271-F271</f>
        <v>0</v>
      </c>
      <c r="F271" s="176" t="n">
        <f aca="false">-$C$6*D271</f>
        <v>-0</v>
      </c>
      <c r="G271" s="177" t="n">
        <f aca="false">IF(C271&gt;$C$8,0,$C$9)</f>
        <v>0</v>
      </c>
    </row>
    <row r="272" customFormat="false" ht="12.75" hidden="false" customHeight="true" outlineLevel="0" collapsed="false">
      <c r="C272" s="178" t="n">
        <v>261</v>
      </c>
      <c r="D272" s="179" t="n">
        <f aca="false">D271+E271</f>
        <v>0</v>
      </c>
      <c r="E272" s="180" t="n">
        <f aca="false">G272-F272</f>
        <v>0</v>
      </c>
      <c r="F272" s="176" t="n">
        <f aca="false">-$C$6*D272</f>
        <v>-0</v>
      </c>
      <c r="G272" s="177" t="n">
        <f aca="false">IF(C272&gt;$C$8,0,$C$9)</f>
        <v>0</v>
      </c>
    </row>
    <row r="273" customFormat="false" ht="12.75" hidden="false" customHeight="true" outlineLevel="0" collapsed="false">
      <c r="C273" s="178" t="n">
        <v>262</v>
      </c>
      <c r="D273" s="179" t="n">
        <f aca="false">D272+E272</f>
        <v>0</v>
      </c>
      <c r="E273" s="180" t="n">
        <f aca="false">G273-F273</f>
        <v>0</v>
      </c>
      <c r="F273" s="176" t="n">
        <f aca="false">-$C$6*D273</f>
        <v>-0</v>
      </c>
      <c r="G273" s="177" t="n">
        <f aca="false">IF(C273&gt;$C$8,0,$C$9)</f>
        <v>0</v>
      </c>
    </row>
    <row r="274" customFormat="false" ht="12.75" hidden="false" customHeight="true" outlineLevel="0" collapsed="false">
      <c r="C274" s="178" t="n">
        <v>263</v>
      </c>
      <c r="D274" s="179" t="n">
        <f aca="false">D273+E273</f>
        <v>0</v>
      </c>
      <c r="E274" s="180" t="n">
        <f aca="false">G274-F274</f>
        <v>0</v>
      </c>
      <c r="F274" s="176" t="n">
        <f aca="false">-$C$6*D274</f>
        <v>-0</v>
      </c>
      <c r="G274" s="177" t="n">
        <f aca="false">IF(C274&gt;$C$8,0,$C$9)</f>
        <v>0</v>
      </c>
    </row>
    <row r="275" customFormat="false" ht="12.75" hidden="false" customHeight="true" outlineLevel="0" collapsed="false">
      <c r="C275" s="178" t="n">
        <v>264</v>
      </c>
      <c r="D275" s="179" t="n">
        <f aca="false">D274+E274</f>
        <v>0</v>
      </c>
      <c r="E275" s="180" t="n">
        <f aca="false">G275-F275</f>
        <v>0</v>
      </c>
      <c r="F275" s="176" t="n">
        <f aca="false">-$C$6*D275</f>
        <v>-0</v>
      </c>
      <c r="G275" s="177" t="n">
        <f aca="false">IF(C275&gt;$C$8,0,$C$9)</f>
        <v>0</v>
      </c>
    </row>
    <row r="276" customFormat="false" ht="12.75" hidden="false" customHeight="true" outlineLevel="0" collapsed="false">
      <c r="C276" s="178" t="n">
        <v>265</v>
      </c>
      <c r="D276" s="179" t="n">
        <f aca="false">D275+E275</f>
        <v>0</v>
      </c>
      <c r="E276" s="180" t="n">
        <f aca="false">G276-F276</f>
        <v>0</v>
      </c>
      <c r="F276" s="176" t="n">
        <f aca="false">-$C$6*D276</f>
        <v>-0</v>
      </c>
      <c r="G276" s="177" t="n">
        <f aca="false">IF(C276&gt;$C$8,0,$C$9)</f>
        <v>0</v>
      </c>
    </row>
    <row r="277" customFormat="false" ht="12.75" hidden="false" customHeight="true" outlineLevel="0" collapsed="false">
      <c r="C277" s="178" t="n">
        <v>266</v>
      </c>
      <c r="D277" s="179" t="n">
        <f aca="false">D276+E276</f>
        <v>0</v>
      </c>
      <c r="E277" s="180" t="n">
        <f aca="false">G277-F277</f>
        <v>0</v>
      </c>
      <c r="F277" s="176" t="n">
        <f aca="false">-$C$6*D277</f>
        <v>-0</v>
      </c>
      <c r="G277" s="177" t="n">
        <f aca="false">IF(C277&gt;$C$8,0,$C$9)</f>
        <v>0</v>
      </c>
    </row>
    <row r="278" customFormat="false" ht="12.75" hidden="false" customHeight="true" outlineLevel="0" collapsed="false">
      <c r="C278" s="178" t="n">
        <v>267</v>
      </c>
      <c r="D278" s="179" t="n">
        <f aca="false">D277+E277</f>
        <v>0</v>
      </c>
      <c r="E278" s="180" t="n">
        <f aca="false">G278-F278</f>
        <v>0</v>
      </c>
      <c r="F278" s="176" t="n">
        <f aca="false">-$C$6*D278</f>
        <v>-0</v>
      </c>
      <c r="G278" s="177" t="n">
        <f aca="false">IF(C278&gt;$C$8,0,$C$9)</f>
        <v>0</v>
      </c>
    </row>
    <row r="279" customFormat="false" ht="12.75" hidden="false" customHeight="true" outlineLevel="0" collapsed="false">
      <c r="C279" s="178" t="n">
        <v>268</v>
      </c>
      <c r="D279" s="179" t="n">
        <f aca="false">D278+E278</f>
        <v>0</v>
      </c>
      <c r="E279" s="180" t="n">
        <f aca="false">G279-F279</f>
        <v>0</v>
      </c>
      <c r="F279" s="176" t="n">
        <f aca="false">-$C$6*D279</f>
        <v>-0</v>
      </c>
      <c r="G279" s="177" t="n">
        <f aca="false">IF(C279&gt;$C$8,0,$C$9)</f>
        <v>0</v>
      </c>
    </row>
    <row r="280" customFormat="false" ht="12.75" hidden="false" customHeight="true" outlineLevel="0" collapsed="false">
      <c r="C280" s="178" t="n">
        <v>269</v>
      </c>
      <c r="D280" s="179" t="n">
        <f aca="false">D279+E279</f>
        <v>0</v>
      </c>
      <c r="E280" s="180" t="n">
        <f aca="false">G280-F280</f>
        <v>0</v>
      </c>
      <c r="F280" s="176" t="n">
        <f aca="false">-$C$6*D280</f>
        <v>-0</v>
      </c>
      <c r="G280" s="177" t="n">
        <f aca="false">IF(C280&gt;$C$8,0,$C$9)</f>
        <v>0</v>
      </c>
    </row>
    <row r="281" customFormat="false" ht="12.75" hidden="false" customHeight="true" outlineLevel="0" collapsed="false">
      <c r="C281" s="178" t="n">
        <v>270</v>
      </c>
      <c r="D281" s="179" t="n">
        <f aca="false">D280+E280</f>
        <v>0</v>
      </c>
      <c r="E281" s="180" t="n">
        <f aca="false">G281-F281</f>
        <v>0</v>
      </c>
      <c r="F281" s="176" t="n">
        <f aca="false">-$C$6*D281</f>
        <v>-0</v>
      </c>
      <c r="G281" s="177" t="n">
        <f aca="false">IF(C281&gt;$C$8,0,$C$9)</f>
        <v>0</v>
      </c>
    </row>
    <row r="282" customFormat="false" ht="12.75" hidden="false" customHeight="true" outlineLevel="0" collapsed="false">
      <c r="C282" s="178" t="n">
        <v>271</v>
      </c>
      <c r="D282" s="179" t="n">
        <f aca="false">D281+E281</f>
        <v>0</v>
      </c>
      <c r="E282" s="180" t="n">
        <f aca="false">G282-F282</f>
        <v>0</v>
      </c>
      <c r="F282" s="176" t="n">
        <f aca="false">-$C$6*D282</f>
        <v>-0</v>
      </c>
      <c r="G282" s="177" t="n">
        <f aca="false">IF(C282&gt;$C$8,0,$C$9)</f>
        <v>0</v>
      </c>
    </row>
    <row r="283" customFormat="false" ht="12.75" hidden="false" customHeight="true" outlineLevel="0" collapsed="false">
      <c r="C283" s="178" t="n">
        <v>272</v>
      </c>
      <c r="D283" s="179" t="n">
        <f aca="false">D282+E282</f>
        <v>0</v>
      </c>
      <c r="E283" s="180" t="n">
        <f aca="false">G283-F283</f>
        <v>0</v>
      </c>
      <c r="F283" s="176" t="n">
        <f aca="false">-$C$6*D283</f>
        <v>-0</v>
      </c>
      <c r="G283" s="177" t="n">
        <f aca="false">IF(C283&gt;$C$8,0,$C$9)</f>
        <v>0</v>
      </c>
    </row>
    <row r="284" customFormat="false" ht="12.75" hidden="false" customHeight="true" outlineLevel="0" collapsed="false">
      <c r="C284" s="178" t="n">
        <v>273</v>
      </c>
      <c r="D284" s="179" t="n">
        <f aca="false">D283+E283</f>
        <v>0</v>
      </c>
      <c r="E284" s="180" t="n">
        <f aca="false">G284-F284</f>
        <v>0</v>
      </c>
      <c r="F284" s="176" t="n">
        <f aca="false">-$C$6*D284</f>
        <v>-0</v>
      </c>
      <c r="G284" s="177" t="n">
        <f aca="false">IF(C284&gt;$C$8,0,$C$9)</f>
        <v>0</v>
      </c>
    </row>
    <row r="285" customFormat="false" ht="12.75" hidden="false" customHeight="true" outlineLevel="0" collapsed="false">
      <c r="C285" s="178" t="n">
        <v>274</v>
      </c>
      <c r="D285" s="179" t="n">
        <f aca="false">D284+E284</f>
        <v>0</v>
      </c>
      <c r="E285" s="180" t="n">
        <f aca="false">G285-F285</f>
        <v>0</v>
      </c>
      <c r="F285" s="176" t="n">
        <f aca="false">-$C$6*D285</f>
        <v>-0</v>
      </c>
      <c r="G285" s="177" t="n">
        <f aca="false">IF(C285&gt;$C$8,0,$C$9)</f>
        <v>0</v>
      </c>
    </row>
    <row r="286" customFormat="false" ht="12.75" hidden="false" customHeight="true" outlineLevel="0" collapsed="false">
      <c r="C286" s="178" t="n">
        <v>275</v>
      </c>
      <c r="D286" s="179" t="n">
        <f aca="false">D285+E285</f>
        <v>0</v>
      </c>
      <c r="E286" s="180" t="n">
        <f aca="false">G286-F286</f>
        <v>0</v>
      </c>
      <c r="F286" s="176" t="n">
        <f aca="false">-$C$6*D286</f>
        <v>-0</v>
      </c>
      <c r="G286" s="177" t="n">
        <f aca="false">IF(C286&gt;$C$8,0,$C$9)</f>
        <v>0</v>
      </c>
    </row>
    <row r="287" customFormat="false" ht="12.75" hidden="false" customHeight="true" outlineLevel="0" collapsed="false">
      <c r="C287" s="178" t="n">
        <v>276</v>
      </c>
      <c r="D287" s="179" t="n">
        <f aca="false">D286+E286</f>
        <v>0</v>
      </c>
      <c r="E287" s="180" t="n">
        <f aca="false">G287-F287</f>
        <v>0</v>
      </c>
      <c r="F287" s="176" t="n">
        <f aca="false">-$C$6*D287</f>
        <v>-0</v>
      </c>
      <c r="G287" s="177" t="n">
        <f aca="false">IF(C287&gt;$C$8,0,$C$9)</f>
        <v>0</v>
      </c>
    </row>
    <row r="288" customFormat="false" ht="12.75" hidden="false" customHeight="true" outlineLevel="0" collapsed="false">
      <c r="C288" s="178" t="n">
        <v>277</v>
      </c>
      <c r="D288" s="179" t="n">
        <f aca="false">D287+E287</f>
        <v>0</v>
      </c>
      <c r="E288" s="180" t="n">
        <f aca="false">G288-F288</f>
        <v>0</v>
      </c>
      <c r="F288" s="176" t="n">
        <f aca="false">-$C$6*D288</f>
        <v>-0</v>
      </c>
      <c r="G288" s="177" t="n">
        <f aca="false">IF(C288&gt;$C$8,0,$C$9)</f>
        <v>0</v>
      </c>
    </row>
    <row r="289" customFormat="false" ht="12.75" hidden="false" customHeight="true" outlineLevel="0" collapsed="false">
      <c r="C289" s="178" t="n">
        <v>278</v>
      </c>
      <c r="D289" s="179" t="n">
        <f aca="false">D288+E288</f>
        <v>0</v>
      </c>
      <c r="E289" s="180" t="n">
        <f aca="false">G289-F289</f>
        <v>0</v>
      </c>
      <c r="F289" s="176" t="n">
        <f aca="false">-$C$6*D289</f>
        <v>-0</v>
      </c>
      <c r="G289" s="177" t="n">
        <f aca="false">IF(C289&gt;$C$8,0,$C$9)</f>
        <v>0</v>
      </c>
    </row>
    <row r="290" customFormat="false" ht="12.75" hidden="false" customHeight="true" outlineLevel="0" collapsed="false">
      <c r="C290" s="178" t="n">
        <v>279</v>
      </c>
      <c r="D290" s="179" t="n">
        <f aca="false">D289+E289</f>
        <v>0</v>
      </c>
      <c r="E290" s="180" t="n">
        <f aca="false">G290-F290</f>
        <v>0</v>
      </c>
      <c r="F290" s="176" t="n">
        <f aca="false">-$C$6*D290</f>
        <v>-0</v>
      </c>
      <c r="G290" s="177" t="n">
        <f aca="false">IF(C290&gt;$C$8,0,$C$9)</f>
        <v>0</v>
      </c>
    </row>
    <row r="291" customFormat="false" ht="12.75" hidden="false" customHeight="true" outlineLevel="0" collapsed="false">
      <c r="C291" s="178" t="n">
        <v>280</v>
      </c>
      <c r="D291" s="179" t="n">
        <f aca="false">D290+E290</f>
        <v>0</v>
      </c>
      <c r="E291" s="180" t="n">
        <f aca="false">G291-F291</f>
        <v>0</v>
      </c>
      <c r="F291" s="176" t="n">
        <f aca="false">-$C$6*D291</f>
        <v>-0</v>
      </c>
      <c r="G291" s="177" t="n">
        <f aca="false">IF(C291&gt;$C$8,0,$C$9)</f>
        <v>0</v>
      </c>
    </row>
    <row r="292" customFormat="false" ht="12.75" hidden="false" customHeight="true" outlineLevel="0" collapsed="false">
      <c r="C292" s="178" t="n">
        <v>281</v>
      </c>
      <c r="D292" s="179" t="n">
        <f aca="false">D291+E291</f>
        <v>0</v>
      </c>
      <c r="E292" s="180" t="n">
        <f aca="false">G292-F292</f>
        <v>0</v>
      </c>
      <c r="F292" s="176" t="n">
        <f aca="false">-$C$6*D292</f>
        <v>-0</v>
      </c>
      <c r="G292" s="177" t="n">
        <f aca="false">IF(C292&gt;$C$8,0,$C$9)</f>
        <v>0</v>
      </c>
    </row>
    <row r="293" customFormat="false" ht="12.75" hidden="false" customHeight="true" outlineLevel="0" collapsed="false">
      <c r="C293" s="178" t="n">
        <v>282</v>
      </c>
      <c r="D293" s="179" t="n">
        <f aca="false">D292+E292</f>
        <v>0</v>
      </c>
      <c r="E293" s="180" t="n">
        <f aca="false">G293-F293</f>
        <v>0</v>
      </c>
      <c r="F293" s="176" t="n">
        <f aca="false">-$C$6*D293</f>
        <v>-0</v>
      </c>
      <c r="G293" s="177" t="n">
        <f aca="false">IF(C293&gt;$C$8,0,$C$9)</f>
        <v>0</v>
      </c>
    </row>
    <row r="294" customFormat="false" ht="12.75" hidden="false" customHeight="true" outlineLevel="0" collapsed="false">
      <c r="C294" s="178" t="n">
        <v>283</v>
      </c>
      <c r="D294" s="179" t="n">
        <f aca="false">D293+E293</f>
        <v>0</v>
      </c>
      <c r="E294" s="180" t="n">
        <f aca="false">G294-F294</f>
        <v>0</v>
      </c>
      <c r="F294" s="176" t="n">
        <f aca="false">-$C$6*D294</f>
        <v>-0</v>
      </c>
      <c r="G294" s="177" t="n">
        <f aca="false">IF(C294&gt;$C$8,0,$C$9)</f>
        <v>0</v>
      </c>
    </row>
    <row r="295" customFormat="false" ht="12.75" hidden="false" customHeight="true" outlineLevel="0" collapsed="false">
      <c r="C295" s="178" t="n">
        <v>284</v>
      </c>
      <c r="D295" s="179" t="n">
        <f aca="false">D294+E294</f>
        <v>0</v>
      </c>
      <c r="E295" s="180" t="n">
        <f aca="false">G295-F295</f>
        <v>0</v>
      </c>
      <c r="F295" s="176" t="n">
        <f aca="false">-$C$6*D295</f>
        <v>-0</v>
      </c>
      <c r="G295" s="177" t="n">
        <f aca="false">IF(C295&gt;$C$8,0,$C$9)</f>
        <v>0</v>
      </c>
    </row>
    <row r="296" customFormat="false" ht="12.75" hidden="false" customHeight="true" outlineLevel="0" collapsed="false">
      <c r="C296" s="178" t="n">
        <v>285</v>
      </c>
      <c r="D296" s="179" t="n">
        <f aca="false">D295+E295</f>
        <v>0</v>
      </c>
      <c r="E296" s="180" t="n">
        <f aca="false">G296-F296</f>
        <v>0</v>
      </c>
      <c r="F296" s="176" t="n">
        <f aca="false">-$C$6*D296</f>
        <v>-0</v>
      </c>
      <c r="G296" s="177" t="n">
        <f aca="false">IF(C296&gt;$C$8,0,$C$9)</f>
        <v>0</v>
      </c>
    </row>
    <row r="297" customFormat="false" ht="12.75" hidden="false" customHeight="true" outlineLevel="0" collapsed="false">
      <c r="C297" s="178" t="n">
        <v>286</v>
      </c>
      <c r="D297" s="179" t="n">
        <f aca="false">D296+E296</f>
        <v>0</v>
      </c>
      <c r="E297" s="180" t="n">
        <f aca="false">G297-F297</f>
        <v>0</v>
      </c>
      <c r="F297" s="176" t="n">
        <f aca="false">-$C$6*D297</f>
        <v>-0</v>
      </c>
      <c r="G297" s="177" t="n">
        <f aca="false">IF(C297&gt;$C$8,0,$C$9)</f>
        <v>0</v>
      </c>
    </row>
    <row r="298" customFormat="false" ht="12.75" hidden="false" customHeight="true" outlineLevel="0" collapsed="false">
      <c r="C298" s="178" t="n">
        <v>287</v>
      </c>
      <c r="D298" s="179" t="n">
        <f aca="false">D297+E297</f>
        <v>0</v>
      </c>
      <c r="E298" s="180" t="n">
        <f aca="false">G298-F298</f>
        <v>0</v>
      </c>
      <c r="F298" s="176" t="n">
        <f aca="false">-$C$6*D298</f>
        <v>-0</v>
      </c>
      <c r="G298" s="177" t="n">
        <f aca="false">IF(C298&gt;$C$8,0,$C$9)</f>
        <v>0</v>
      </c>
    </row>
    <row r="299" customFormat="false" ht="12.75" hidden="false" customHeight="true" outlineLevel="0" collapsed="false">
      <c r="C299" s="178" t="n">
        <v>288</v>
      </c>
      <c r="D299" s="179" t="n">
        <f aca="false">D298+E298</f>
        <v>0</v>
      </c>
      <c r="E299" s="180" t="n">
        <f aca="false">G299-F299</f>
        <v>0</v>
      </c>
      <c r="F299" s="176" t="n">
        <f aca="false">-$C$6*D299</f>
        <v>-0</v>
      </c>
      <c r="G299" s="177" t="n">
        <f aca="false">IF(C299&gt;$C$8,0,$C$9)</f>
        <v>0</v>
      </c>
    </row>
    <row r="300" customFormat="false" ht="12.75" hidden="false" customHeight="true" outlineLevel="0" collapsed="false">
      <c r="C300" s="178" t="n">
        <v>289</v>
      </c>
      <c r="D300" s="179" t="n">
        <f aca="false">D299+E299</f>
        <v>0</v>
      </c>
      <c r="E300" s="180" t="n">
        <f aca="false">G300-F300</f>
        <v>0</v>
      </c>
      <c r="F300" s="176" t="n">
        <f aca="false">-$C$6*D300</f>
        <v>-0</v>
      </c>
      <c r="G300" s="177" t="n">
        <f aca="false">IF(C300&gt;$C$8,0,$C$9)</f>
        <v>0</v>
      </c>
    </row>
    <row r="301" customFormat="false" ht="12.75" hidden="false" customHeight="true" outlineLevel="0" collapsed="false">
      <c r="C301" s="178" t="n">
        <v>290</v>
      </c>
      <c r="D301" s="179" t="n">
        <f aca="false">D300+E300</f>
        <v>0</v>
      </c>
      <c r="E301" s="180" t="n">
        <f aca="false">G301-F301</f>
        <v>0</v>
      </c>
      <c r="F301" s="176" t="n">
        <f aca="false">-$C$6*D301</f>
        <v>-0</v>
      </c>
      <c r="G301" s="177" t="n">
        <f aca="false">IF(C301&gt;$C$8,0,$C$9)</f>
        <v>0</v>
      </c>
    </row>
    <row r="302" customFormat="false" ht="12.75" hidden="false" customHeight="true" outlineLevel="0" collapsed="false">
      <c r="C302" s="178" t="n">
        <v>291</v>
      </c>
      <c r="D302" s="179" t="n">
        <f aca="false">D301+E301</f>
        <v>0</v>
      </c>
      <c r="E302" s="180" t="n">
        <f aca="false">G302-F302</f>
        <v>0</v>
      </c>
      <c r="F302" s="176" t="n">
        <f aca="false">-$C$6*D302</f>
        <v>-0</v>
      </c>
      <c r="G302" s="177" t="n">
        <f aca="false">IF(C302&gt;$C$8,0,$C$9)</f>
        <v>0</v>
      </c>
    </row>
    <row r="303" customFormat="false" ht="12.75" hidden="false" customHeight="true" outlineLevel="0" collapsed="false">
      <c r="C303" s="178" t="n">
        <v>292</v>
      </c>
      <c r="D303" s="179" t="n">
        <f aca="false">D302+E302</f>
        <v>0</v>
      </c>
      <c r="E303" s="180" t="n">
        <f aca="false">G303-F303</f>
        <v>0</v>
      </c>
      <c r="F303" s="176" t="n">
        <f aca="false">-$C$6*D303</f>
        <v>-0</v>
      </c>
      <c r="G303" s="177" t="n">
        <f aca="false">IF(C303&gt;$C$8,0,$C$9)</f>
        <v>0</v>
      </c>
    </row>
    <row r="304" customFormat="false" ht="12.75" hidden="false" customHeight="true" outlineLevel="0" collapsed="false">
      <c r="C304" s="178" t="n">
        <v>293</v>
      </c>
      <c r="D304" s="179" t="n">
        <f aca="false">D303+E303</f>
        <v>0</v>
      </c>
      <c r="E304" s="180" t="n">
        <f aca="false">G304-F304</f>
        <v>0</v>
      </c>
      <c r="F304" s="176" t="n">
        <f aca="false">-$C$6*D304</f>
        <v>-0</v>
      </c>
      <c r="G304" s="177" t="n">
        <f aca="false">IF(C304&gt;$C$8,0,$C$9)</f>
        <v>0</v>
      </c>
    </row>
    <row r="305" customFormat="false" ht="12.75" hidden="false" customHeight="true" outlineLevel="0" collapsed="false">
      <c r="C305" s="178" t="n">
        <v>294</v>
      </c>
      <c r="D305" s="179" t="n">
        <f aca="false">D304+E304</f>
        <v>0</v>
      </c>
      <c r="E305" s="180" t="n">
        <f aca="false">G305-F305</f>
        <v>0</v>
      </c>
      <c r="F305" s="176" t="n">
        <f aca="false">-$C$6*D305</f>
        <v>-0</v>
      </c>
      <c r="G305" s="177" t="n">
        <f aca="false">IF(C305&gt;$C$8,0,$C$9)</f>
        <v>0</v>
      </c>
    </row>
    <row r="306" customFormat="false" ht="12.75" hidden="false" customHeight="true" outlineLevel="0" collapsed="false">
      <c r="C306" s="178" t="n">
        <v>295</v>
      </c>
      <c r="D306" s="179" t="n">
        <f aca="false">D305+E305</f>
        <v>0</v>
      </c>
      <c r="E306" s="180" t="n">
        <f aca="false">G306-F306</f>
        <v>0</v>
      </c>
      <c r="F306" s="176" t="n">
        <f aca="false">-$C$6*D306</f>
        <v>-0</v>
      </c>
      <c r="G306" s="177" t="n">
        <f aca="false">IF(C306&gt;$C$8,0,$C$9)</f>
        <v>0</v>
      </c>
    </row>
    <row r="307" customFormat="false" ht="12.75" hidden="false" customHeight="true" outlineLevel="0" collapsed="false">
      <c r="C307" s="178" t="n">
        <v>296</v>
      </c>
      <c r="D307" s="179" t="n">
        <f aca="false">D306+E306</f>
        <v>0</v>
      </c>
      <c r="E307" s="180" t="n">
        <f aca="false">G307-F307</f>
        <v>0</v>
      </c>
      <c r="F307" s="176" t="n">
        <f aca="false">-$C$6*D307</f>
        <v>-0</v>
      </c>
      <c r="G307" s="177" t="n">
        <f aca="false">IF(C307&gt;$C$8,0,$C$9)</f>
        <v>0</v>
      </c>
    </row>
    <row r="308" customFormat="false" ht="12.75" hidden="false" customHeight="true" outlineLevel="0" collapsed="false">
      <c r="C308" s="178" t="n">
        <v>297</v>
      </c>
      <c r="D308" s="179" t="n">
        <f aca="false">D307+E307</f>
        <v>0</v>
      </c>
      <c r="E308" s="180" t="n">
        <f aca="false">G308-F308</f>
        <v>0</v>
      </c>
      <c r="F308" s="176" t="n">
        <f aca="false">-$C$6*D308</f>
        <v>-0</v>
      </c>
      <c r="G308" s="177" t="n">
        <f aca="false">IF(C308&gt;$C$8,0,$C$9)</f>
        <v>0</v>
      </c>
    </row>
    <row r="309" customFormat="false" ht="12.75" hidden="false" customHeight="true" outlineLevel="0" collapsed="false">
      <c r="C309" s="178" t="n">
        <v>298</v>
      </c>
      <c r="D309" s="179" t="n">
        <f aca="false">D308+E308</f>
        <v>0</v>
      </c>
      <c r="E309" s="180" t="n">
        <f aca="false">G309-F309</f>
        <v>0</v>
      </c>
      <c r="F309" s="176" t="n">
        <f aca="false">-$C$6*D309</f>
        <v>-0</v>
      </c>
      <c r="G309" s="177" t="n">
        <f aca="false">IF(C309&gt;$C$8,0,$C$9)</f>
        <v>0</v>
      </c>
    </row>
    <row r="310" customFormat="false" ht="12.75" hidden="false" customHeight="true" outlineLevel="0" collapsed="false">
      <c r="C310" s="178" t="n">
        <v>299</v>
      </c>
      <c r="D310" s="179" t="n">
        <f aca="false">D309+E309</f>
        <v>0</v>
      </c>
      <c r="E310" s="180" t="n">
        <f aca="false">G310-F310</f>
        <v>0</v>
      </c>
      <c r="F310" s="176" t="n">
        <f aca="false">-$C$6*D310</f>
        <v>-0</v>
      </c>
      <c r="G310" s="177" t="n">
        <f aca="false">IF(C310&gt;$C$8,0,$C$9)</f>
        <v>0</v>
      </c>
    </row>
    <row r="311" customFormat="false" ht="12.75" hidden="false" customHeight="true" outlineLevel="0" collapsed="false">
      <c r="C311" s="178" t="n">
        <v>300</v>
      </c>
      <c r="D311" s="179" t="n">
        <f aca="false">D310+E310</f>
        <v>0</v>
      </c>
      <c r="E311" s="180" t="n">
        <f aca="false">G311-F311</f>
        <v>0</v>
      </c>
      <c r="F311" s="176" t="n">
        <f aca="false">-$C$6*D311</f>
        <v>-0</v>
      </c>
      <c r="G311" s="177" t="n">
        <f aca="false">IF(C311&gt;$C$8,0,$C$9)</f>
        <v>0</v>
      </c>
    </row>
    <row r="312" customFormat="false" ht="12.75" hidden="false" customHeight="true" outlineLevel="0" collapsed="false">
      <c r="C312" s="178" t="n">
        <v>301</v>
      </c>
      <c r="D312" s="179" t="n">
        <f aca="false">D311+E311</f>
        <v>0</v>
      </c>
      <c r="E312" s="180" t="n">
        <f aca="false">G312-F312</f>
        <v>0</v>
      </c>
      <c r="F312" s="176" t="n">
        <f aca="false">-$C$6*D312</f>
        <v>-0</v>
      </c>
      <c r="G312" s="177" t="n">
        <f aca="false">IF(C312&gt;$C$8,0,$C$9)</f>
        <v>0</v>
      </c>
    </row>
    <row r="313" customFormat="false" ht="12.75" hidden="false" customHeight="true" outlineLevel="0" collapsed="false">
      <c r="C313" s="178" t="n">
        <v>302</v>
      </c>
      <c r="D313" s="179" t="n">
        <f aca="false">D312+E312</f>
        <v>0</v>
      </c>
      <c r="E313" s="180" t="n">
        <f aca="false">G313-F313</f>
        <v>0</v>
      </c>
      <c r="F313" s="176" t="n">
        <f aca="false">-$C$6*D313</f>
        <v>-0</v>
      </c>
      <c r="G313" s="177" t="n">
        <f aca="false">IF(C313&gt;$C$8,0,$C$9)</f>
        <v>0</v>
      </c>
    </row>
    <row r="314" customFormat="false" ht="12.75" hidden="false" customHeight="true" outlineLevel="0" collapsed="false">
      <c r="C314" s="178" t="n">
        <v>303</v>
      </c>
      <c r="D314" s="179" t="n">
        <f aca="false">D313+E313</f>
        <v>0</v>
      </c>
      <c r="E314" s="180" t="n">
        <f aca="false">G314-F314</f>
        <v>0</v>
      </c>
      <c r="F314" s="176" t="n">
        <f aca="false">-$C$6*D314</f>
        <v>-0</v>
      </c>
      <c r="G314" s="177" t="n">
        <f aca="false">IF(C314&gt;$C$8,0,$C$9)</f>
        <v>0</v>
      </c>
    </row>
    <row r="315" customFormat="false" ht="12.75" hidden="false" customHeight="true" outlineLevel="0" collapsed="false">
      <c r="C315" s="178" t="n">
        <v>304</v>
      </c>
      <c r="D315" s="179" t="n">
        <f aca="false">D314+E314</f>
        <v>0</v>
      </c>
      <c r="E315" s="180" t="n">
        <f aca="false">G315-F315</f>
        <v>0</v>
      </c>
      <c r="F315" s="176" t="n">
        <f aca="false">-$C$6*D315</f>
        <v>-0</v>
      </c>
      <c r="G315" s="177" t="n">
        <f aca="false">IF(C315&gt;$C$8,0,$C$9)</f>
        <v>0</v>
      </c>
    </row>
    <row r="316" customFormat="false" ht="12.75" hidden="false" customHeight="true" outlineLevel="0" collapsed="false">
      <c r="C316" s="178" t="n">
        <v>305</v>
      </c>
      <c r="D316" s="179" t="n">
        <f aca="false">D315+E315</f>
        <v>0</v>
      </c>
      <c r="E316" s="180" t="n">
        <f aca="false">G316-F316</f>
        <v>0</v>
      </c>
      <c r="F316" s="176" t="n">
        <f aca="false">-$C$6*D316</f>
        <v>-0</v>
      </c>
      <c r="G316" s="177" t="n">
        <f aca="false">IF(C316&gt;$C$8,0,$C$9)</f>
        <v>0</v>
      </c>
    </row>
    <row r="317" customFormat="false" ht="12.75" hidden="false" customHeight="true" outlineLevel="0" collapsed="false">
      <c r="C317" s="178" t="n">
        <v>306</v>
      </c>
      <c r="D317" s="179" t="n">
        <f aca="false">D316+E316</f>
        <v>0</v>
      </c>
      <c r="E317" s="180" t="n">
        <f aca="false">G317-F317</f>
        <v>0</v>
      </c>
      <c r="F317" s="176" t="n">
        <f aca="false">-$C$6*D317</f>
        <v>-0</v>
      </c>
      <c r="G317" s="177" t="n">
        <f aca="false">IF(C317&gt;$C$8,0,$C$9)</f>
        <v>0</v>
      </c>
    </row>
    <row r="318" customFormat="false" ht="12.75" hidden="false" customHeight="true" outlineLevel="0" collapsed="false">
      <c r="C318" s="178" t="n">
        <v>307</v>
      </c>
      <c r="D318" s="179" t="n">
        <f aca="false">D317+E317</f>
        <v>0</v>
      </c>
      <c r="E318" s="180" t="n">
        <f aca="false">G318-F318</f>
        <v>0</v>
      </c>
      <c r="F318" s="176" t="n">
        <f aca="false">-$C$6*D318</f>
        <v>-0</v>
      </c>
      <c r="G318" s="177" t="n">
        <f aca="false">IF(C318&gt;$C$8,0,$C$9)</f>
        <v>0</v>
      </c>
    </row>
    <row r="319" customFormat="false" ht="12.75" hidden="false" customHeight="true" outlineLevel="0" collapsed="false">
      <c r="C319" s="178" t="n">
        <v>308</v>
      </c>
      <c r="D319" s="179" t="n">
        <f aca="false">D318+E318</f>
        <v>0</v>
      </c>
      <c r="E319" s="180" t="n">
        <f aca="false">G319-F319</f>
        <v>0</v>
      </c>
      <c r="F319" s="176" t="n">
        <f aca="false">-$C$6*D319</f>
        <v>-0</v>
      </c>
      <c r="G319" s="177" t="n">
        <f aca="false">IF(C319&gt;$C$8,0,$C$9)</f>
        <v>0</v>
      </c>
    </row>
    <row r="320" customFormat="false" ht="12.75" hidden="false" customHeight="true" outlineLevel="0" collapsed="false">
      <c r="C320" s="178" t="n">
        <v>309</v>
      </c>
      <c r="D320" s="179" t="n">
        <f aca="false">D319+E319</f>
        <v>0</v>
      </c>
      <c r="E320" s="180" t="n">
        <f aca="false">G320-F320</f>
        <v>0</v>
      </c>
      <c r="F320" s="176" t="n">
        <f aca="false">-$C$6*D320</f>
        <v>-0</v>
      </c>
      <c r="G320" s="177" t="n">
        <f aca="false">IF(C320&gt;$C$8,0,$C$9)</f>
        <v>0</v>
      </c>
    </row>
    <row r="321" customFormat="false" ht="12.75" hidden="false" customHeight="true" outlineLevel="0" collapsed="false">
      <c r="C321" s="178" t="n">
        <v>310</v>
      </c>
      <c r="D321" s="179" t="n">
        <f aca="false">D320+E320</f>
        <v>0</v>
      </c>
      <c r="E321" s="180" t="n">
        <f aca="false">G321-F321</f>
        <v>0</v>
      </c>
      <c r="F321" s="176" t="n">
        <f aca="false">-$C$6*D321</f>
        <v>-0</v>
      </c>
      <c r="G321" s="177" t="n">
        <f aca="false">IF(C321&gt;$C$8,0,$C$9)</f>
        <v>0</v>
      </c>
    </row>
    <row r="322" customFormat="false" ht="12.75" hidden="false" customHeight="true" outlineLevel="0" collapsed="false">
      <c r="C322" s="178" t="n">
        <v>311</v>
      </c>
      <c r="D322" s="179" t="n">
        <f aca="false">D321+E321</f>
        <v>0</v>
      </c>
      <c r="E322" s="180" t="n">
        <f aca="false">G322-F322</f>
        <v>0</v>
      </c>
      <c r="F322" s="176" t="n">
        <f aca="false">-$C$6*D322</f>
        <v>-0</v>
      </c>
      <c r="G322" s="177" t="n">
        <f aca="false">IF(C322&gt;$C$8,0,$C$9)</f>
        <v>0</v>
      </c>
    </row>
    <row r="323" customFormat="false" ht="12.75" hidden="false" customHeight="true" outlineLevel="0" collapsed="false">
      <c r="C323" s="178" t="n">
        <v>312</v>
      </c>
      <c r="D323" s="179" t="n">
        <f aca="false">D322+E322</f>
        <v>0</v>
      </c>
      <c r="E323" s="180" t="n">
        <f aca="false">G323-F323</f>
        <v>0</v>
      </c>
      <c r="F323" s="176" t="n">
        <f aca="false">-$C$6*D323</f>
        <v>-0</v>
      </c>
      <c r="G323" s="177" t="n">
        <f aca="false">IF(C323&gt;$C$8,0,$C$9)</f>
        <v>0</v>
      </c>
    </row>
    <row r="324" customFormat="false" ht="12.75" hidden="false" customHeight="true" outlineLevel="0" collapsed="false">
      <c r="C324" s="178" t="n">
        <v>313</v>
      </c>
      <c r="D324" s="179" t="n">
        <f aca="false">D323+E323</f>
        <v>0</v>
      </c>
      <c r="E324" s="180" t="n">
        <f aca="false">G324-F324</f>
        <v>0</v>
      </c>
      <c r="F324" s="176" t="n">
        <f aca="false">-$C$6*D324</f>
        <v>-0</v>
      </c>
      <c r="G324" s="177" t="n">
        <f aca="false">IF(C324&gt;$C$8,0,$C$9)</f>
        <v>0</v>
      </c>
    </row>
    <row r="325" customFormat="false" ht="12.75" hidden="false" customHeight="true" outlineLevel="0" collapsed="false">
      <c r="C325" s="178" t="n">
        <v>314</v>
      </c>
      <c r="D325" s="179" t="n">
        <f aca="false">D324+E324</f>
        <v>0</v>
      </c>
      <c r="E325" s="180" t="n">
        <f aca="false">G325-F325</f>
        <v>0</v>
      </c>
      <c r="F325" s="176" t="n">
        <f aca="false">-$C$6*D325</f>
        <v>-0</v>
      </c>
      <c r="G325" s="177" t="n">
        <f aca="false">IF(C325&gt;$C$8,0,$C$9)</f>
        <v>0</v>
      </c>
    </row>
    <row r="326" customFormat="false" ht="12.75" hidden="false" customHeight="true" outlineLevel="0" collapsed="false">
      <c r="C326" s="178" t="n">
        <v>315</v>
      </c>
      <c r="D326" s="179" t="n">
        <f aca="false">D325+E325</f>
        <v>0</v>
      </c>
      <c r="E326" s="180" t="n">
        <f aca="false">G326-F326</f>
        <v>0</v>
      </c>
      <c r="F326" s="176" t="n">
        <f aca="false">-$C$6*D326</f>
        <v>-0</v>
      </c>
      <c r="G326" s="177" t="n">
        <f aca="false">IF(C326&gt;$C$8,0,$C$9)</f>
        <v>0</v>
      </c>
    </row>
    <row r="327" customFormat="false" ht="12.75" hidden="false" customHeight="true" outlineLevel="0" collapsed="false">
      <c r="C327" s="178" t="n">
        <v>316</v>
      </c>
      <c r="D327" s="179" t="n">
        <f aca="false">D326+E326</f>
        <v>0</v>
      </c>
      <c r="E327" s="180" t="n">
        <f aca="false">G327-F327</f>
        <v>0</v>
      </c>
      <c r="F327" s="176" t="n">
        <f aca="false">-$C$6*D327</f>
        <v>-0</v>
      </c>
      <c r="G327" s="177" t="n">
        <f aca="false">IF(C327&gt;$C$8,0,$C$9)</f>
        <v>0</v>
      </c>
    </row>
    <row r="328" customFormat="false" ht="12.75" hidden="false" customHeight="true" outlineLevel="0" collapsed="false">
      <c r="C328" s="178" t="n">
        <v>317</v>
      </c>
      <c r="D328" s="179" t="n">
        <f aca="false">D327+E327</f>
        <v>0</v>
      </c>
      <c r="E328" s="180" t="n">
        <f aca="false">G328-F328</f>
        <v>0</v>
      </c>
      <c r="F328" s="176" t="n">
        <f aca="false">-$C$6*D328</f>
        <v>-0</v>
      </c>
      <c r="G328" s="177" t="n">
        <f aca="false">IF(C328&gt;$C$8,0,$C$9)</f>
        <v>0</v>
      </c>
    </row>
    <row r="329" customFormat="false" ht="12.75" hidden="false" customHeight="true" outlineLevel="0" collapsed="false">
      <c r="C329" s="178" t="n">
        <v>318</v>
      </c>
      <c r="D329" s="179" t="n">
        <f aca="false">D328+E328</f>
        <v>0</v>
      </c>
      <c r="E329" s="180" t="n">
        <f aca="false">G329-F329</f>
        <v>0</v>
      </c>
      <c r="F329" s="176" t="n">
        <f aca="false">-$C$6*D329</f>
        <v>-0</v>
      </c>
      <c r="G329" s="177" t="n">
        <f aca="false">IF(C329&gt;$C$8,0,$C$9)</f>
        <v>0</v>
      </c>
    </row>
    <row r="330" customFormat="false" ht="12.75" hidden="false" customHeight="true" outlineLevel="0" collapsed="false">
      <c r="C330" s="178" t="n">
        <v>319</v>
      </c>
      <c r="D330" s="179" t="n">
        <f aca="false">D329+E329</f>
        <v>0</v>
      </c>
      <c r="E330" s="180" t="n">
        <f aca="false">G330-F330</f>
        <v>0</v>
      </c>
      <c r="F330" s="176" t="n">
        <f aca="false">-$C$6*D330</f>
        <v>-0</v>
      </c>
      <c r="G330" s="177" t="n">
        <f aca="false">IF(C330&gt;$C$8,0,$C$9)</f>
        <v>0</v>
      </c>
    </row>
    <row r="331" customFormat="false" ht="12.75" hidden="false" customHeight="true" outlineLevel="0" collapsed="false">
      <c r="C331" s="178" t="n">
        <v>320</v>
      </c>
      <c r="D331" s="179" t="n">
        <f aca="false">D330+E330</f>
        <v>0</v>
      </c>
      <c r="E331" s="180" t="n">
        <f aca="false">G331-F331</f>
        <v>0</v>
      </c>
      <c r="F331" s="176" t="n">
        <f aca="false">-$C$6*D331</f>
        <v>-0</v>
      </c>
      <c r="G331" s="177" t="n">
        <f aca="false">IF(C331&gt;$C$8,0,$C$9)</f>
        <v>0</v>
      </c>
    </row>
    <row r="332" customFormat="false" ht="12.75" hidden="false" customHeight="true" outlineLevel="0" collapsed="false">
      <c r="C332" s="178" t="n">
        <v>321</v>
      </c>
      <c r="D332" s="179" t="n">
        <f aca="false">D331+E331</f>
        <v>0</v>
      </c>
      <c r="E332" s="180" t="n">
        <f aca="false">G332-F332</f>
        <v>0</v>
      </c>
      <c r="F332" s="176" t="n">
        <f aca="false">-$C$6*D332</f>
        <v>-0</v>
      </c>
      <c r="G332" s="177" t="n">
        <f aca="false">IF(C332&gt;$C$8,0,$C$9)</f>
        <v>0</v>
      </c>
    </row>
    <row r="333" customFormat="false" ht="12.75" hidden="false" customHeight="true" outlineLevel="0" collapsed="false">
      <c r="C333" s="178" t="n">
        <v>322</v>
      </c>
      <c r="D333" s="179" t="n">
        <f aca="false">D332+E332</f>
        <v>0</v>
      </c>
      <c r="E333" s="180" t="n">
        <f aca="false">G333-F333</f>
        <v>0</v>
      </c>
      <c r="F333" s="176" t="n">
        <f aca="false">-$C$6*D333</f>
        <v>-0</v>
      </c>
      <c r="G333" s="177" t="n">
        <f aca="false">IF(C333&gt;$C$8,0,$C$9)</f>
        <v>0</v>
      </c>
    </row>
    <row r="334" customFormat="false" ht="12.75" hidden="false" customHeight="true" outlineLevel="0" collapsed="false">
      <c r="C334" s="178" t="n">
        <v>323</v>
      </c>
      <c r="D334" s="179" t="n">
        <f aca="false">D333+E333</f>
        <v>0</v>
      </c>
      <c r="E334" s="180" t="n">
        <f aca="false">G334-F334</f>
        <v>0</v>
      </c>
      <c r="F334" s="176" t="n">
        <f aca="false">-$C$6*D334</f>
        <v>-0</v>
      </c>
      <c r="G334" s="177" t="n">
        <f aca="false">IF(C334&gt;$C$8,0,$C$9)</f>
        <v>0</v>
      </c>
    </row>
    <row r="335" customFormat="false" ht="12.75" hidden="false" customHeight="true" outlineLevel="0" collapsed="false">
      <c r="C335" s="178" t="n">
        <v>324</v>
      </c>
      <c r="D335" s="179" t="n">
        <f aca="false">D334+E334</f>
        <v>0</v>
      </c>
      <c r="E335" s="180" t="n">
        <f aca="false">G335-F335</f>
        <v>0</v>
      </c>
      <c r="F335" s="176" t="n">
        <f aca="false">-$C$6*D335</f>
        <v>-0</v>
      </c>
      <c r="G335" s="177" t="n">
        <f aca="false">IF(C335&gt;$C$8,0,$C$9)</f>
        <v>0</v>
      </c>
    </row>
    <row r="336" customFormat="false" ht="12.75" hidden="false" customHeight="true" outlineLevel="0" collapsed="false">
      <c r="C336" s="178" t="n">
        <v>325</v>
      </c>
      <c r="D336" s="179" t="n">
        <f aca="false">D335+E335</f>
        <v>0</v>
      </c>
      <c r="E336" s="180" t="n">
        <f aca="false">G336-F336</f>
        <v>0</v>
      </c>
      <c r="F336" s="176" t="n">
        <f aca="false">-$C$6*D336</f>
        <v>-0</v>
      </c>
      <c r="G336" s="177" t="n">
        <f aca="false">IF(C336&gt;$C$8,0,$C$9)</f>
        <v>0</v>
      </c>
    </row>
    <row r="337" customFormat="false" ht="12.75" hidden="false" customHeight="true" outlineLevel="0" collapsed="false">
      <c r="C337" s="178" t="n">
        <v>326</v>
      </c>
      <c r="D337" s="179" t="n">
        <f aca="false">D336+E336</f>
        <v>0</v>
      </c>
      <c r="E337" s="180" t="n">
        <f aca="false">G337-F337</f>
        <v>0</v>
      </c>
      <c r="F337" s="176" t="n">
        <f aca="false">-$C$6*D337</f>
        <v>-0</v>
      </c>
      <c r="G337" s="177" t="n">
        <f aca="false">IF(C337&gt;$C$8,0,$C$9)</f>
        <v>0</v>
      </c>
    </row>
    <row r="338" customFormat="false" ht="12.75" hidden="false" customHeight="true" outlineLevel="0" collapsed="false">
      <c r="C338" s="178" t="n">
        <v>327</v>
      </c>
      <c r="D338" s="179" t="n">
        <f aca="false">D337+E337</f>
        <v>0</v>
      </c>
      <c r="E338" s="180" t="n">
        <f aca="false">G338-F338</f>
        <v>0</v>
      </c>
      <c r="F338" s="176" t="n">
        <f aca="false">-$C$6*D338</f>
        <v>-0</v>
      </c>
      <c r="G338" s="177" t="n">
        <f aca="false">IF(C338&gt;$C$8,0,$C$9)</f>
        <v>0</v>
      </c>
    </row>
    <row r="339" customFormat="false" ht="12.75" hidden="false" customHeight="true" outlineLevel="0" collapsed="false">
      <c r="C339" s="178" t="n">
        <v>328</v>
      </c>
      <c r="D339" s="179" t="n">
        <f aca="false">D338+E338</f>
        <v>0</v>
      </c>
      <c r="E339" s="180" t="n">
        <f aca="false">G339-F339</f>
        <v>0</v>
      </c>
      <c r="F339" s="176" t="n">
        <f aca="false">-$C$6*D339</f>
        <v>-0</v>
      </c>
      <c r="G339" s="177" t="n">
        <f aca="false">IF(C339&gt;$C$8,0,$C$9)</f>
        <v>0</v>
      </c>
    </row>
    <row r="340" customFormat="false" ht="12.75" hidden="false" customHeight="true" outlineLevel="0" collapsed="false">
      <c r="C340" s="178" t="n">
        <v>329</v>
      </c>
      <c r="D340" s="179" t="n">
        <f aca="false">D339+E339</f>
        <v>0</v>
      </c>
      <c r="E340" s="180" t="n">
        <f aca="false">G340-F340</f>
        <v>0</v>
      </c>
      <c r="F340" s="176" t="n">
        <f aca="false">-$C$6*D340</f>
        <v>-0</v>
      </c>
      <c r="G340" s="177" t="n">
        <f aca="false">IF(C340&gt;$C$8,0,$C$9)</f>
        <v>0</v>
      </c>
    </row>
    <row r="341" customFormat="false" ht="12.75" hidden="false" customHeight="true" outlineLevel="0" collapsed="false">
      <c r="C341" s="178" t="n">
        <v>330</v>
      </c>
      <c r="D341" s="179" t="n">
        <f aca="false">D340+E340</f>
        <v>0</v>
      </c>
      <c r="E341" s="180" t="n">
        <f aca="false">G341-F341</f>
        <v>0</v>
      </c>
      <c r="F341" s="176" t="n">
        <f aca="false">-$C$6*D341</f>
        <v>-0</v>
      </c>
      <c r="G341" s="177" t="n">
        <f aca="false">IF(C341&gt;$C$8,0,$C$9)</f>
        <v>0</v>
      </c>
    </row>
    <row r="342" customFormat="false" ht="12.75" hidden="false" customHeight="true" outlineLevel="0" collapsed="false">
      <c r="C342" s="178" t="n">
        <v>331</v>
      </c>
      <c r="D342" s="179" t="n">
        <f aca="false">D341+E341</f>
        <v>0</v>
      </c>
      <c r="E342" s="180" t="n">
        <f aca="false">G342-F342</f>
        <v>0</v>
      </c>
      <c r="F342" s="176" t="n">
        <f aca="false">-$C$6*D342</f>
        <v>-0</v>
      </c>
      <c r="G342" s="177" t="n">
        <f aca="false">IF(C342&gt;$C$8,0,$C$9)</f>
        <v>0</v>
      </c>
    </row>
    <row r="343" customFormat="false" ht="12.75" hidden="false" customHeight="true" outlineLevel="0" collapsed="false">
      <c r="C343" s="178" t="n">
        <v>332</v>
      </c>
      <c r="D343" s="179" t="n">
        <f aca="false">D342+E342</f>
        <v>0</v>
      </c>
      <c r="E343" s="180" t="n">
        <f aca="false">G343-F343</f>
        <v>0</v>
      </c>
      <c r="F343" s="176" t="n">
        <f aca="false">-$C$6*D343</f>
        <v>-0</v>
      </c>
      <c r="G343" s="177" t="n">
        <f aca="false">IF(C343&gt;$C$8,0,$C$9)</f>
        <v>0</v>
      </c>
    </row>
    <row r="344" customFormat="false" ht="12.75" hidden="false" customHeight="true" outlineLevel="0" collapsed="false">
      <c r="C344" s="178" t="n">
        <v>333</v>
      </c>
      <c r="D344" s="179" t="n">
        <f aca="false">D343+E343</f>
        <v>0</v>
      </c>
      <c r="E344" s="180" t="n">
        <f aca="false">G344-F344</f>
        <v>0</v>
      </c>
      <c r="F344" s="176" t="n">
        <f aca="false">-$C$6*D344</f>
        <v>-0</v>
      </c>
      <c r="G344" s="177" t="n">
        <f aca="false">IF(C344&gt;$C$8,0,$C$9)</f>
        <v>0</v>
      </c>
    </row>
    <row r="345" customFormat="false" ht="12.75" hidden="false" customHeight="true" outlineLevel="0" collapsed="false">
      <c r="C345" s="178" t="n">
        <v>334</v>
      </c>
      <c r="D345" s="179" t="n">
        <f aca="false">D344+E344</f>
        <v>0</v>
      </c>
      <c r="E345" s="180" t="n">
        <f aca="false">G345-F345</f>
        <v>0</v>
      </c>
      <c r="F345" s="176" t="n">
        <f aca="false">-$C$6*D345</f>
        <v>-0</v>
      </c>
      <c r="G345" s="177" t="n">
        <f aca="false">IF(C345&gt;$C$8,0,$C$9)</f>
        <v>0</v>
      </c>
    </row>
    <row r="346" customFormat="false" ht="12.75" hidden="false" customHeight="true" outlineLevel="0" collapsed="false">
      <c r="C346" s="178" t="n">
        <v>335</v>
      </c>
      <c r="D346" s="179" t="n">
        <f aca="false">D345+E345</f>
        <v>0</v>
      </c>
      <c r="E346" s="180" t="n">
        <f aca="false">G346-F346</f>
        <v>0</v>
      </c>
      <c r="F346" s="176" t="n">
        <f aca="false">-$C$6*D346</f>
        <v>-0</v>
      </c>
      <c r="G346" s="177" t="n">
        <f aca="false">IF(C346&gt;$C$8,0,$C$9)</f>
        <v>0</v>
      </c>
    </row>
    <row r="347" customFormat="false" ht="12.75" hidden="false" customHeight="true" outlineLevel="0" collapsed="false">
      <c r="C347" s="178" t="n">
        <v>336</v>
      </c>
      <c r="D347" s="179" t="n">
        <f aca="false">D346+E346</f>
        <v>0</v>
      </c>
      <c r="E347" s="180" t="n">
        <f aca="false">G347-F347</f>
        <v>0</v>
      </c>
      <c r="F347" s="176" t="n">
        <f aca="false">-$C$6*D347</f>
        <v>-0</v>
      </c>
      <c r="G347" s="177" t="n">
        <f aca="false">IF(C347&gt;$C$8,0,$C$9)</f>
        <v>0</v>
      </c>
    </row>
    <row r="348" customFormat="false" ht="12.75" hidden="false" customHeight="true" outlineLevel="0" collapsed="false">
      <c r="C348" s="178" t="n">
        <v>337</v>
      </c>
      <c r="D348" s="179" t="n">
        <f aca="false">D347+E347</f>
        <v>0</v>
      </c>
      <c r="E348" s="180" t="n">
        <f aca="false">G348-F348</f>
        <v>0</v>
      </c>
      <c r="F348" s="176" t="n">
        <f aca="false">-$C$6*D348</f>
        <v>-0</v>
      </c>
      <c r="G348" s="177" t="n">
        <f aca="false">IF(C348&gt;$C$8,0,$C$9)</f>
        <v>0</v>
      </c>
    </row>
    <row r="349" customFormat="false" ht="12.75" hidden="false" customHeight="true" outlineLevel="0" collapsed="false">
      <c r="C349" s="178" t="n">
        <v>338</v>
      </c>
      <c r="D349" s="179" t="n">
        <f aca="false">D348+E348</f>
        <v>0</v>
      </c>
      <c r="E349" s="180" t="n">
        <f aca="false">G349-F349</f>
        <v>0</v>
      </c>
      <c r="F349" s="176" t="n">
        <f aca="false">-$C$6*D349</f>
        <v>-0</v>
      </c>
      <c r="G349" s="177" t="n">
        <f aca="false">IF(C349&gt;$C$8,0,$C$9)</f>
        <v>0</v>
      </c>
    </row>
    <row r="350" customFormat="false" ht="12.75" hidden="false" customHeight="true" outlineLevel="0" collapsed="false">
      <c r="C350" s="178" t="n">
        <v>339</v>
      </c>
      <c r="D350" s="179" t="n">
        <f aca="false">D349+E349</f>
        <v>0</v>
      </c>
      <c r="E350" s="180" t="n">
        <f aca="false">G350-F350</f>
        <v>0</v>
      </c>
      <c r="F350" s="176" t="n">
        <f aca="false">-$C$6*D350</f>
        <v>-0</v>
      </c>
      <c r="G350" s="177" t="n">
        <f aca="false">IF(C350&gt;$C$8,0,$C$9)</f>
        <v>0</v>
      </c>
    </row>
    <row r="351" customFormat="false" ht="12.75" hidden="false" customHeight="true" outlineLevel="0" collapsed="false">
      <c r="C351" s="178" t="n">
        <v>340</v>
      </c>
      <c r="D351" s="179" t="n">
        <f aca="false">D350+E350</f>
        <v>0</v>
      </c>
      <c r="E351" s="180" t="n">
        <f aca="false">G351-F351</f>
        <v>0</v>
      </c>
      <c r="F351" s="176" t="n">
        <f aca="false">-$C$6*D351</f>
        <v>-0</v>
      </c>
      <c r="G351" s="177" t="n">
        <f aca="false">IF(C351&gt;$C$8,0,$C$9)</f>
        <v>0</v>
      </c>
    </row>
    <row r="352" customFormat="false" ht="12.75" hidden="false" customHeight="true" outlineLevel="0" collapsed="false">
      <c r="C352" s="178" t="n">
        <v>341</v>
      </c>
      <c r="D352" s="179" t="n">
        <f aca="false">D351+E351</f>
        <v>0</v>
      </c>
      <c r="E352" s="180" t="n">
        <f aca="false">G352-F352</f>
        <v>0</v>
      </c>
      <c r="F352" s="176" t="n">
        <f aca="false">-$C$6*D352</f>
        <v>-0</v>
      </c>
      <c r="G352" s="177" t="n">
        <f aca="false">IF(C352&gt;$C$8,0,$C$9)</f>
        <v>0</v>
      </c>
    </row>
    <row r="353" customFormat="false" ht="12.75" hidden="false" customHeight="true" outlineLevel="0" collapsed="false">
      <c r="C353" s="178" t="n">
        <v>342</v>
      </c>
      <c r="D353" s="179" t="n">
        <f aca="false">D352+E352</f>
        <v>0</v>
      </c>
      <c r="E353" s="180" t="n">
        <f aca="false">G353-F353</f>
        <v>0</v>
      </c>
      <c r="F353" s="176" t="n">
        <f aca="false">-$C$6*D353</f>
        <v>-0</v>
      </c>
      <c r="G353" s="177" t="n">
        <f aca="false">IF(C353&gt;$C$8,0,$C$9)</f>
        <v>0</v>
      </c>
    </row>
    <row r="354" customFormat="false" ht="12.75" hidden="false" customHeight="true" outlineLevel="0" collapsed="false">
      <c r="C354" s="178" t="n">
        <v>343</v>
      </c>
      <c r="D354" s="179" t="n">
        <f aca="false">D353+E353</f>
        <v>0</v>
      </c>
      <c r="E354" s="180" t="n">
        <f aca="false">G354-F354</f>
        <v>0</v>
      </c>
      <c r="F354" s="176" t="n">
        <f aca="false">-$C$6*D354</f>
        <v>-0</v>
      </c>
      <c r="G354" s="177" t="n">
        <f aca="false">IF(C354&gt;$C$8,0,$C$9)</f>
        <v>0</v>
      </c>
    </row>
    <row r="355" customFormat="false" ht="12.75" hidden="false" customHeight="true" outlineLevel="0" collapsed="false">
      <c r="C355" s="178" t="n">
        <v>344</v>
      </c>
      <c r="D355" s="179" t="n">
        <f aca="false">D354+E354</f>
        <v>0</v>
      </c>
      <c r="E355" s="180" t="n">
        <f aca="false">G355-F355</f>
        <v>0</v>
      </c>
      <c r="F355" s="176" t="n">
        <f aca="false">-$C$6*D355</f>
        <v>-0</v>
      </c>
      <c r="G355" s="177" t="n">
        <f aca="false">IF(C355&gt;$C$8,0,$C$9)</f>
        <v>0</v>
      </c>
    </row>
    <row r="356" customFormat="false" ht="12.75" hidden="false" customHeight="true" outlineLevel="0" collapsed="false">
      <c r="C356" s="178" t="n">
        <v>345</v>
      </c>
      <c r="D356" s="179" t="n">
        <f aca="false">D355+E355</f>
        <v>0</v>
      </c>
      <c r="E356" s="180" t="n">
        <f aca="false">G356-F356</f>
        <v>0</v>
      </c>
      <c r="F356" s="176" t="n">
        <f aca="false">-$C$6*D356</f>
        <v>-0</v>
      </c>
      <c r="G356" s="177" t="n">
        <f aca="false">IF(C356&gt;$C$8,0,$C$9)</f>
        <v>0</v>
      </c>
    </row>
    <row r="357" customFormat="false" ht="12.75" hidden="false" customHeight="true" outlineLevel="0" collapsed="false">
      <c r="C357" s="178" t="n">
        <v>346</v>
      </c>
      <c r="D357" s="179" t="n">
        <f aca="false">D356+E356</f>
        <v>0</v>
      </c>
      <c r="E357" s="180" t="n">
        <f aca="false">G357-F357</f>
        <v>0</v>
      </c>
      <c r="F357" s="176" t="n">
        <f aca="false">-$C$6*D357</f>
        <v>-0</v>
      </c>
      <c r="G357" s="177" t="n">
        <f aca="false">IF(C357&gt;$C$8,0,$C$9)</f>
        <v>0</v>
      </c>
    </row>
    <row r="358" customFormat="false" ht="12.75" hidden="false" customHeight="true" outlineLevel="0" collapsed="false">
      <c r="C358" s="178" t="n">
        <v>347</v>
      </c>
      <c r="D358" s="179" t="n">
        <f aca="false">D357+E357</f>
        <v>0</v>
      </c>
      <c r="E358" s="180" t="n">
        <f aca="false">G358-F358</f>
        <v>0</v>
      </c>
      <c r="F358" s="176" t="n">
        <f aca="false">-$C$6*D358</f>
        <v>-0</v>
      </c>
      <c r="G358" s="177" t="n">
        <f aca="false">IF(C358&gt;$C$8,0,$C$9)</f>
        <v>0</v>
      </c>
    </row>
    <row r="359" customFormat="false" ht="12.75" hidden="false" customHeight="true" outlineLevel="0" collapsed="false">
      <c r="C359" s="178" t="n">
        <v>348</v>
      </c>
      <c r="D359" s="179" t="n">
        <f aca="false">D358+E358</f>
        <v>0</v>
      </c>
      <c r="E359" s="180" t="n">
        <f aca="false">G359-F359</f>
        <v>0</v>
      </c>
      <c r="F359" s="176" t="n">
        <f aca="false">-$C$6*D359</f>
        <v>-0</v>
      </c>
      <c r="G359" s="177" t="n">
        <f aca="false">IF(C359&gt;$C$8,0,$C$9)</f>
        <v>0</v>
      </c>
    </row>
    <row r="360" customFormat="false" ht="12.75" hidden="false" customHeight="true" outlineLevel="0" collapsed="false">
      <c r="C360" s="178" t="n">
        <v>349</v>
      </c>
      <c r="D360" s="179" t="n">
        <f aca="false">D359+E359</f>
        <v>0</v>
      </c>
      <c r="E360" s="180" t="n">
        <f aca="false">G360-F360</f>
        <v>0</v>
      </c>
      <c r="F360" s="176" t="n">
        <f aca="false">-$C$6*D360</f>
        <v>-0</v>
      </c>
      <c r="G360" s="177" t="n">
        <f aca="false">IF(C360&gt;$C$8,0,$C$9)</f>
        <v>0</v>
      </c>
    </row>
    <row r="361" customFormat="false" ht="12.75" hidden="false" customHeight="true" outlineLevel="0" collapsed="false">
      <c r="C361" s="178" t="n">
        <v>350</v>
      </c>
      <c r="D361" s="179" t="n">
        <f aca="false">D360+E360</f>
        <v>0</v>
      </c>
      <c r="E361" s="180" t="n">
        <f aca="false">G361-F361</f>
        <v>0</v>
      </c>
      <c r="F361" s="176" t="n">
        <f aca="false">-$C$6*D361</f>
        <v>-0</v>
      </c>
      <c r="G361" s="177" t="n">
        <f aca="false">IF(C361&gt;$C$8,0,$C$9)</f>
        <v>0</v>
      </c>
    </row>
    <row r="362" customFormat="false" ht="12.75" hidden="false" customHeight="true" outlineLevel="0" collapsed="false">
      <c r="C362" s="178" t="n">
        <v>351</v>
      </c>
      <c r="D362" s="179" t="n">
        <f aca="false">D361+E361</f>
        <v>0</v>
      </c>
      <c r="E362" s="180" t="n">
        <f aca="false">G362-F362</f>
        <v>0</v>
      </c>
      <c r="F362" s="176" t="n">
        <f aca="false">-$C$6*D362</f>
        <v>-0</v>
      </c>
      <c r="G362" s="177" t="n">
        <f aca="false">IF(C362&gt;$C$8,0,$C$9)</f>
        <v>0</v>
      </c>
    </row>
    <row r="363" customFormat="false" ht="12.75" hidden="false" customHeight="true" outlineLevel="0" collapsed="false">
      <c r="C363" s="178" t="n">
        <v>352</v>
      </c>
      <c r="D363" s="179" t="n">
        <f aca="false">D362+E362</f>
        <v>0</v>
      </c>
      <c r="E363" s="180" t="n">
        <f aca="false">G363-F363</f>
        <v>0</v>
      </c>
      <c r="F363" s="176" t="n">
        <f aca="false">-$C$6*D363</f>
        <v>-0</v>
      </c>
      <c r="G363" s="177" t="n">
        <f aca="false">IF(C363&gt;$C$8,0,$C$9)</f>
        <v>0</v>
      </c>
    </row>
    <row r="364" customFormat="false" ht="12.75" hidden="false" customHeight="true" outlineLevel="0" collapsed="false">
      <c r="C364" s="178" t="n">
        <v>353</v>
      </c>
      <c r="D364" s="179" t="n">
        <f aca="false">D363+E363</f>
        <v>0</v>
      </c>
      <c r="E364" s="180" t="n">
        <f aca="false">G364-F364</f>
        <v>0</v>
      </c>
      <c r="F364" s="176" t="n">
        <f aca="false">-$C$6*D364</f>
        <v>-0</v>
      </c>
      <c r="G364" s="177" t="n">
        <f aca="false">IF(C364&gt;$C$8,0,$C$9)</f>
        <v>0</v>
      </c>
    </row>
    <row r="365" customFormat="false" ht="12.75" hidden="false" customHeight="true" outlineLevel="0" collapsed="false">
      <c r="C365" s="178" t="n">
        <v>354</v>
      </c>
      <c r="D365" s="179" t="n">
        <f aca="false">D364+E364</f>
        <v>0</v>
      </c>
      <c r="E365" s="180" t="n">
        <f aca="false">G365-F365</f>
        <v>0</v>
      </c>
      <c r="F365" s="176" t="n">
        <f aca="false">-$C$6*D365</f>
        <v>-0</v>
      </c>
      <c r="G365" s="177" t="n">
        <f aca="false">IF(C365&gt;$C$8,0,$C$9)</f>
        <v>0</v>
      </c>
    </row>
    <row r="366" customFormat="false" ht="12.75" hidden="false" customHeight="true" outlineLevel="0" collapsed="false">
      <c r="C366" s="178" t="n">
        <v>355</v>
      </c>
      <c r="D366" s="179" t="n">
        <f aca="false">D365+E365</f>
        <v>0</v>
      </c>
      <c r="E366" s="180" t="n">
        <f aca="false">G366-F366</f>
        <v>0</v>
      </c>
      <c r="F366" s="176" t="n">
        <f aca="false">-$C$6*D366</f>
        <v>-0</v>
      </c>
      <c r="G366" s="177" t="n">
        <f aca="false">IF(C366&gt;$C$8,0,$C$9)</f>
        <v>0</v>
      </c>
    </row>
    <row r="367" customFormat="false" ht="12.75" hidden="false" customHeight="true" outlineLevel="0" collapsed="false">
      <c r="C367" s="178" t="n">
        <v>356</v>
      </c>
      <c r="D367" s="179" t="n">
        <f aca="false">D366+E366</f>
        <v>0</v>
      </c>
      <c r="E367" s="180" t="n">
        <f aca="false">G367-F367</f>
        <v>0</v>
      </c>
      <c r="F367" s="176" t="n">
        <f aca="false">-$C$6*D367</f>
        <v>-0</v>
      </c>
      <c r="G367" s="177" t="n">
        <f aca="false">IF(C367&gt;$C$8,0,$C$9)</f>
        <v>0</v>
      </c>
    </row>
    <row r="368" customFormat="false" ht="12.75" hidden="false" customHeight="true" outlineLevel="0" collapsed="false">
      <c r="C368" s="178" t="n">
        <v>357</v>
      </c>
      <c r="D368" s="179" t="n">
        <f aca="false">D367+E367</f>
        <v>0</v>
      </c>
      <c r="E368" s="180" t="n">
        <f aca="false">G368-F368</f>
        <v>0</v>
      </c>
      <c r="F368" s="176" t="n">
        <f aca="false">-$C$6*D368</f>
        <v>-0</v>
      </c>
      <c r="G368" s="177" t="n">
        <f aca="false">IF(C368&gt;$C$8,0,$C$9)</f>
        <v>0</v>
      </c>
    </row>
    <row r="369" customFormat="false" ht="12.75" hidden="false" customHeight="true" outlineLevel="0" collapsed="false">
      <c r="C369" s="178" t="n">
        <v>358</v>
      </c>
      <c r="D369" s="179" t="n">
        <f aca="false">D368+E368</f>
        <v>0</v>
      </c>
      <c r="E369" s="180" t="n">
        <f aca="false">G369-F369</f>
        <v>0</v>
      </c>
      <c r="F369" s="176" t="n">
        <f aca="false">-$C$6*D369</f>
        <v>-0</v>
      </c>
      <c r="G369" s="177" t="n">
        <f aca="false">IF(C369&gt;$C$8,0,$C$9)</f>
        <v>0</v>
      </c>
    </row>
    <row r="370" customFormat="false" ht="12.75" hidden="false" customHeight="true" outlineLevel="0" collapsed="false">
      <c r="C370" s="178" t="n">
        <v>359</v>
      </c>
      <c r="D370" s="179" t="n">
        <f aca="false">D369+E369</f>
        <v>0</v>
      </c>
      <c r="E370" s="180" t="n">
        <f aca="false">G370-F370</f>
        <v>0</v>
      </c>
      <c r="F370" s="176" t="n">
        <f aca="false">-$C$6*D370</f>
        <v>-0</v>
      </c>
      <c r="G370" s="177" t="n">
        <f aca="false">IF(C370&gt;$C$8,0,$C$9)</f>
        <v>0</v>
      </c>
    </row>
    <row r="371" customFormat="false" ht="13.5" hidden="false" customHeight="true" outlineLevel="0" collapsed="false">
      <c r="C371" s="181" t="n">
        <v>360</v>
      </c>
      <c r="D371" s="182" t="n">
        <f aca="false">D370+E370</f>
        <v>0</v>
      </c>
      <c r="E371" s="183" t="n">
        <f aca="false">G371-F371</f>
        <v>0</v>
      </c>
      <c r="F371" s="176" t="n">
        <f aca="false">-$C$6*D371</f>
        <v>-0</v>
      </c>
      <c r="G371" s="184" t="n">
        <f aca="false">IF(C371&gt;$C$8,0,$C$9)</f>
        <v>0</v>
      </c>
    </row>
    <row r="372" customFormat="false" ht="12.75" hidden="false" customHeight="true" outlineLevel="0" collapsed="false">
      <c r="G372" s="185"/>
    </row>
    <row r="373" customFormat="false" ht="12.75" hidden="false" customHeight="true" outlineLevel="0" collapsed="false">
      <c r="G373" s="185"/>
    </row>
    <row r="374" customFormat="false" ht="12.75" hidden="false" customHeight="true" outlineLevel="0" collapsed="false">
      <c r="G374" s="185"/>
    </row>
  </sheetData>
  <mergeCells count="1">
    <mergeCell ref="E5:G7"/>
  </mergeCells>
  <printOptions headings="false" gridLines="false" gridLinesSet="true" horizontalCentered="true" verticalCentered="false"/>
  <pageMargins left="0.747916666666667" right="0.747916666666667" top="0.470138888888889" bottom="0.529861111111111" header="0.511805555555555" footer="0.511805555555555"/>
  <pageSetup paperSize="1" scale="100" firstPageNumber="0" fitToWidth="1" fitToHeight="4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LibreOffice/7.0.4.2$Linux_AARCH64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2002-05-15T20:19:48Z</dcterms:created>
  <dc:creator>openpyxl</dc:creator>
  <dc:description/>
  <cp:keywords>  </cp:keywords>
  <dc:language>en-US</dc:language>
  <cp:lastModifiedBy>dkocan</cp:lastModifiedBy>
  <cp:lastPrinted>2005-07-21T18:46:35Z</cp:lastPrinted>
  <dcterms:modified xsi:type="dcterms:W3CDTF">2026-08-18T02:04:01Z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TC011840791033</vt:lpwstr>
  </property>
</Properties>
</file>