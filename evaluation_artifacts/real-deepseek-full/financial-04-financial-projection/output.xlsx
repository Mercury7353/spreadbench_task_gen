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18" firstSheet="0" activeTab="0" autoFilterDateGrouping="1"/>
  </bookViews>
  <sheets>
    <sheet name="Introduction" sheetId="1" state="visible" r:id="rId1"/>
    <sheet name="1. Required Start-Up Funds" sheetId="2" state="visible" r:id="rId2"/>
    <sheet name="2. Salaries and Wages" sheetId="3" state="visible" r:id="rId3"/>
    <sheet name="3. Fixed Operating Expenses" sheetId="4" state="visible" r:id="rId4"/>
    <sheet name="4. Projected Sales Forecast" sheetId="5" state="visible" r:id="rId5"/>
    <sheet name="5. Projected Sales Forecast (2)" sheetId="6" state="visible" r:id="rId6"/>
    <sheet name="6. Cash Receipts-Disbursements" sheetId="7" state="visible" r:id="rId7"/>
    <sheet name="7. Beginning Balance Sheet" sheetId="8" state="visible" r:id="rId8"/>
    <sheet name="8. Income Statement" sheetId="9" state="visible" r:id="rId9"/>
    <sheet name="9. Cash Flow Statement" sheetId="10" state="visible" r:id="rId10"/>
    <sheet name="10. Balance Sheet" sheetId="11" state="visible" r:id="rId11"/>
    <sheet name="11. Year End Summary" sheetId="12" state="visible" r:id="rId12"/>
    <sheet name="12. Income Statement (2)" sheetId="13" state="visible" r:id="rId13"/>
    <sheet name="13. Cash Flow Statement (2)" sheetId="14" state="visible" r:id="rId14"/>
    <sheet name="14. Balance Sheet (2)" sheetId="15" state="visible" r:id="rId15"/>
    <sheet name="15. Income Statement (3)" sheetId="16" state="visible" r:id="rId16"/>
    <sheet name="16. Cash Flow Statement (3)" sheetId="17" state="visible" r:id="rId17"/>
    <sheet name="17. Balance Sheet (3)" sheetId="18" state="visible" r:id="rId18"/>
    <sheet name="18. Financial Ratios" sheetId="19" state="visible" r:id="rId19"/>
    <sheet name="19. Breakeven Analysis" sheetId="20" state="visible" r:id="rId20"/>
    <sheet name="20. Amoritization Schedule" sheetId="21" state="visible" r:id="rId21"/>
    <sheet name="21. Financial Diagnostics" sheetId="22" state="visible" r:id="rId22"/>
  </sheets>
  <definedNames>
    <definedName name="_xlnm.Print_Area" localSheetId="0">'Introduction'!$A$1:$P$31</definedName>
    <definedName name="_xlnm.Print_Titles" localSheetId="7">'7. Beginning Balance Sheet'!$1:$6</definedName>
    <definedName name="_xlnm.Print_Titles" localSheetId="8">'8. Income Statement'!$1:$6</definedName>
    <definedName name="_xlnm.Print_Area" localSheetId="8">'8. Income Statement'!$A$1:$Q$66</definedName>
    <definedName name="_xlnm.Print_Titles" localSheetId="9">'9. Cash Flow Statement'!$1:$6</definedName>
    <definedName name="_xlnm.Print_Titles" localSheetId="10">'10. Balance Sheet'!$1:$6</definedName>
    <definedName name="_xlnm.Print_Titles" localSheetId="11">'11. Year End Summary'!$1:$6</definedName>
    <definedName name="_xlnm.Print_Titles" localSheetId="12">'12. Income Statement (2)'!$1:$6</definedName>
    <definedName name="_xlnm.Print_Area" localSheetId="12">'12. Income Statement (2)'!$A$1:$Q$66</definedName>
    <definedName name="_xlnm.Print_Titles" localSheetId="13">'13. Cash Flow Statement (2)'!$1:$6</definedName>
    <definedName name="_xlnm.Print_Titles" localSheetId="14">'14. Balance Sheet (2)'!$1:$6</definedName>
    <definedName name="_xlnm.Print_Titles" localSheetId="15">'15. Income Statement (3)'!$1:$6</definedName>
    <definedName name="_xlnm.Print_Area" localSheetId="15">'15. Income Statement (3)'!$A$1:$Q$66</definedName>
    <definedName name="_xlnm.Print_Titles" localSheetId="16">'16. Cash Flow Statement (3)'!$1:$6</definedName>
    <definedName name="_xlnm.Print_Titles" localSheetId="17">'17. Balance Sheet (3)'!$1:$6</definedName>
  </definedNames>
  <calcPr calcId="124519" fullCalcOnLoad="1" refMode="A1" iterate="0" iterateCount="100" iterateDelta="0.001"/>
</workbook>
</file>

<file path=xl/styles.xml><?xml version="1.0" encoding="utf-8"?>
<styleSheet xmlns="http://schemas.openxmlformats.org/spreadsheetml/2006/main">
  <numFmts count="8">
    <numFmt numFmtId="164" formatCode="_(* #,##0.00_);_(* \(#,##0.00\);_(* \-??_);_(@_)"/>
    <numFmt numFmtId="165" formatCode="[$-409]d\-mmm\-yy"/>
    <numFmt numFmtId="166" formatCode="_(\$* #,##0_);_(\$* \(#,##0\);_(\$* \-??_);_(@_)"/>
    <numFmt numFmtId="167" formatCode="_(* #,##0_);_(* \(#,##0\);_(* \-??_);_(@_)"/>
    <numFmt numFmtId="168" formatCode="\$#,##0.00_);[RED]&quot;($&quot;#,##0.00\)"/>
    <numFmt numFmtId="169" formatCode="_(\$* #,##0.00_);_(\$* \(#,##0.00\);_(\$* \-??_);_(@_)"/>
    <numFmt numFmtId="170" formatCode="[$-409]m/d/yyyy"/>
    <numFmt numFmtId="171" formatCode="_(* #,##0.00000000000000000000000000000000_);_(* \(#,##0.00000000000000000000000000000000\);_(* \-??_);_(@_)"/>
  </numFmts>
  <fonts count="15">
    <font>
      <name val="Arial"/>
      <family val="0"/>
      <sz val="9"/>
    </font>
    <font>
      <name val="Arial"/>
      <family val="0"/>
      <sz val="10"/>
    </font>
    <font>
      <name val="Arial"/>
      <family val="0"/>
      <sz val="10"/>
    </font>
    <font>
      <name val="Arial"/>
      <family val="0"/>
      <sz val="10"/>
    </font>
    <font>
      <name val="Arial"/>
      <family val="2"/>
      <b val="1"/>
      <sz val="14"/>
    </font>
    <font>
      <name val="Arial"/>
      <family val="2"/>
      <color rgb="FF000000"/>
      <sz val="9"/>
    </font>
    <font>
      <name val="Arial"/>
      <family val="2"/>
      <i val="1"/>
      <sz val="9"/>
    </font>
    <font>
      <name val="Arial"/>
      <family val="2"/>
      <b val="1"/>
      <sz val="9"/>
    </font>
    <font>
      <name val="Wingdings 3"/>
      <charset val="2"/>
      <family val="1"/>
      <sz val="9"/>
    </font>
    <font>
      <name val="Arial"/>
      <family val="2"/>
      <b val="1"/>
      <sz val="12"/>
    </font>
    <font>
      <name val="Arial"/>
      <family val="2"/>
      <sz val="9"/>
    </font>
    <font>
      <name val="Arial"/>
      <family val="2"/>
      <sz val="8"/>
    </font>
    <font>
      <name val="Arial"/>
      <family val="2"/>
      <b val="1"/>
      <sz val="8"/>
    </font>
    <font>
      <name val="Arial"/>
      <family val="2"/>
      <color rgb="FFFFFFFF"/>
      <sz val="9"/>
    </font>
    <font>
      <name val="Tahoma"/>
      <family val="2"/>
      <b val="1"/>
      <color rgb="FF000000"/>
      <sz val="8"/>
    </font>
  </fonts>
  <fills count="4">
    <fill>
      <patternFill/>
    </fill>
    <fill>
      <patternFill patternType="gray125"/>
    </fill>
    <fill>
      <patternFill patternType="solid">
        <fgColor rgb="FFFFFF99"/>
        <bgColor rgb="FFFFFFCC"/>
      </patternFill>
    </fill>
    <fill>
      <patternFill patternType="solid">
        <fgColor rgb="FFCCFFCC"/>
        <bgColor rgb="FFCCFFFF"/>
      </patternFill>
    </fill>
  </fills>
  <borders count="11">
    <border>
      <left/>
      <right/>
      <top/>
      <bottom/>
      <diagonal/>
    </border>
    <border>
      <left style="thin"/>
      <right style="thin"/>
      <top style="thin"/>
      <bottom style="thin"/>
      <diagonal/>
    </border>
    <border>
      <left style="thin"/>
      <right/>
      <top style="thin"/>
      <bottom style="thin"/>
      <diagonal/>
    </border>
    <border>
      <left/>
      <right style="thin"/>
      <top style="thin"/>
      <bottom style="thin"/>
      <diagonal/>
    </border>
    <border>
      <left/>
      <right/>
      <top/>
      <bottom style="medium"/>
      <diagonal/>
    </border>
    <border>
      <left/>
      <right/>
      <top style="medium"/>
      <bottom style="double"/>
      <diagonal/>
    </border>
    <border>
      <left/>
      <right/>
      <top style="medium"/>
      <bottom style="medium"/>
      <diagonal/>
    </border>
    <border>
      <left/>
      <right/>
      <top/>
      <bottom style="thick"/>
      <diagonal/>
    </border>
    <border>
      <left/>
      <right/>
      <top/>
      <bottom style="thin"/>
      <diagonal/>
    </border>
    <border>
      <left/>
      <right/>
      <top style="thin"/>
      <bottom style="double"/>
      <diagonal/>
    </border>
    <border>
      <left/>
      <right/>
      <top/>
      <bottom style="double"/>
      <diagonal/>
    </border>
  </borders>
  <cellStyleXfs count="6">
    <xf numFmtId="0" fontId="0" fillId="0" borderId="0" applyAlignment="1">
      <alignment horizontal="general" vertical="bottom"/>
    </xf>
    <xf numFmtId="164" fontId="0" fillId="0" borderId="0"/>
    <xf numFmtId="41" fontId="3" fillId="0" borderId="0"/>
    <xf numFmtId="169" fontId="0" fillId="0" borderId="0"/>
    <xf numFmtId="42" fontId="3" fillId="0" borderId="0"/>
    <xf numFmtId="9" fontId="0" fillId="0" borderId="0"/>
  </cellStyleXfs>
  <cellXfs count="23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15">
      <alignment horizontal="general" vertical="bottom"/>
      <protection locked="0" hidden="0"/>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center" vertical="bottom"/>
    </xf>
    <xf numFmtId="0" fontId="10"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0" fontId="7" fillId="0" borderId="0"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0" borderId="0" applyAlignment="1" pivotButton="0" quotePrefix="0" xfId="0">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0" borderId="0" applyAlignment="1" pivotButton="0" quotePrefix="0" xfId="0">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166" fontId="10" fillId="0" borderId="4"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0" borderId="0" applyAlignment="1" pivotButton="0" quotePrefix="0" xfId="0">
      <alignment horizontal="general" vertical="bottom"/>
    </xf>
    <xf numFmtId="0" fontId="7" fillId="0" borderId="0" applyAlignment="1" pivotButton="0" quotePrefix="0" xfId="0">
      <alignment horizontal="right" vertical="bottom"/>
    </xf>
    <xf numFmtId="0" fontId="7" fillId="0" borderId="0" applyAlignment="1" pivotButton="0" quotePrefix="0" xfId="0">
      <alignment horizontal="center"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169" fontId="10" fillId="0" borderId="0" applyAlignment="1" pivotButton="0" quotePrefix="0" xfId="17">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0" fontId="7" fillId="0" borderId="7"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0" fontId="7" fillId="0" borderId="0" applyAlignment="1" pivotButton="0" quotePrefix="0" xfId="0">
      <alignment horizontal="center" vertical="bottom"/>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0" fontId="11" fillId="0" borderId="0" applyAlignment="1" pivotButton="0" quotePrefix="0" xfId="0">
      <alignment horizontal="general" vertical="bottom"/>
    </xf>
    <xf numFmtId="167" fontId="10" fillId="0" borderId="0" applyAlignment="1" pivotButton="0" quotePrefix="0" xfId="0">
      <alignment horizontal="general" vertical="bottom"/>
    </xf>
    <xf numFmtId="167" fontId="11" fillId="0" borderId="0" applyAlignment="1" pivotButton="0" quotePrefix="0" xfId="0">
      <alignment horizontal="general"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10" fillId="0" borderId="0" applyAlignment="1" pivotButton="0" quotePrefix="0" xfId="15">
      <alignment horizontal="general" vertical="bottom"/>
    </xf>
    <xf numFmtId="0" fontId="11" fillId="0" borderId="0" applyAlignment="1" pivotButton="0" quotePrefix="0" xfId="0">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0">
      <alignment horizontal="general" vertical="bottom"/>
    </xf>
    <xf numFmtId="167" fontId="0" fillId="0" borderId="0" applyAlignment="1" pivotButton="0" quotePrefix="0" xfId="0">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10" fillId="0" borderId="0" applyAlignment="1" pivotButton="0" quotePrefix="0" xfId="0">
      <alignment horizontal="center"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 </author>
  </authors>
  <commentList>
    <comment ref="G8" authorId="0" shapeId="0">
      <text>
        <t>An indication of a company's ability to meet short-term debt obligations.</t>
      </text>
    </comment>
    <comment ref="G9" authorId="0" shapeId="0">
      <text>
        <t>The ratio between all assets quickly convertible into cash and current liabilities. Measures a company's liquidity. Also called acid-test ratio.</t>
      </text>
    </comment>
    <comment ref="G11" authorId="0" shapeId="0">
      <text>
        <t>This ratio expresses the relationship between capital contributed by creditors and that contributed by owners.</t>
      </text>
    </comment>
    <comment ref="G12" authorId="0" shapeId="0">
      <text>
        <t>This ratio indicates how well your cash flow covers debt and the capability of the business to take on additional debt.</t>
      </text>
    </comment>
    <comment ref="G14" authorId="0" shapeId="0">
      <text>
        <t>This ratio calculates the percentage of increase (or decrease) in sales between the current year and the previous year.</t>
      </text>
    </comment>
    <comment ref="G15" authorId="0" shapeId="0">
      <text>
        <t>The percentage of sales used to pay for the COGS (expenses which directly vary with sales) is expressed in this ratio.</t>
      </text>
    </comment>
    <comment ref="G16" authorId="0" shapeId="0">
      <text>
        <t>This ratio indicates how much profit is earned on your products without consideration of indirect costs, selling and administration costs.</t>
      </text>
    </comment>
    <comment ref="G17" authorId="0" shapeId="0">
      <text>
        <t>This ratio measures the percentage of selling, general and administrative costs to your amount of sales.</t>
      </text>
    </comment>
    <comment ref="G18" authorId="0" shapeId="0">
      <text>
        <t>Net profit margin shows how much profit comes from every dollar of sales.</t>
      </text>
    </comment>
    <comment ref="G19" authorId="0" shapeId="0">
      <text>
        <t>Return on equity determines the rate of return on your investment in the business.  As an owner or shareholder this is one of the most important ratios as it shows the hard fact about the business - are you making enough of a profit to compensate you for the risk of being in business?</t>
      </text>
    </comment>
    <comment ref="G20" authorId="0" shapeId="0">
      <text>
        <t>This ratio measures how effectively assets are used to generate a return.</t>
      </text>
    </comment>
    <comment ref="G21" authorId="0" shapeId="0">
      <text>
        <t>This ratio measures the owner's compensation as a percentage of sales.</t>
      </text>
    </comment>
    <comment ref="G23" authorId="0" shapeId="0">
      <text>
        <t>Days in receivable calculates the average number of days it takes to collect your account receivable (number of days of sales in receivables).</t>
      </text>
    </comment>
    <comment ref="G24" authorId="0" shapeId="0">
      <text>
        <t>This ratio tells you the number of times accounts receivable turnover during the year.</t>
      </text>
    </comment>
    <comment ref="G25" authorId="0" shapeId="0">
      <text>
        <t>This ratio shows the average number of days it will take to sell your inventory.</t>
      </text>
    </comment>
    <comment ref="G26" authorId="0" shapeId="0">
      <text>
        <t>This ratio calculates the number of times inventory is turned over (or sold) during the year.</t>
      </text>
    </comment>
    <comment ref="G27" authorId="0" shapeId="0">
      <text>
        <t>This ratio indicates how efficiently your business generates sales on every dollar of assets.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C32"/>
  <sheetViews>
    <sheetView showFormulas="0" showGridLines="0" showRowColHeaders="0" showZeros="1" rightToLeft="0" tabSelected="1" showOutlineSymbols="1" defaultGridColor="1" view="normal" topLeftCell="A1" colorId="64" zoomScale="100" zoomScaleNormal="100" zoomScalePageLayoutView="100" workbookViewId="0">
      <selection pane="topLeft" activeCell="B19" activeCellId="0" sqref="B19"/>
    </sheetView>
  </sheetViews>
  <sheetFormatPr baseColWidth="8" defaultColWidth="9.15234375" defaultRowHeight="12" zeroHeight="0" outlineLevelRow="0"/>
  <cols>
    <col width="7.72" customWidth="1" style="130" min="1" max="1"/>
    <col width="33.77" customWidth="1" style="130" min="2" max="2"/>
    <col width="15.16" customWidth="1" style="130" min="3" max="3"/>
  </cols>
  <sheetData>
    <row r="1" ht="18" customHeight="1" s="131">
      <c r="B1" s="132" t="inlineStr">
        <is>
          <t>Financial Projection Model</t>
        </is>
      </c>
    </row>
    <row r="3" ht="12" customHeight="1" s="131">
      <c r="B3" s="130" t="inlineStr">
        <is>
          <t>This spreadsheet walks you through the process of developing an integrated set of financial projections.</t>
        </is>
      </c>
    </row>
    <row r="5" ht="12" customHeight="1" s="131">
      <c r="B5" s="130" t="inlineStr">
        <is>
          <t>To use this model, simply complete any information asked for found in the color yellow.</t>
        </is>
      </c>
    </row>
    <row r="6" ht="12" customHeight="1" s="131">
      <c r="B6" s="133" t="inlineStr">
        <is>
          <t>Example:  Fill in boxes that look like this</t>
        </is>
      </c>
      <c r="C6" s="134" t="n">
        <v>0</v>
      </c>
    </row>
    <row r="8" ht="12" customHeight="1" s="131">
      <c r="B8" s="135" t="inlineStr">
        <is>
          <t>A number found in the color green is optional information that you can complete.</t>
        </is>
      </c>
    </row>
    <row r="9" ht="12" customHeight="1" s="131">
      <c r="B9" s="133" t="inlineStr">
        <is>
          <t>Example:  Check these assumptions</t>
        </is>
      </c>
      <c r="C9" s="136" t="n">
        <v>0</v>
      </c>
    </row>
    <row r="11" ht="12" customHeight="1" s="131">
      <c r="B11" s="130" t="inlineStr">
        <is>
          <t>Otherwise, any information found in black type is automatically calculated for you.</t>
        </is>
      </c>
    </row>
    <row r="12" ht="12" customHeight="1" s="131">
      <c r="B12" s="130" t="inlineStr">
        <is>
          <t>Although the cells that are calculated are locked (or protected), you can turn off this protection to modify the sheets.</t>
        </is>
      </c>
    </row>
    <row r="13" ht="12" customHeight="1" s="131">
      <c r="B13" s="130" t="inlineStr">
        <is>
          <t>To do this, select "Tools" from the menu bar at the top of the screen.  Then select, "Protection."</t>
        </is>
      </c>
    </row>
    <row r="14" ht="12" customHeight="1" s="131">
      <c r="B14" s="130" t="inlineStr">
        <is>
          <t>Finally, select "Unprotect Sheet" and you will be able to edit any labels or formulas.</t>
        </is>
      </c>
    </row>
    <row r="16" ht="12" customHeight="1" s="131">
      <c r="B16" s="130" t="inlineStr">
        <is>
          <t>Before you begin, we need some information about your business to best customize your financial statements.</t>
        </is>
      </c>
    </row>
    <row r="17" ht="12" customHeight="1" s="131">
      <c r="B17" s="137" t="inlineStr">
        <is>
          <t>Please enter the name of your business in the box below:</t>
        </is>
      </c>
    </row>
    <row r="18" ht="6" customHeight="1" s="131"/>
    <row r="19" ht="18" customHeight="1" s="131">
      <c r="B19" s="138" t="inlineStr">
        <is>
          <t>Enter Your Business Name Here</t>
        </is>
      </c>
      <c r="C19" s="139" t="n"/>
    </row>
    <row r="22" ht="12" customHeight="1" s="131">
      <c r="B22" s="130" t="inlineStr">
        <is>
          <t>The first six worksheets in this workbook are steps you will need to complete.  They are titled:</t>
        </is>
      </c>
    </row>
    <row r="23" ht="12" customHeight="1" s="131">
      <c r="B23" s="130" t="inlineStr">
        <is>
          <t>1.  Required Start-Up Funds</t>
        </is>
      </c>
    </row>
    <row r="24" ht="12" customHeight="1" s="131">
      <c r="B24" s="130" t="inlineStr">
        <is>
          <t>2.  Salaries and Wages</t>
        </is>
      </c>
    </row>
    <row r="25" ht="12" customHeight="1" s="131">
      <c r="B25" s="130" t="inlineStr">
        <is>
          <t>3.  Fixed Operating Expenses</t>
        </is>
      </c>
    </row>
    <row r="26" ht="12" customHeight="1" s="131">
      <c r="B26" s="130" t="inlineStr">
        <is>
          <t>4.  Projected Sales Forecast (2 sheets)</t>
        </is>
      </c>
    </row>
    <row r="27" ht="12" customHeight="1" s="131">
      <c r="B27" s="130" t="inlineStr">
        <is>
          <t>5.  Cash Receipts and Disbursements</t>
        </is>
      </c>
    </row>
    <row r="28" ht="12" customHeight="1" s="131">
      <c r="B28" s="130" t="inlineStr">
        <is>
          <t>The sixth step titled, "Beginning Balance Sheet" is for existing businesses only.</t>
        </is>
      </c>
    </row>
    <row r="31" ht="12" customHeight="1" s="131">
      <c r="B31" s="140" t="inlineStr">
        <is>
          <t>Begin by clicking on the tabs below</t>
        </is>
      </c>
    </row>
    <row r="32" ht="12" customHeight="1" s="131">
      <c r="B32" s="141" t="inlineStr">
        <is>
          <t>q</t>
        </is>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tabColor rgb="FFFFFF99"/>
    <outlinePr summaryBelow="1" summaryRight="1"/>
    <pageSetUpPr fitToPage="0"/>
  </sheetPr>
  <dimension ref="A1:O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8" activeCellId="0" sqref="E8"/>
    </sheetView>
  </sheetViews>
  <sheetFormatPr baseColWidth="8" defaultColWidth="9.15234375" defaultRowHeight="12" zeroHeight="0" outlineLevelRow="0"/>
  <cols>
    <col width="2.99" customWidth="1" style="130" min="1" max="1"/>
    <col width="2.99" customWidth="1" style="137" min="2" max="3"/>
    <col width="25.76" customWidth="1" style="130" min="4" max="4"/>
    <col width="16.74" customWidth="1" style="130" min="5" max="5"/>
    <col width="2.99" customWidth="1" style="130" min="6" max="6"/>
    <col width="20.74" customWidth="1" style="130" min="7" max="7"/>
    <col width="16.74" customWidth="1" style="130" min="8" max="9"/>
    <col width="18.89" customWidth="1" style="130" min="10" max="10"/>
    <col width="16.74" customWidth="1" style="130" min="11" max="11"/>
    <col width="14.73" customWidth="1" style="130" min="12" max="14"/>
  </cols>
  <sheetData>
    <row r="1" ht="15.75" customHeight="1" s="131">
      <c r="A1" s="142">
        <f>Introduction!B19</f>
        <v/>
      </c>
      <c r="B1" s="142" t="n"/>
      <c r="C1" s="142" t="n"/>
      <c r="D1" s="142" t="n"/>
      <c r="E1" s="142" t="n"/>
      <c r="F1" s="142" t="n"/>
      <c r="G1" s="142" t="n"/>
      <c r="H1" s="142" t="n"/>
      <c r="I1" s="142" t="n"/>
      <c r="J1" s="142" t="n"/>
      <c r="K1" s="142" t="n"/>
      <c r="L1" s="142" t="n"/>
      <c r="M1" s="143">
        <f>NOW()</f>
        <v/>
      </c>
      <c r="N1" s="142" t="n"/>
      <c r="O1" s="142" t="n"/>
    </row>
    <row r="2" ht="15.75" customHeight="1" s="131">
      <c r="A2" s="144" t="inlineStr">
        <is>
          <t>Required Start-Up Funds</t>
        </is>
      </c>
      <c r="B2" s="144" t="n"/>
      <c r="C2" s="144" t="n"/>
      <c r="D2" s="144" t="n"/>
      <c r="E2" s="144" t="n"/>
      <c r="F2" s="144" t="n"/>
      <c r="G2" s="144" t="n"/>
      <c r="H2" s="144" t="n"/>
      <c r="I2" s="144" t="n"/>
      <c r="J2" s="144" t="n"/>
      <c r="K2" s="144" t="n"/>
      <c r="L2" s="144" t="n"/>
      <c r="M2" s="144" t="n"/>
      <c r="N2" s="142" t="n"/>
      <c r="O2" s="142" t="n"/>
    </row>
    <row r="3" ht="12.75" customHeight="1" s="131">
      <c r="A3" s="130" t="n"/>
      <c r="D3" s="145" t="n"/>
      <c r="E3" s="145" t="n"/>
      <c r="F3" s="145" t="n"/>
      <c r="G3" s="145" t="n"/>
      <c r="H3" s="145" t="n"/>
      <c r="I3" s="145" t="n"/>
      <c r="J3" s="145" t="n"/>
      <c r="K3" s="145" t="n"/>
      <c r="L3" s="145" t="n"/>
      <c r="M3" s="145" t="n"/>
    </row>
    <row r="4" ht="12.75" customHeight="1" s="131">
      <c r="A4" s="145" t="n"/>
      <c r="D4" s="145" t="n"/>
      <c r="E4" s="145" t="n"/>
      <c r="F4" s="145" t="n"/>
      <c r="G4" s="145" t="n"/>
      <c r="H4" s="145" t="n"/>
      <c r="I4" s="145" t="n"/>
      <c r="J4" s="145" t="n"/>
      <c r="K4" s="145" t="n"/>
      <c r="L4" s="145" t="n"/>
      <c r="M4" s="145" t="n"/>
    </row>
    <row r="5" ht="12.75" customHeight="1" s="131">
      <c r="A5" s="145" t="n"/>
      <c r="D5" s="145" t="n"/>
      <c r="E5" s="145" t="n"/>
      <c r="F5" s="145" t="n"/>
      <c r="G5" s="145" t="n"/>
      <c r="H5" s="145" t="n"/>
      <c r="I5" s="145" t="n"/>
      <c r="J5" s="145" t="n"/>
      <c r="K5" s="145" t="n"/>
      <c r="L5" s="145" t="n"/>
      <c r="M5" s="145" t="n"/>
    </row>
    <row r="6" ht="12.75" customFormat="1" customHeight="1" s="137">
      <c r="A6" s="137" t="inlineStr">
        <is>
          <t>Required Start-Up Funds</t>
        </is>
      </c>
      <c r="E6" s="140" t="inlineStr">
        <is>
          <t>Amount</t>
        </is>
      </c>
      <c r="F6" s="140" t="n"/>
      <c r="G6" s="140" t="inlineStr">
        <is>
          <t>Totals</t>
        </is>
      </c>
      <c r="H6" s="140" t="inlineStr">
        <is>
          <t>Depreciation</t>
        </is>
      </c>
      <c r="I6" s="140" t="n"/>
      <c r="J6" s="137" t="inlineStr">
        <is>
          <t>Notes</t>
        </is>
      </c>
    </row>
    <row r="7" ht="12.75" customHeight="1" s="131">
      <c r="A7" s="145" t="n"/>
      <c r="B7" s="137" t="inlineStr">
        <is>
          <t>Fixed Assets</t>
        </is>
      </c>
      <c r="D7" s="145" t="n"/>
      <c r="E7" s="145" t="n"/>
      <c r="F7" s="145" t="n"/>
      <c r="G7" s="145" t="n"/>
      <c r="H7" s="145" t="n"/>
      <c r="I7" s="145" t="n"/>
      <c r="J7" s="146" t="n"/>
      <c r="K7" s="146" t="n"/>
      <c r="L7" s="145" t="n"/>
      <c r="M7" s="145" t="n"/>
    </row>
    <row r="8" ht="12.75" customHeight="1" s="131">
      <c r="A8" s="145" t="n"/>
      <c r="C8" s="147" t="inlineStr">
        <is>
          <t>Real Estate</t>
        </is>
      </c>
      <c r="D8" s="145" t="n"/>
      <c r="E8" s="148" t="n">
        <v>0</v>
      </c>
      <c r="F8" s="149" t="n"/>
      <c r="G8" s="150" t="n"/>
      <c r="H8" s="145" t="n"/>
      <c r="I8" s="145" t="n"/>
      <c r="J8" s="146" t="n"/>
      <c r="K8" s="146" t="n"/>
      <c r="L8" s="145" t="n"/>
      <c r="M8" s="145" t="n"/>
    </row>
    <row r="9" ht="12.75" customHeight="1" s="131">
      <c r="A9" s="145" t="n"/>
      <c r="C9" s="147" t="inlineStr">
        <is>
          <t>Buildings</t>
        </is>
      </c>
      <c r="D9" s="145" t="n"/>
      <c r="E9" s="151" t="n">
        <v>0</v>
      </c>
      <c r="F9" s="152" t="n"/>
      <c r="G9" s="150" t="n"/>
      <c r="H9" s="153" t="n">
        <v>20</v>
      </c>
      <c r="I9" s="145" t="inlineStr">
        <is>
          <t xml:space="preserve"> years</t>
        </is>
      </c>
      <c r="J9" s="154" t="n"/>
      <c r="K9" s="146" t="n"/>
      <c r="L9" s="145" t="n"/>
      <c r="M9" s="145" t="n"/>
    </row>
    <row r="10" ht="12.75" customHeight="1" s="131">
      <c r="A10" s="145" t="n"/>
      <c r="C10" s="147" t="inlineStr">
        <is>
          <t>Leasehold Improvements</t>
        </is>
      </c>
      <c r="D10" s="145" t="n"/>
      <c r="E10" s="151" t="n">
        <v>0</v>
      </c>
      <c r="F10" s="152" t="n"/>
      <c r="G10" s="150" t="n"/>
      <c r="H10" s="153" t="n">
        <v>7</v>
      </c>
      <c r="I10" s="145" t="inlineStr">
        <is>
          <t xml:space="preserve"> years</t>
        </is>
      </c>
      <c r="J10" s="154" t="n"/>
      <c r="K10" s="146" t="n"/>
      <c r="L10" s="145" t="n"/>
      <c r="M10" s="145" t="n"/>
    </row>
    <row r="11" ht="12.75" customHeight="1" s="131">
      <c r="A11" s="145" t="n"/>
      <c r="C11" s="147" t="inlineStr">
        <is>
          <t>Equipment</t>
        </is>
      </c>
      <c r="D11" s="145" t="n"/>
      <c r="E11" s="151" t="n">
        <v>0</v>
      </c>
      <c r="F11" s="152" t="n"/>
      <c r="G11" s="150" t="n"/>
      <c r="H11" s="153" t="n">
        <v>7</v>
      </c>
      <c r="I11" s="145" t="inlineStr">
        <is>
          <t xml:space="preserve"> years</t>
        </is>
      </c>
      <c r="J11" s="154" t="n"/>
      <c r="K11" s="146" t="n"/>
      <c r="L11" s="145" t="n"/>
      <c r="M11" s="145" t="n"/>
    </row>
    <row r="12" ht="12.75" customHeight="1" s="131">
      <c r="A12" s="145" t="n"/>
      <c r="C12" s="147" t="inlineStr">
        <is>
          <t>Furniture and Fixtures</t>
        </is>
      </c>
      <c r="D12" s="145" t="n"/>
      <c r="E12" s="151" t="n">
        <v>0</v>
      </c>
      <c r="F12" s="152" t="n"/>
      <c r="G12" s="150" t="n"/>
      <c r="H12" s="153" t="n">
        <v>5</v>
      </c>
      <c r="I12" s="145" t="inlineStr">
        <is>
          <t xml:space="preserve"> years</t>
        </is>
      </c>
      <c r="J12" s="154" t="n"/>
      <c r="K12" s="146" t="n"/>
      <c r="L12" s="145" t="n"/>
      <c r="M12" s="145" t="n"/>
    </row>
    <row r="13" ht="12.75" customHeight="1" s="131">
      <c r="A13" s="145" t="n"/>
      <c r="C13" s="147" t="inlineStr">
        <is>
          <t>Vehicles</t>
        </is>
      </c>
      <c r="D13" s="145" t="n"/>
      <c r="E13" s="151" t="n">
        <v>0</v>
      </c>
      <c r="F13" s="152" t="n"/>
      <c r="G13" s="150" t="n"/>
      <c r="H13" s="153" t="n">
        <v>5</v>
      </c>
      <c r="I13" s="145" t="inlineStr">
        <is>
          <t xml:space="preserve"> years</t>
        </is>
      </c>
      <c r="J13" s="154" t="n"/>
      <c r="K13" s="146" t="n"/>
      <c r="L13" s="145" t="n"/>
      <c r="M13" s="145" t="n"/>
    </row>
    <row r="14" ht="12.75" customHeight="1" s="131">
      <c r="A14" s="145" t="n"/>
      <c r="C14" s="147" t="inlineStr">
        <is>
          <t>Other Fixed Assets</t>
        </is>
      </c>
      <c r="D14" s="145" t="n"/>
      <c r="E14" s="151" t="n">
        <v>0</v>
      </c>
      <c r="F14" s="152" t="n"/>
      <c r="G14" s="155" t="n"/>
      <c r="H14" s="153" t="n">
        <v>5</v>
      </c>
      <c r="I14" s="145" t="inlineStr">
        <is>
          <t xml:space="preserve"> years</t>
        </is>
      </c>
      <c r="J14" s="154" t="n"/>
      <c r="K14" s="146" t="n"/>
      <c r="L14" s="145" t="n"/>
      <c r="M14" s="145" t="n"/>
    </row>
    <row r="15" ht="12.75" customHeight="1" s="131">
      <c r="A15" s="145" t="n"/>
      <c r="B15" s="137" t="inlineStr">
        <is>
          <t>Total Fixed Assets</t>
        </is>
      </c>
      <c r="D15" s="145" t="n"/>
      <c r="E15" s="156" t="n"/>
      <c r="F15" s="150" t="n"/>
      <c r="G15" s="156">
        <f>SUM(E8:E14)</f>
        <v/>
      </c>
      <c r="H15" s="145" t="n"/>
      <c r="I15" s="145" t="n"/>
      <c r="J15" s="154" t="n"/>
      <c r="K15" s="146" t="n"/>
      <c r="L15" s="145" t="n"/>
      <c r="M15" s="145" t="n"/>
    </row>
    <row r="16" ht="12.75" customHeight="1" s="131">
      <c r="A16" s="145" t="n"/>
      <c r="D16" s="145" t="n"/>
      <c r="E16" s="156" t="n"/>
      <c r="F16" s="150" t="n"/>
      <c r="G16" s="150" t="n"/>
      <c r="H16" s="145" t="n"/>
      <c r="I16" s="145" t="n"/>
      <c r="J16" s="157" t="n"/>
      <c r="K16" s="146" t="n"/>
      <c r="L16" s="145" t="n"/>
      <c r="M16" s="145" t="n"/>
    </row>
    <row r="17" ht="12.75" customHeight="1" s="131">
      <c r="A17" s="145" t="n"/>
      <c r="B17" s="137" t="inlineStr">
        <is>
          <t>Operating Capital</t>
        </is>
      </c>
      <c r="D17" s="145" t="n"/>
      <c r="E17" s="156" t="n"/>
      <c r="F17" s="150" t="n"/>
      <c r="G17" s="150" t="n"/>
      <c r="H17" s="145" t="n"/>
      <c r="I17" s="145" t="n"/>
      <c r="J17" s="146" t="n"/>
      <c r="K17" s="146" t="n"/>
      <c r="L17" s="145" t="n"/>
      <c r="M17" s="145" t="n"/>
    </row>
    <row r="18" ht="12.75" customHeight="1" s="131">
      <c r="A18" s="145" t="n"/>
      <c r="C18" s="137" t="inlineStr">
        <is>
          <t>Pre-Opening Salaries and Wages</t>
        </is>
      </c>
      <c r="D18" s="145" t="n"/>
      <c r="E18" s="151" t="n">
        <v>0</v>
      </c>
      <c r="F18" s="149" t="n"/>
      <c r="G18" s="150" t="n"/>
      <c r="H18" s="145" t="n"/>
      <c r="I18" s="145" t="n"/>
      <c r="J18" s="146" t="n"/>
      <c r="K18" s="146" t="n"/>
      <c r="L18" s="145" t="n"/>
      <c r="M18" s="145" t="n"/>
    </row>
    <row r="19" ht="12.75" customHeight="1" s="131">
      <c r="A19" s="145" t="n"/>
      <c r="C19" s="137" t="inlineStr">
        <is>
          <t>Prepaid Insurance Premiums</t>
        </is>
      </c>
      <c r="D19" s="145" t="n"/>
      <c r="E19" s="151" t="n">
        <v>0</v>
      </c>
      <c r="F19" s="152" t="n"/>
      <c r="G19" s="150" t="n"/>
      <c r="H19" s="145" t="n"/>
      <c r="I19" s="145" t="n"/>
      <c r="J19" s="146" t="n"/>
      <c r="K19" s="146" t="n"/>
      <c r="L19" s="145" t="n"/>
      <c r="M19" s="145" t="n"/>
    </row>
    <row r="20" ht="12.75" customHeight="1" s="131">
      <c r="A20" s="145" t="n"/>
      <c r="C20" s="137" t="inlineStr">
        <is>
          <t>Beginning Inventory</t>
        </is>
      </c>
      <c r="D20" s="145" t="n"/>
      <c r="E20" s="151" t="n">
        <v>0</v>
      </c>
      <c r="F20" s="152" t="n"/>
      <c r="G20" s="150" t="n"/>
      <c r="H20" s="145" t="n"/>
      <c r="I20" s="145" t="n"/>
      <c r="J20" s="146" t="n"/>
      <c r="K20" s="146" t="n"/>
      <c r="L20" s="145" t="n"/>
      <c r="M20" s="145" t="n"/>
    </row>
    <row r="21" ht="12.75" customHeight="1" s="131">
      <c r="A21" s="145" t="n"/>
      <c r="C21" s="137" t="inlineStr">
        <is>
          <t>Legal and Accounting Fees</t>
        </is>
      </c>
      <c r="D21" s="145" t="n"/>
      <c r="E21" s="151" t="n">
        <v>0</v>
      </c>
      <c r="F21" s="152" t="n"/>
      <c r="G21" s="150" t="n"/>
      <c r="H21" s="145" t="n"/>
      <c r="I21" s="145" t="n"/>
      <c r="J21" s="146" t="n"/>
      <c r="K21" s="146" t="n"/>
      <c r="L21" s="145" t="n"/>
      <c r="M21" s="145" t="n"/>
    </row>
    <row r="22" ht="12.75" customHeight="1" s="131">
      <c r="A22" s="145" t="n"/>
      <c r="C22" s="137" t="inlineStr">
        <is>
          <t>Rent Deposits</t>
        </is>
      </c>
      <c r="D22" s="145" t="n"/>
      <c r="E22" s="151" t="n">
        <v>0</v>
      </c>
      <c r="F22" s="152" t="n"/>
      <c r="G22" s="150" t="n"/>
      <c r="H22" s="145" t="n"/>
      <c r="I22" s="145" t="n"/>
      <c r="J22" s="146" t="n"/>
      <c r="K22" s="146" t="n"/>
      <c r="L22" s="145" t="n"/>
      <c r="M22" s="145" t="n"/>
    </row>
    <row r="23" ht="12.75" customHeight="1" s="131">
      <c r="A23" s="145" t="n"/>
      <c r="C23" s="137" t="inlineStr">
        <is>
          <t>Utility Deposits</t>
        </is>
      </c>
      <c r="D23" s="145" t="n"/>
      <c r="E23" s="151" t="n">
        <v>0</v>
      </c>
      <c r="F23" s="152" t="n"/>
      <c r="G23" s="150" t="n"/>
      <c r="H23" s="145" t="n"/>
      <c r="I23" s="145" t="n"/>
      <c r="J23" s="146" t="n"/>
      <c r="K23" s="146" t="n"/>
      <c r="L23" s="145" t="n"/>
      <c r="M23" s="145" t="n"/>
    </row>
    <row r="24" ht="12.75" customHeight="1" s="131">
      <c r="A24" s="145" t="n"/>
      <c r="C24" s="137" t="inlineStr">
        <is>
          <t>Supplies</t>
        </is>
      </c>
      <c r="D24" s="145" t="n"/>
      <c r="E24" s="151" t="n">
        <v>0</v>
      </c>
      <c r="F24" s="152" t="n"/>
      <c r="G24" s="150" t="n"/>
      <c r="H24" s="145" t="n"/>
      <c r="I24" s="145" t="n"/>
      <c r="J24" s="146" t="n"/>
      <c r="K24" s="146" t="n"/>
      <c r="L24" s="145" t="n"/>
      <c r="M24" s="145" t="n"/>
    </row>
    <row r="25" ht="12.75" customHeight="1" s="131">
      <c r="A25" s="145" t="n"/>
      <c r="C25" s="137" t="inlineStr">
        <is>
          <t>Advertising and Promotions</t>
        </is>
      </c>
      <c r="D25" s="145" t="n"/>
      <c r="E25" s="151" t="n">
        <v>0</v>
      </c>
      <c r="F25" s="152" t="n"/>
      <c r="G25" s="150" t="n"/>
      <c r="H25" s="145" t="n"/>
      <c r="I25" s="145" t="n"/>
      <c r="J25" s="146" t="n"/>
      <c r="K25" s="146" t="n"/>
      <c r="L25" s="145" t="n"/>
      <c r="M25" s="145" t="n"/>
    </row>
    <row r="26" ht="12.75" customHeight="1" s="131">
      <c r="A26" s="145" t="n"/>
      <c r="C26" s="137" t="inlineStr">
        <is>
          <t>Licenses</t>
        </is>
      </c>
      <c r="D26" s="145" t="n"/>
      <c r="E26" s="151" t="n">
        <v>0</v>
      </c>
      <c r="F26" s="152" t="n"/>
      <c r="G26" s="150" t="n"/>
      <c r="H26" s="145" t="n"/>
      <c r="I26" s="145" t="n"/>
      <c r="J26" s="146" t="n"/>
      <c r="K26" s="146" t="n"/>
      <c r="L26" s="145" t="n"/>
      <c r="M26" s="145" t="n"/>
    </row>
    <row r="27" ht="12.75" customHeight="1" s="131">
      <c r="A27" s="145" t="n"/>
      <c r="C27" s="137" t="inlineStr">
        <is>
          <t>Other Initial Start-Up Costs</t>
        </is>
      </c>
      <c r="D27" s="145" t="n"/>
      <c r="E27" s="151" t="n">
        <v>0</v>
      </c>
      <c r="F27" s="152" t="n"/>
      <c r="G27" s="150" t="n"/>
      <c r="H27" s="145" t="n"/>
      <c r="I27" s="145" t="n"/>
      <c r="J27" s="146" t="n"/>
      <c r="K27" s="146" t="n"/>
      <c r="L27" s="145" t="n"/>
      <c r="M27" s="145" t="n"/>
    </row>
    <row r="28" ht="12.75" customHeight="1" s="131">
      <c r="A28" s="145" t="n"/>
      <c r="C28" s="137" t="inlineStr">
        <is>
          <t>Working Capital (Cash On Hand)</t>
        </is>
      </c>
      <c r="D28" s="145" t="n"/>
      <c r="E28" s="151" t="n">
        <v>0</v>
      </c>
      <c r="F28" s="152" t="n"/>
      <c r="G28" s="155" t="n"/>
      <c r="H28" s="145" t="n"/>
      <c r="I28" s="145" t="n"/>
      <c r="J28" s="146" t="n"/>
      <c r="K28" s="146" t="n"/>
      <c r="L28" s="145" t="n"/>
      <c r="M28" s="145" t="n"/>
    </row>
    <row r="29" ht="12.75" customHeight="1" s="131">
      <c r="A29" s="145" t="n"/>
      <c r="B29" s="137" t="inlineStr">
        <is>
          <t>Total Operating Capital</t>
        </is>
      </c>
      <c r="D29" s="145" t="n"/>
      <c r="E29" s="150" t="n"/>
      <c r="F29" s="150" t="n"/>
      <c r="G29" s="156">
        <f>SUM(E18:E28)</f>
        <v/>
      </c>
      <c r="H29" s="145" t="n"/>
      <c r="I29" s="145" t="n"/>
      <c r="J29" s="146" t="n"/>
      <c r="K29" s="146" t="n"/>
      <c r="L29" s="145" t="n"/>
      <c r="M29" s="145" t="n"/>
    </row>
    <row r="30" ht="12.75" customHeight="1" s="131">
      <c r="A30" s="145" t="n"/>
      <c r="D30" s="145" t="n"/>
      <c r="E30" s="150" t="n"/>
      <c r="F30" s="150" t="n"/>
      <c r="G30" s="155" t="n"/>
      <c r="H30" s="145" t="n"/>
      <c r="I30" s="145" t="n"/>
      <c r="J30" s="146" t="n"/>
      <c r="K30" s="146" t="n"/>
      <c r="L30" s="145" t="n"/>
      <c r="M30" s="145" t="n"/>
    </row>
    <row r="31" ht="15.95" customHeight="1" s="131">
      <c r="A31" s="137" t="inlineStr">
        <is>
          <t>Total Required Funds</t>
        </is>
      </c>
      <c r="D31" s="145" t="n"/>
      <c r="E31" s="150" t="n"/>
      <c r="F31" s="150" t="n"/>
      <c r="G31" s="158">
        <f>G15+G29</f>
        <v/>
      </c>
      <c r="H31" s="145" t="n"/>
      <c r="I31" s="145" t="n"/>
      <c r="J31" s="146" t="n"/>
      <c r="K31" s="146" t="n"/>
      <c r="L31" s="145" t="n"/>
      <c r="M31" s="145" t="n"/>
    </row>
    <row r="32" ht="12.75" customHeight="1" s="131">
      <c r="A32" s="145" t="n"/>
      <c r="D32" s="145" t="n"/>
      <c r="E32" s="145" t="n"/>
      <c r="F32" s="145" t="n"/>
      <c r="G32" s="145" t="n"/>
      <c r="H32" s="145" t="n"/>
      <c r="I32" s="145" t="n"/>
      <c r="J32" s="146" t="n"/>
      <c r="K32" s="146" t="n"/>
      <c r="L32" s="145" t="n"/>
      <c r="M32" s="145" t="n"/>
    </row>
    <row r="33" ht="12.75" customHeight="1" s="131">
      <c r="A33" s="145" t="n"/>
      <c r="D33" s="145" t="n"/>
      <c r="E33" s="145" t="n"/>
      <c r="F33" s="145" t="n"/>
      <c r="G33" s="145" t="n"/>
      <c r="H33" s="145" t="n"/>
      <c r="I33" s="145" t="n"/>
      <c r="J33" s="145" t="n"/>
      <c r="K33" s="145" t="n"/>
      <c r="L33" s="145" t="n"/>
      <c r="M33" s="145" t="n"/>
    </row>
    <row r="34" ht="12.75" customHeight="1" s="131">
      <c r="A34" s="145" t="n"/>
      <c r="D34" s="145" t="n"/>
      <c r="E34" s="145" t="n"/>
      <c r="F34" s="145" t="n"/>
      <c r="G34" s="145" t="n"/>
      <c r="H34" s="145" t="n"/>
      <c r="I34" s="145" t="n"/>
      <c r="J34" s="145" t="n"/>
      <c r="K34" s="145" t="n"/>
      <c r="L34" s="145" t="n"/>
      <c r="M34" s="145" t="n"/>
    </row>
    <row r="35" ht="12.75" customHeight="1" s="131">
      <c r="A35" s="145" t="n"/>
      <c r="D35" s="145" t="n"/>
      <c r="E35" s="145" t="n"/>
      <c r="F35" s="145" t="n"/>
      <c r="G35" s="145" t="n"/>
      <c r="H35" s="145" t="n"/>
      <c r="I35" s="145" t="n"/>
      <c r="J35" s="145" t="n"/>
      <c r="K35" s="145" t="n"/>
      <c r="L35" s="145" t="n"/>
      <c r="M35" s="145" t="n"/>
    </row>
    <row r="36" ht="12.75" customHeight="1" s="131">
      <c r="A36" s="137" t="inlineStr">
        <is>
          <t>Sources of Funding</t>
        </is>
      </c>
      <c r="D36" s="137" t="n"/>
      <c r="E36" s="140" t="inlineStr">
        <is>
          <t>Amount</t>
        </is>
      </c>
      <c r="F36" s="140" t="n"/>
      <c r="G36" s="140" t="inlineStr">
        <is>
          <t>Totals</t>
        </is>
      </c>
      <c r="H36" s="140" t="inlineStr">
        <is>
          <t>Loan Rate</t>
        </is>
      </c>
      <c r="I36" s="140" t="inlineStr">
        <is>
          <t>Term in Months</t>
        </is>
      </c>
      <c r="J36" s="140" t="inlineStr">
        <is>
          <t>Monthly Payments</t>
        </is>
      </c>
      <c r="K36" s="145" t="n"/>
      <c r="L36" s="145" t="n"/>
      <c r="M36" s="145" t="n"/>
    </row>
    <row r="37" ht="12.75" customHeight="1" s="131">
      <c r="A37" s="145" t="n"/>
      <c r="B37" s="137" t="inlineStr">
        <is>
          <t>Owner's Cash Injection</t>
        </is>
      </c>
      <c r="D37" s="145" t="n"/>
      <c r="E37" s="159">
        <f>IF(G37=0,0,G37/G42)</f>
        <v/>
      </c>
      <c r="F37" s="145" t="n"/>
      <c r="G37" s="151" t="n">
        <v>0</v>
      </c>
      <c r="H37" s="145" t="n"/>
      <c r="I37" s="140" t="n"/>
      <c r="J37" s="145" t="n"/>
      <c r="K37" s="145" t="n"/>
      <c r="L37" s="145" t="n"/>
      <c r="M37" s="145" t="n"/>
    </row>
    <row r="38" ht="12.75" customHeight="1" s="131">
      <c r="A38" s="145" t="n"/>
      <c r="B38" s="137" t="inlineStr">
        <is>
          <t>Outside Investors</t>
        </is>
      </c>
      <c r="D38" s="145" t="n"/>
      <c r="E38" s="159">
        <f>IF(G38=0,0,G38/G42)</f>
        <v/>
      </c>
      <c r="F38" s="145" t="n"/>
      <c r="G38" s="151" t="n">
        <v>0</v>
      </c>
      <c r="H38" s="145" t="n"/>
      <c r="I38" s="145" t="n"/>
      <c r="J38" s="145" t="n"/>
      <c r="K38" s="145" t="n"/>
      <c r="L38" s="145" t="n"/>
      <c r="M38" s="145" t="n"/>
    </row>
    <row r="39" ht="12.75" customHeight="1" s="131">
      <c r="A39" s="145" t="n"/>
      <c r="B39" s="137" t="inlineStr">
        <is>
          <t>Additional Loans or Debt</t>
        </is>
      </c>
      <c r="D39" s="145" t="n"/>
      <c r="E39" s="159" t="n"/>
      <c r="F39" s="145" t="n"/>
      <c r="G39" s="156" t="n"/>
      <c r="H39" s="145" t="n"/>
      <c r="I39" s="145" t="n"/>
      <c r="J39" s="145" t="n"/>
      <c r="K39" s="145" t="n"/>
      <c r="L39" s="145" t="n"/>
      <c r="M39" s="145" t="n"/>
    </row>
    <row r="40" ht="12.75" customHeight="1" s="131">
      <c r="A40" s="145" t="n"/>
      <c r="C40" s="137" t="inlineStr">
        <is>
          <t>Commercial Loan</t>
        </is>
      </c>
      <c r="D40" s="145" t="n"/>
      <c r="E40" s="159">
        <f>IF(G40=0,0,G40/G42)</f>
        <v/>
      </c>
      <c r="F40" s="145" t="n"/>
      <c r="G40" s="156">
        <f>(G31-E8-E9)-((G37+G38)-(E8+E9-G41))</f>
        <v/>
      </c>
      <c r="H40" s="160" t="n">
        <v>0.09</v>
      </c>
      <c r="I40" s="153">
        <f>7*12</f>
        <v/>
      </c>
      <c r="J40" s="161">
        <f>ABS(PMT(H40/12,I40,G40))</f>
        <v/>
      </c>
      <c r="K40" s="145" t="n"/>
      <c r="L40" s="145" t="n"/>
      <c r="M40" s="145" t="n"/>
    </row>
    <row r="41" ht="12.75" customHeight="1" s="131">
      <c r="A41" s="145" t="n"/>
      <c r="C41" s="137" t="inlineStr">
        <is>
          <t>Commercial Mortgage</t>
        </is>
      </c>
      <c r="D41" s="145" t="n"/>
      <c r="E41" s="159">
        <f>IF(G41=0,0,G41/G42)</f>
        <v/>
      </c>
      <c r="F41" s="145" t="n"/>
      <c r="G41" s="162">
        <f>IF((G31-G37+G38)&lt;(E8+E9)*0.8,G31-G37+G38,(E8+E9)*0.8)</f>
        <v/>
      </c>
      <c r="H41" s="160" t="n">
        <v>0.09</v>
      </c>
      <c r="I41" s="153">
        <f>20*12</f>
        <v/>
      </c>
      <c r="J41" s="163">
        <f>ABS(PMT(H41/12,I41,G41))</f>
        <v/>
      </c>
      <c r="K41" s="145" t="n"/>
      <c r="L41" s="145" t="n"/>
      <c r="M41" s="145" t="n"/>
    </row>
    <row r="42" ht="15.95" customHeight="1" s="131">
      <c r="A42" s="137" t="inlineStr">
        <is>
          <t>Total Sources of Funding</t>
        </is>
      </c>
      <c r="D42" s="145" t="n"/>
      <c r="E42" s="164">
        <f>SUM(E37:E41)</f>
        <v/>
      </c>
      <c r="F42" s="145" t="n"/>
      <c r="G42" s="165">
        <f>SUM(G37:G41)</f>
        <v/>
      </c>
      <c r="H42" s="145" t="n"/>
      <c r="I42" s="145" t="n"/>
      <c r="J42" s="166">
        <f>J40+J41</f>
        <v/>
      </c>
      <c r="K42" s="145" t="n"/>
      <c r="L42" s="145" t="n"/>
      <c r="M42" s="145" t="n"/>
    </row>
    <row r="43" ht="12.75" customFormat="1" customHeight="1" s="167">
      <c r="A43" s="145" t="n"/>
      <c r="B43" s="137" t="n"/>
      <c r="C43" s="137" t="n"/>
      <c r="D43" s="145" t="n"/>
      <c r="E43" s="145" t="n"/>
      <c r="F43" s="145" t="n"/>
      <c r="G43" s="145" t="n"/>
      <c r="H43" s="145" t="n"/>
      <c r="I43" s="145" t="n"/>
      <c r="J43" s="145" t="n"/>
      <c r="K43" s="145" t="n"/>
      <c r="L43" s="145" t="n"/>
      <c r="M43" s="145" t="n"/>
    </row>
    <row r="44" ht="12.75" customFormat="1" customHeight="1" s="168">
      <c r="A44" s="137">
        <f>IF('9. Cash Flow Statement'!Q35&gt;0,"A line of credit is also required in the amount of","")</f>
        <v/>
      </c>
      <c r="B44" s="137" t="n"/>
      <c r="C44" s="137" t="n"/>
      <c r="D44" s="137" t="n"/>
      <c r="E44" s="137" t="n"/>
      <c r="F44" s="137" t="n"/>
      <c r="G44" s="149">
        <f>IF('9. Cash Flow Statement'!Q35&gt;0,'9. Cash Flow Statement'!Q35,"")</f>
        <v/>
      </c>
      <c r="H44" s="137" t="n"/>
      <c r="I44" s="137" t="n"/>
      <c r="J44" s="137" t="n"/>
      <c r="K44" s="137" t="n"/>
      <c r="L44" s="137" t="n"/>
      <c r="M44" s="137" t="n"/>
    </row>
    <row r="45" ht="12.75" customHeight="1" s="131">
      <c r="A45" s="145" t="n"/>
      <c r="D45" s="145" t="n"/>
      <c r="E45" s="145" t="n"/>
      <c r="F45" s="145" t="n"/>
      <c r="G45" s="145" t="n"/>
      <c r="H45" s="145" t="n"/>
      <c r="I45" s="145" t="n"/>
      <c r="J45" s="145" t="n"/>
      <c r="K45" s="145" t="n"/>
      <c r="L45" s="145" t="n"/>
      <c r="M45" s="145" t="n"/>
    </row>
    <row r="46" ht="12.75" customHeight="1" s="131">
      <c r="A46" s="145" t="n"/>
      <c r="D46" s="145" t="n"/>
      <c r="E46" s="145" t="n"/>
      <c r="F46" s="145" t="n"/>
      <c r="G46" s="145" t="n"/>
      <c r="H46" s="145" t="n"/>
      <c r="I46" s="145" t="n"/>
      <c r="J46" s="145" t="n"/>
      <c r="K46" s="145" t="n"/>
      <c r="L46" s="145" t="n"/>
      <c r="M46" s="145" t="n"/>
    </row>
    <row r="47" ht="12.75" customHeight="1" s="131">
      <c r="A47" s="145" t="n"/>
      <c r="D47" s="145" t="n"/>
      <c r="E47" s="145" t="n"/>
      <c r="F47" s="145" t="n"/>
      <c r="G47" s="145" t="n"/>
      <c r="H47" s="145" t="n"/>
      <c r="I47" s="145" t="n"/>
      <c r="J47" s="145" t="n"/>
      <c r="K47" s="145" t="n"/>
      <c r="L47" s="145" t="n"/>
      <c r="M47" s="145" t="n"/>
    </row>
    <row r="48" ht="12.75" customHeight="1" s="131">
      <c r="A48" s="145" t="n"/>
      <c r="D48" s="145" t="n"/>
      <c r="E48" s="145" t="n"/>
      <c r="F48" s="145" t="n"/>
      <c r="G48" s="145" t="n"/>
      <c r="H48" s="145" t="n"/>
      <c r="I48" s="145" t="n"/>
      <c r="J48" s="145" t="n"/>
      <c r="K48" s="145" t="n"/>
      <c r="L48" s="145" t="n"/>
      <c r="M48" s="145" t="n"/>
    </row>
    <row r="49" ht="12.75" customHeight="1" s="131">
      <c r="A49" s="145" t="n"/>
      <c r="D49" s="145" t="n"/>
      <c r="E49" s="145" t="n"/>
      <c r="F49" s="145" t="n"/>
      <c r="G49" s="145" t="n"/>
      <c r="H49" s="145" t="n"/>
      <c r="I49" s="145" t="n"/>
      <c r="J49" s="145" t="n"/>
      <c r="K49" s="145" t="n"/>
      <c r="L49" s="145" t="n"/>
      <c r="M49" s="145" t="n"/>
    </row>
    <row r="50" ht="12.75" customHeight="1" s="131">
      <c r="A50" s="145" t="n"/>
      <c r="D50" s="145" t="n"/>
      <c r="E50" s="145" t="n"/>
      <c r="F50" s="145" t="n"/>
      <c r="G50" s="145" t="n"/>
      <c r="H50" s="145" t="n"/>
      <c r="I50" s="145" t="n"/>
      <c r="J50" s="145" t="n"/>
      <c r="K50" s="145" t="n"/>
      <c r="L50" s="145" t="n"/>
      <c r="M50" s="145"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tabColor rgb="FFFFFF99"/>
    <outlinePr summaryBelow="1" summaryRight="1"/>
    <pageSetUpPr fitToPage="0"/>
  </sheetPr>
  <dimension ref="A1:R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11" activeCellId="0" sqref="F11"/>
    </sheetView>
  </sheetViews>
  <sheetFormatPr baseColWidth="8" defaultColWidth="9.15234375" defaultRowHeight="12" zeroHeight="0" outlineLevelRow="1"/>
  <cols>
    <col width="2.99" customWidth="1" style="137" min="1" max="4"/>
    <col width="18.74" customWidth="1" style="130" min="5" max="5"/>
    <col width="6.72" customWidth="1" style="169" min="6" max="6"/>
    <col width="12.73" customWidth="1" style="130" min="7" max="7"/>
    <col width="2.99" customWidth="1" style="130" min="8" max="8"/>
    <col width="12.73" customWidth="1" style="130" min="9" max="9"/>
    <col width="3.71" customWidth="1" style="130" min="10" max="10"/>
    <col width="18.74" customWidth="1" style="130" min="11" max="11"/>
    <col width="5.71" customWidth="1" style="130" min="12" max="12"/>
    <col width="18.74" customWidth="1" style="130" min="13" max="15"/>
  </cols>
  <sheetData>
    <row r="1" ht="15.75" customHeight="1" s="131">
      <c r="A1" s="142">
        <f>'1. Required Start-Up Funds'!A1</f>
        <v/>
      </c>
      <c r="R1" s="143">
        <f>NOW()</f>
        <v/>
      </c>
    </row>
    <row r="2" ht="15.75" customHeight="1" s="131">
      <c r="A2" s="142" t="inlineStr">
        <is>
          <t>Salaries and Wages</t>
        </is>
      </c>
    </row>
    <row r="3" ht="12" customHeight="1" s="131">
      <c r="E3" s="137" t="n"/>
      <c r="F3" s="170" t="n"/>
      <c r="G3" s="145" t="n"/>
      <c r="H3" s="145" t="n"/>
      <c r="I3" s="145" t="n"/>
      <c r="J3" s="145" t="n"/>
      <c r="K3" s="145" t="n"/>
      <c r="L3" s="145" t="n"/>
      <c r="M3" s="145" t="n"/>
      <c r="N3" s="145" t="n"/>
      <c r="O3" s="145" t="n"/>
      <c r="P3" s="145" t="n"/>
      <c r="Q3" s="145" t="n"/>
      <c r="R3" s="145" t="n"/>
    </row>
    <row r="4" ht="12" customHeight="1" s="131">
      <c r="E4" s="145" t="n"/>
      <c r="F4" s="170" t="n"/>
      <c r="G4" s="145" t="n"/>
      <c r="H4" s="145" t="n"/>
      <c r="I4" s="145" t="n"/>
      <c r="J4" s="145" t="n"/>
      <c r="K4" s="145" t="n"/>
      <c r="L4" s="145" t="n"/>
      <c r="M4" s="145" t="n"/>
      <c r="N4" s="145" t="n"/>
      <c r="O4" s="145" t="n"/>
      <c r="P4" s="145" t="n"/>
      <c r="Q4" s="145" t="n"/>
      <c r="R4" s="145" t="n"/>
    </row>
    <row r="5" ht="12.75" customHeight="1" s="131">
      <c r="E5" s="145" t="n"/>
      <c r="F5" s="170" t="n"/>
      <c r="G5" s="145" t="n"/>
      <c r="H5" s="145" t="n"/>
      <c r="I5" s="145" t="n"/>
      <c r="J5" s="145" t="n"/>
      <c r="K5" s="145" t="n"/>
      <c r="L5" s="145" t="n"/>
      <c r="M5" s="145" t="n"/>
      <c r="N5" s="145" t="n"/>
      <c r="O5" s="145" t="n"/>
      <c r="P5" s="145" t="n"/>
      <c r="Q5" s="145" t="n"/>
      <c r="R5" s="145" t="n"/>
    </row>
    <row r="6" ht="12.75" customHeight="1" s="131">
      <c r="A6" s="137" t="inlineStr">
        <is>
          <t>Salaries and Related Expenses</t>
        </is>
      </c>
      <c r="E6" s="145" t="n"/>
      <c r="F6" s="171" t="inlineStr">
        <is>
          <t>#</t>
        </is>
      </c>
      <c r="G6" s="140" t="inlineStr">
        <is>
          <t>Assumptions</t>
        </is>
      </c>
      <c r="H6" s="140" t="n"/>
      <c r="I6" s="140" t="inlineStr">
        <is>
          <t>Wage Base</t>
        </is>
      </c>
      <c r="J6" s="140" t="n"/>
      <c r="K6" s="172" t="inlineStr">
        <is>
          <t>Monthly</t>
        </is>
      </c>
      <c r="L6" s="140" t="n"/>
      <c r="M6" s="172" t="inlineStr">
        <is>
          <t>Year One</t>
        </is>
      </c>
      <c r="N6" s="172" t="inlineStr">
        <is>
          <t>Year Two</t>
        </is>
      </c>
      <c r="O6" s="172" t="inlineStr">
        <is>
          <t>Year Three</t>
        </is>
      </c>
      <c r="P6" s="145" t="n"/>
      <c r="Q6" s="145" t="n"/>
      <c r="R6" s="145" t="n"/>
    </row>
    <row r="7" ht="12.75" customHeight="1" s="131">
      <c r="E7" s="145" t="n"/>
      <c r="F7" s="170" t="n"/>
      <c r="G7" s="145" t="n"/>
      <c r="H7" s="145" t="n"/>
      <c r="I7" s="145" t="n"/>
      <c r="J7" s="145" t="n"/>
      <c r="K7" s="145" t="n"/>
      <c r="L7" s="145" t="n"/>
      <c r="M7" s="145" t="n"/>
      <c r="N7" s="145" t="n"/>
      <c r="O7" s="145" t="n"/>
      <c r="P7" s="145" t="n"/>
      <c r="Q7" s="145" t="n"/>
      <c r="R7" s="145" t="n"/>
    </row>
    <row r="8" ht="12.75" customHeight="1" s="131">
      <c r="A8" s="137" t="inlineStr">
        <is>
          <t>Percent Change</t>
        </is>
      </c>
      <c r="E8" s="145" t="n"/>
      <c r="F8" s="170" t="n"/>
      <c r="G8" s="145" t="n"/>
      <c r="H8" s="145" t="n"/>
      <c r="I8" s="145" t="n"/>
      <c r="J8" s="145" t="n"/>
      <c r="K8" s="145" t="n"/>
      <c r="L8" s="145" t="n"/>
      <c r="M8" s="145" t="n"/>
      <c r="N8" s="173" t="n">
        <v>0.03</v>
      </c>
      <c r="O8" s="173" t="n">
        <v>0.03</v>
      </c>
      <c r="P8" s="145" t="n"/>
      <c r="Q8" s="145" t="n"/>
      <c r="R8" s="145" t="n"/>
    </row>
    <row r="9" ht="12.75" customHeight="1" s="131">
      <c r="E9" s="145" t="n"/>
      <c r="F9" s="170" t="n"/>
      <c r="G9" s="145" t="n"/>
      <c r="H9" s="145" t="n"/>
      <c r="I9" s="145" t="n"/>
      <c r="J9" s="145" t="n"/>
      <c r="K9" s="145" t="n"/>
      <c r="L9" s="145" t="n"/>
      <c r="M9" s="145" t="n"/>
      <c r="N9" s="145" t="n"/>
      <c r="O9" s="145" t="n"/>
      <c r="P9" s="145" t="n"/>
      <c r="Q9" s="145" t="n"/>
      <c r="R9" s="145" t="n"/>
    </row>
    <row r="10" ht="12.75" customHeight="1" s="131">
      <c r="A10" s="137" t="inlineStr">
        <is>
          <t>Salaries and Wages</t>
        </is>
      </c>
      <c r="E10" s="145" t="n"/>
      <c r="F10" s="170" t="n"/>
      <c r="G10" s="145" t="n"/>
      <c r="H10" s="145" t="n"/>
      <c r="I10" s="145" t="n"/>
      <c r="J10" s="145" t="n"/>
      <c r="K10" s="145" t="n"/>
      <c r="L10" s="145" t="n"/>
      <c r="M10" s="145" t="n"/>
      <c r="N10" s="145" t="n"/>
      <c r="O10" s="145" t="n"/>
      <c r="P10" s="145" t="n"/>
      <c r="Q10" s="145" t="n"/>
      <c r="R10" s="145" t="n"/>
    </row>
    <row r="11" ht="12.75" customHeight="1" s="131">
      <c r="B11" s="137" t="inlineStr">
        <is>
          <t>Owner's Compensation</t>
        </is>
      </c>
      <c r="E11" s="145" t="n"/>
      <c r="F11" s="174" t="n">
        <v>0</v>
      </c>
      <c r="G11" s="145" t="n"/>
      <c r="H11" s="145" t="n"/>
      <c r="I11" s="145" t="n"/>
      <c r="J11" s="145" t="n"/>
      <c r="K11" s="148" t="n">
        <v>0</v>
      </c>
      <c r="L11" s="149" t="n"/>
      <c r="M11" s="156">
        <f>K11*12</f>
        <v/>
      </c>
      <c r="N11" s="156">
        <f>M11*(1+$N$8)</f>
        <v/>
      </c>
      <c r="O11" s="156">
        <f>N11*(1+$O$8)</f>
        <v/>
      </c>
      <c r="P11" s="145" t="n"/>
      <c r="Q11" s="145" t="n"/>
      <c r="R11" s="145" t="n"/>
    </row>
    <row r="12" ht="12.75" customHeight="1" s="131">
      <c r="B12" s="137" t="inlineStr">
        <is>
          <t>Salaries</t>
        </is>
      </c>
      <c r="E12" s="145" t="n"/>
      <c r="F12" s="174" t="n">
        <v>0</v>
      </c>
      <c r="G12" s="145" t="n"/>
      <c r="H12" s="145" t="n"/>
      <c r="I12" s="145" t="n"/>
      <c r="J12" s="145" t="n"/>
      <c r="K12" s="151" t="n">
        <v>0</v>
      </c>
      <c r="L12" s="156" t="n"/>
      <c r="M12" s="156">
        <f>K12*12</f>
        <v/>
      </c>
      <c r="N12" s="156">
        <f>M12*(1+$N$8)</f>
        <v/>
      </c>
      <c r="O12" s="156">
        <f>N12*(1+$O$8)</f>
        <v/>
      </c>
      <c r="P12" s="145" t="n"/>
      <c r="Q12" s="145" t="n"/>
      <c r="R12" s="145" t="n"/>
    </row>
    <row r="13" outlineLevel="1" ht="12.75" customHeight="1" s="131">
      <c r="B13" s="137" t="inlineStr">
        <is>
          <t>Wages</t>
        </is>
      </c>
      <c r="E13" s="145" t="n"/>
      <c r="F13" s="170" t="n"/>
      <c r="G13" s="145" t="n"/>
      <c r="H13" s="145" t="n"/>
      <c r="I13" s="145" t="n"/>
      <c r="J13" s="145" t="n"/>
      <c r="K13" s="156" t="n"/>
      <c r="L13" s="156" t="n"/>
      <c r="M13" s="145" t="n"/>
      <c r="N13" s="145" t="n"/>
      <c r="O13" s="145" t="n"/>
      <c r="P13" s="145" t="n"/>
      <c r="Q13" s="145" t="n"/>
      <c r="R13" s="145" t="n"/>
    </row>
    <row r="14" outlineLevel="1" ht="12.75" customHeight="1" s="131">
      <c r="C14" s="137" t="inlineStr">
        <is>
          <t>Full-Time Employees</t>
        </is>
      </c>
      <c r="E14" s="145" t="n"/>
      <c r="F14" s="174" t="n">
        <v>0</v>
      </c>
      <c r="G14" s="145" t="n"/>
      <c r="H14" s="145" t="n"/>
      <c r="I14" s="145" t="n"/>
      <c r="J14" s="145" t="n"/>
      <c r="K14" s="156">
        <f>M14/12</f>
        <v/>
      </c>
      <c r="L14" s="156" t="n"/>
      <c r="M14" s="156">
        <f>G15*G16*52*F14</f>
        <v/>
      </c>
      <c r="N14" s="156">
        <f>M14*(1+$N$8)</f>
        <v/>
      </c>
      <c r="O14" s="156">
        <f>N14*(1+$O$8)</f>
        <v/>
      </c>
      <c r="P14" s="145" t="n"/>
      <c r="Q14" s="145" t="n"/>
      <c r="R14" s="145" t="n"/>
    </row>
    <row r="15" outlineLevel="1" ht="12.75" customHeight="1" s="131">
      <c r="D15" s="137" t="inlineStr">
        <is>
          <t>Estimated Hours Per Week</t>
        </is>
      </c>
      <c r="E15" s="145" t="n"/>
      <c r="F15" s="170" t="n"/>
      <c r="G15" s="175" t="n">
        <v>40</v>
      </c>
      <c r="H15" s="176" t="n"/>
      <c r="I15" s="176" t="n"/>
      <c r="J15" s="176" t="n"/>
      <c r="K15" s="156" t="n"/>
      <c r="L15" s="156" t="n"/>
      <c r="M15" s="145" t="n"/>
      <c r="N15" s="145" t="n"/>
      <c r="O15" s="145" t="n"/>
      <c r="P15" s="145" t="n"/>
      <c r="Q15" s="145" t="n"/>
      <c r="R15" s="145" t="n"/>
    </row>
    <row r="16" outlineLevel="1" ht="12.75" customHeight="1" s="131">
      <c r="D16" s="137" t="inlineStr">
        <is>
          <t>Estimated Rate Per Hour</t>
        </is>
      </c>
      <c r="E16" s="145" t="n"/>
      <c r="F16" s="170" t="n"/>
      <c r="G16" s="177" t="n">
        <v>9</v>
      </c>
      <c r="H16" s="178" t="n"/>
      <c r="I16" s="178" t="n"/>
      <c r="J16" s="178" t="n"/>
      <c r="K16" s="145" t="n"/>
      <c r="L16" s="145" t="n"/>
      <c r="M16" s="145" t="n"/>
      <c r="N16" s="145" t="n"/>
      <c r="O16" s="145" t="n"/>
      <c r="P16" s="145" t="n"/>
      <c r="Q16" s="145" t="n"/>
      <c r="R16" s="145" t="n"/>
    </row>
    <row r="17" outlineLevel="1" ht="12.75" customHeight="1" s="131">
      <c r="C17" s="137" t="inlineStr">
        <is>
          <t>Part-Time Employees</t>
        </is>
      </c>
      <c r="E17" s="145" t="n"/>
      <c r="F17" s="174" t="n">
        <v>0</v>
      </c>
      <c r="G17" s="145" t="n"/>
      <c r="H17" s="145" t="n"/>
      <c r="I17" s="145" t="n"/>
      <c r="J17" s="145" t="n"/>
      <c r="K17" s="156">
        <f>M17/12</f>
        <v/>
      </c>
      <c r="L17" s="156" t="n"/>
      <c r="M17" s="156">
        <f>G18*G19*52*F17</f>
        <v/>
      </c>
      <c r="N17" s="156">
        <f>M17*(1+$N$8)</f>
        <v/>
      </c>
      <c r="O17" s="156">
        <f>N17*(1+$O$8)</f>
        <v/>
      </c>
      <c r="P17" s="145" t="n"/>
      <c r="Q17" s="145" t="n"/>
      <c r="R17" s="145" t="n"/>
    </row>
    <row r="18" outlineLevel="1" ht="12.75" customHeight="1" s="131">
      <c r="D18" s="137" t="inlineStr">
        <is>
          <t>Estimated Hours Per Week</t>
        </is>
      </c>
      <c r="E18" s="145" t="n"/>
      <c r="F18" s="170" t="n"/>
      <c r="G18" s="175" t="n">
        <v>20</v>
      </c>
      <c r="H18" s="176" t="n"/>
      <c r="I18" s="176" t="n"/>
      <c r="J18" s="176" t="n"/>
      <c r="K18" s="156" t="n"/>
      <c r="L18" s="156" t="n"/>
      <c r="M18" s="145" t="n"/>
      <c r="N18" s="145" t="n"/>
      <c r="O18" s="145" t="n"/>
      <c r="P18" s="145" t="n"/>
      <c r="Q18" s="145" t="n"/>
      <c r="R18" s="145" t="n"/>
    </row>
    <row r="19" outlineLevel="1" ht="12.75" customHeight="1" s="131">
      <c r="D19" s="137" t="inlineStr">
        <is>
          <t>Estimated Rate Per Hour</t>
        </is>
      </c>
      <c r="E19" s="145" t="n"/>
      <c r="F19" s="170" t="n"/>
      <c r="G19" s="177" t="n">
        <v>9</v>
      </c>
      <c r="H19" s="178" t="n"/>
      <c r="I19" s="178" t="n"/>
      <c r="J19" s="178" t="n"/>
      <c r="K19" s="145" t="n"/>
      <c r="L19" s="145" t="n"/>
      <c r="M19" s="145" t="n"/>
      <c r="N19" s="145" t="n"/>
      <c r="O19" s="145" t="n"/>
      <c r="P19" s="145" t="n"/>
      <c r="Q19" s="145" t="n"/>
      <c r="R19" s="145" t="n"/>
    </row>
    <row r="20" outlineLevel="1" ht="12.75" customHeight="1" s="131">
      <c r="B20" s="137" t="inlineStr">
        <is>
          <t>Independent Contractors</t>
        </is>
      </c>
      <c r="E20" s="145" t="n"/>
      <c r="F20" s="170" t="n"/>
      <c r="G20" s="145" t="n"/>
      <c r="H20" s="145" t="n"/>
      <c r="I20" s="145" t="n"/>
      <c r="J20" s="145" t="n"/>
      <c r="K20" s="162" t="n">
        <v>0</v>
      </c>
      <c r="L20" s="156" t="n"/>
      <c r="M20" s="162">
        <f>K20*12</f>
        <v/>
      </c>
      <c r="N20" s="162">
        <f>M20*(1+$N$8)</f>
        <v/>
      </c>
      <c r="O20" s="162">
        <f>N20*(1+$O$8)</f>
        <v/>
      </c>
      <c r="P20" s="145" t="n"/>
      <c r="Q20" s="145" t="n"/>
      <c r="R20" s="145" t="n"/>
    </row>
    <row r="21" ht="12.75" customHeight="1" s="131">
      <c r="A21" s="137" t="inlineStr">
        <is>
          <t>Total Salaries and Wages</t>
        </is>
      </c>
      <c r="E21" s="145" t="n"/>
      <c r="F21" s="170">
        <f>SUM(F11:F20)</f>
        <v/>
      </c>
      <c r="G21" s="145" t="n"/>
      <c r="H21" s="145" t="n"/>
      <c r="I21" s="145" t="n"/>
      <c r="J21" s="145" t="n"/>
      <c r="K21" s="156">
        <f>SUM(K11:K20)</f>
        <v/>
      </c>
      <c r="L21" s="150" t="n"/>
      <c r="M21" s="156">
        <f>SUM(M11:M20)</f>
        <v/>
      </c>
      <c r="N21" s="156">
        <f>SUM(N11:N20)</f>
        <v/>
      </c>
      <c r="O21" s="156">
        <f>SUM(O11:O20)</f>
        <v/>
      </c>
      <c r="P21" s="145" t="n"/>
      <c r="Q21" s="145" t="n"/>
      <c r="R21" s="145" t="n"/>
    </row>
    <row r="22" ht="12.75" customHeight="1" s="131">
      <c r="E22" s="145" t="n"/>
      <c r="F22" s="170" t="n"/>
      <c r="G22" s="145" t="n"/>
      <c r="H22" s="145" t="n"/>
      <c r="I22" s="145" t="n"/>
      <c r="J22" s="145" t="n"/>
      <c r="K22" s="145" t="n"/>
      <c r="L22" s="145" t="n"/>
      <c r="M22" s="145" t="n"/>
      <c r="N22" s="145" t="n"/>
      <c r="O22" s="145" t="n"/>
      <c r="P22" s="145" t="n"/>
      <c r="Q22" s="145" t="n"/>
      <c r="R22" s="145" t="n"/>
    </row>
    <row r="23" ht="12.75" customHeight="1" s="131">
      <c r="A23" s="137" t="inlineStr">
        <is>
          <t>Payroll Taxes and Benefits</t>
        </is>
      </c>
      <c r="E23" s="145" t="n"/>
      <c r="F23" s="170" t="n"/>
      <c r="G23" s="145" t="n"/>
      <c r="H23" s="145" t="n"/>
      <c r="I23" s="145" t="n"/>
      <c r="J23" s="145" t="n"/>
      <c r="K23" s="145" t="n"/>
      <c r="L23" s="145" t="n"/>
      <c r="M23" s="145" t="n"/>
      <c r="N23" s="145" t="n"/>
      <c r="O23" s="145" t="n"/>
      <c r="P23" s="145" t="n"/>
      <c r="Q23" s="145" t="n"/>
      <c r="R23" s="145" t="n"/>
    </row>
    <row r="24" ht="12.75" customHeight="1" s="131">
      <c r="B24" s="137" t="inlineStr">
        <is>
          <t>Social Security</t>
        </is>
      </c>
      <c r="E24" s="145" t="n"/>
      <c r="F24" s="170" t="n"/>
      <c r="G24" s="160" t="n">
        <v>0.062</v>
      </c>
      <c r="H24" s="159" t="n"/>
      <c r="I24" s="179" t="n">
        <v>102000</v>
      </c>
      <c r="J24" s="145" t="n"/>
      <c r="K24" s="156">
        <f>K21*$G$24</f>
        <v/>
      </c>
      <c r="L24" s="156" t="n"/>
      <c r="M24" s="156">
        <f>M21*$G$24</f>
        <v/>
      </c>
      <c r="N24" s="156">
        <f>N21*$G$24</f>
        <v/>
      </c>
      <c r="O24" s="156">
        <f>O21*$G$24</f>
        <v/>
      </c>
      <c r="P24" s="145" t="n"/>
      <c r="Q24" s="145" t="n"/>
      <c r="R24" s="145" t="n"/>
    </row>
    <row r="25" ht="12.75" customHeight="1" s="131">
      <c r="B25" s="137" t="inlineStr">
        <is>
          <t>Medicare</t>
        </is>
      </c>
      <c r="E25" s="145" t="n"/>
      <c r="F25" s="170" t="n"/>
      <c r="G25" s="160" t="n">
        <v>0.0145</v>
      </c>
      <c r="H25" s="159" t="n"/>
      <c r="I25" s="160" t="n"/>
      <c r="J25" s="145" t="n"/>
      <c r="K25" s="156">
        <f>K21*$G$25</f>
        <v/>
      </c>
      <c r="L25" s="156" t="n"/>
      <c r="M25" s="156">
        <f>M21*$G$25</f>
        <v/>
      </c>
      <c r="N25" s="156">
        <f>N21*$G$25</f>
        <v/>
      </c>
      <c r="O25" s="156">
        <f>O21*$G$25</f>
        <v/>
      </c>
      <c r="P25" s="145" t="n"/>
      <c r="Q25" s="145" t="n"/>
      <c r="R25" s="145" t="n"/>
    </row>
    <row r="26" ht="12.75" customHeight="1" s="131">
      <c r="B26" s="137" t="inlineStr">
        <is>
          <t>Federal Unemployment Tax (FUTA)</t>
        </is>
      </c>
      <c r="E26" s="145" t="n"/>
      <c r="F26" s="170" t="n"/>
      <c r="G26" s="160" t="n">
        <v>0.008</v>
      </c>
      <c r="H26" s="159" t="n"/>
      <c r="I26" s="179" t="n">
        <v>7000</v>
      </c>
      <c r="J26" s="145" t="n"/>
      <c r="K26" s="156">
        <f>F21*I26*G26/12</f>
        <v/>
      </c>
      <c r="L26" s="156" t="n"/>
      <c r="M26" s="156">
        <f>K26*12</f>
        <v/>
      </c>
      <c r="N26" s="156">
        <f>M26</f>
        <v/>
      </c>
      <c r="O26" s="156">
        <f>N26</f>
        <v/>
      </c>
      <c r="P26" s="145" t="n"/>
      <c r="Q26" s="145" t="n"/>
      <c r="R26" s="145" t="n"/>
    </row>
    <row r="27" ht="12.75" customHeight="1" s="131">
      <c r="B27" s="137" t="inlineStr">
        <is>
          <t>State Unemployment Tax (SUTA)</t>
        </is>
      </c>
      <c r="E27" s="145" t="n"/>
      <c r="F27" s="170" t="n"/>
      <c r="G27" s="160" t="n">
        <v>0.027</v>
      </c>
      <c r="H27" s="159" t="n"/>
      <c r="I27" s="179" t="n">
        <v>7000</v>
      </c>
      <c r="J27" s="145" t="n"/>
      <c r="K27" s="156">
        <f>F21*I27*G27/12</f>
        <v/>
      </c>
      <c r="L27" s="156" t="n"/>
      <c r="M27" s="156">
        <f>K27*12</f>
        <v/>
      </c>
      <c r="N27" s="156">
        <f>M27</f>
        <v/>
      </c>
      <c r="O27" s="156">
        <f>N27</f>
        <v/>
      </c>
      <c r="P27" s="145" t="n"/>
      <c r="Q27" s="145" t="n"/>
      <c r="R27" s="145" t="n"/>
    </row>
    <row r="28" ht="12.75" customHeight="1" s="131">
      <c r="B28" s="137" t="inlineStr">
        <is>
          <t>Employee Pension Programs</t>
        </is>
      </c>
      <c r="E28" s="145" t="n"/>
      <c r="F28" s="170" t="n"/>
      <c r="G28" s="173" t="n">
        <v>0</v>
      </c>
      <c r="H28" s="159" t="n"/>
      <c r="I28" s="149" t="n"/>
      <c r="J28" s="145" t="n"/>
      <c r="K28" s="156">
        <f>G28*K21</f>
        <v/>
      </c>
      <c r="L28" s="156" t="n"/>
      <c r="M28" s="156">
        <f>K28*12</f>
        <v/>
      </c>
      <c r="N28" s="156">
        <f>M28</f>
        <v/>
      </c>
      <c r="O28" s="156">
        <f>N28</f>
        <v/>
      </c>
      <c r="P28" s="145" t="n"/>
      <c r="Q28" s="145" t="n"/>
      <c r="R28" s="145" t="n"/>
    </row>
    <row r="29" ht="12.75" customHeight="1" s="131">
      <c r="B29" s="137" t="inlineStr">
        <is>
          <t>Worker's Compensation</t>
        </is>
      </c>
      <c r="E29" s="145" t="n"/>
      <c r="F29" s="170" t="n"/>
      <c r="G29" s="180" t="n">
        <v>0</v>
      </c>
      <c r="H29" s="145" t="n"/>
      <c r="I29" s="145" t="n"/>
      <c r="J29" s="145" t="n"/>
      <c r="K29" s="151">
        <f>G29*$K$21</f>
        <v/>
      </c>
      <c r="L29" s="156" t="n"/>
      <c r="M29" s="156">
        <f>K29*12</f>
        <v/>
      </c>
      <c r="N29" s="156">
        <f>M29*(1+N8)</f>
        <v/>
      </c>
      <c r="O29" s="156">
        <f>N29*(1+O8)</f>
        <v/>
      </c>
      <c r="P29" s="145" t="n"/>
      <c r="Q29" s="145" t="n"/>
      <c r="R29" s="145" t="n"/>
    </row>
    <row r="30" ht="12.75" customHeight="1" s="131">
      <c r="B30" s="137" t="inlineStr">
        <is>
          <t>Employee Health Insurance</t>
        </is>
      </c>
      <c r="E30" s="145" t="n"/>
      <c r="F30" s="170" t="n"/>
      <c r="G30" s="180" t="n">
        <v>0</v>
      </c>
      <c r="H30" s="145" t="n"/>
      <c r="I30" s="145" t="n"/>
      <c r="J30" s="145" t="n"/>
      <c r="K30" s="151">
        <f>G30*$K$21</f>
        <v/>
      </c>
      <c r="L30" s="156" t="n"/>
      <c r="M30" s="156">
        <f>K30*12</f>
        <v/>
      </c>
      <c r="N30" s="156">
        <f>M30*(1+N8)</f>
        <v/>
      </c>
      <c r="O30" s="156">
        <f>N30*(1+O8)</f>
        <v/>
      </c>
      <c r="P30" s="145" t="n"/>
      <c r="Q30" s="145" t="n"/>
      <c r="R30" s="145" t="n"/>
    </row>
    <row r="31" ht="12.75" customHeight="1" s="131">
      <c r="B31" s="137" t="inlineStr">
        <is>
          <t>Other Employee Benefit Programs</t>
        </is>
      </c>
      <c r="E31" s="145" t="n"/>
      <c r="F31" s="170" t="n"/>
      <c r="G31" s="180" t="n">
        <v>0</v>
      </c>
      <c r="H31" s="145" t="n"/>
      <c r="I31" s="145" t="n"/>
      <c r="J31" s="145" t="n"/>
      <c r="K31" s="181">
        <f>G31*$K$21</f>
        <v/>
      </c>
      <c r="L31" s="156" t="n"/>
      <c r="M31" s="162">
        <f>K31*12</f>
        <v/>
      </c>
      <c r="N31" s="162">
        <f>M31*(1+N8)</f>
        <v/>
      </c>
      <c r="O31" s="162">
        <f>N31*(1+O8)</f>
        <v/>
      </c>
      <c r="P31" s="145" t="n"/>
      <c r="Q31" s="145" t="n"/>
      <c r="R31" s="145" t="n"/>
    </row>
    <row r="32" ht="12.75" customHeight="1" s="131">
      <c r="A32" s="137" t="inlineStr">
        <is>
          <t>Total Payroll Taxes and Benefits</t>
        </is>
      </c>
      <c r="E32" s="145" t="n"/>
      <c r="F32" s="170" t="n"/>
      <c r="G32" s="145" t="n"/>
      <c r="H32" s="145" t="n"/>
      <c r="I32" s="145" t="n"/>
      <c r="J32" s="145" t="n"/>
      <c r="K32" s="156">
        <f>SUM(K24:K31)</f>
        <v/>
      </c>
      <c r="L32" s="156" t="n"/>
      <c r="M32" s="156">
        <f>SUM(M24:M31)</f>
        <v/>
      </c>
      <c r="N32" s="156">
        <f>SUM(N24:N31)</f>
        <v/>
      </c>
      <c r="O32" s="156">
        <f>SUM(O24:O31)</f>
        <v/>
      </c>
      <c r="P32" s="145" t="n"/>
      <c r="Q32" s="145" t="n"/>
      <c r="R32" s="145" t="n"/>
    </row>
    <row r="33" ht="12.75" customHeight="1" s="131">
      <c r="E33" s="145" t="n"/>
      <c r="F33" s="170" t="n"/>
      <c r="G33" s="145" t="n"/>
      <c r="H33" s="145" t="n"/>
      <c r="I33" s="145" t="n"/>
      <c r="J33" s="145" t="n"/>
      <c r="K33" s="182" t="n"/>
      <c r="L33" s="182" t="n"/>
      <c r="M33" s="145" t="n"/>
      <c r="N33" s="145" t="n"/>
      <c r="O33" s="145" t="n"/>
      <c r="P33" s="145" t="n"/>
      <c r="Q33" s="145" t="n"/>
      <c r="R33" s="145" t="n"/>
    </row>
    <row r="34" ht="12.75" customHeight="1" s="131">
      <c r="E34" s="145" t="n"/>
      <c r="F34" s="170" t="n"/>
      <c r="G34" s="145" t="n"/>
      <c r="H34" s="145" t="n"/>
      <c r="I34" s="145" t="n"/>
      <c r="J34" s="145" t="n"/>
      <c r="K34" s="183" t="n"/>
      <c r="L34" s="145" t="n"/>
      <c r="M34" s="183" t="n"/>
      <c r="N34" s="183" t="n"/>
      <c r="O34" s="183" t="n"/>
      <c r="P34" s="145" t="n"/>
      <c r="Q34" s="145" t="n"/>
      <c r="R34" s="145" t="n"/>
    </row>
    <row r="35" ht="18" customHeight="1" s="131">
      <c r="A35" s="137" t="inlineStr">
        <is>
          <t>Total Salaries and Related Expenses</t>
        </is>
      </c>
      <c r="E35" s="145" t="n"/>
      <c r="F35" s="170" t="n"/>
      <c r="G35" s="145" t="n"/>
      <c r="H35" s="145" t="n"/>
      <c r="I35" s="145" t="n"/>
      <c r="J35" s="145" t="n"/>
      <c r="K35" s="184">
        <f>K21+K32</f>
        <v/>
      </c>
      <c r="L35" s="156" t="n"/>
      <c r="M35" s="184">
        <f>M21+M32</f>
        <v/>
      </c>
      <c r="N35" s="184">
        <f>N21+N32</f>
        <v/>
      </c>
      <c r="O35" s="184">
        <f>O21+O32</f>
        <v/>
      </c>
      <c r="P35" s="145" t="n"/>
      <c r="Q35" s="145" t="n"/>
      <c r="R35" s="145" t="n"/>
    </row>
    <row r="36" ht="12.75" customHeight="1" s="131">
      <c r="E36" s="145" t="n"/>
      <c r="F36" s="170" t="n"/>
      <c r="G36" s="145" t="n"/>
      <c r="H36" s="145" t="n"/>
      <c r="I36" s="145" t="n"/>
      <c r="J36" s="145" t="n"/>
      <c r="K36" s="145" t="n"/>
      <c r="L36" s="145" t="n"/>
      <c r="M36" s="145" t="n"/>
      <c r="N36" s="145" t="n"/>
      <c r="O36" s="145" t="n"/>
      <c r="P36" s="145" t="n"/>
      <c r="Q36" s="145" t="n"/>
      <c r="R36" s="145" t="n"/>
    </row>
    <row r="37" ht="12.75" customHeight="1" s="131">
      <c r="E37" s="145" t="n"/>
      <c r="F37" s="170" t="n"/>
      <c r="G37" s="145" t="n"/>
      <c r="H37" s="145" t="n"/>
      <c r="I37" s="145" t="n"/>
      <c r="J37" s="145" t="n"/>
      <c r="K37" s="145" t="n"/>
      <c r="L37" s="145" t="n"/>
      <c r="M37" s="145" t="n"/>
      <c r="N37" s="145" t="n"/>
      <c r="O37" s="145" t="n"/>
      <c r="P37" s="145" t="n"/>
      <c r="Q37" s="145" t="n"/>
      <c r="R37" s="145" t="n"/>
    </row>
    <row r="38" ht="12.75" customHeight="1" s="131">
      <c r="E38" s="145" t="n"/>
      <c r="F38" s="170" t="n"/>
      <c r="G38" s="145" t="n"/>
      <c r="H38" s="145" t="n"/>
      <c r="I38" s="145" t="n"/>
      <c r="J38" s="145" t="n"/>
      <c r="K38" s="145" t="n"/>
      <c r="L38" s="145" t="n"/>
      <c r="M38" s="145" t="n"/>
      <c r="N38" s="145" t="n"/>
      <c r="O38" s="145" t="n"/>
      <c r="P38" s="145" t="n"/>
      <c r="Q38" s="145" t="n"/>
      <c r="R38" s="145" t="n"/>
    </row>
    <row r="39" ht="12.75" customHeight="1" s="131">
      <c r="E39" s="145" t="n"/>
      <c r="F39" s="170" t="n"/>
      <c r="G39" s="145" t="n"/>
      <c r="H39" s="145" t="n"/>
      <c r="I39" s="145" t="n"/>
      <c r="J39" s="145" t="n"/>
      <c r="K39" s="145" t="n"/>
      <c r="L39" s="145" t="n"/>
      <c r="M39" s="145" t="n"/>
      <c r="N39" s="145" t="n"/>
      <c r="O39" s="145" t="n"/>
      <c r="P39" s="145" t="n"/>
      <c r="Q39" s="145" t="n"/>
      <c r="R39" s="145" t="n"/>
    </row>
    <row r="40" ht="12.75" customHeight="1" s="131">
      <c r="E40" s="145" t="n"/>
      <c r="F40" s="170" t="n"/>
      <c r="G40" s="145" t="n"/>
      <c r="H40" s="145" t="n"/>
      <c r="I40" s="145" t="n"/>
      <c r="J40" s="145" t="n"/>
      <c r="K40" s="145" t="n"/>
      <c r="L40" s="145" t="n"/>
      <c r="M40" s="182" t="n"/>
      <c r="N40" s="182" t="n"/>
      <c r="O40" s="145" t="n"/>
      <c r="P40" s="145" t="n"/>
      <c r="Q40" s="145" t="n"/>
      <c r="R40" s="145" t="n"/>
    </row>
    <row r="41" ht="12.75" customHeight="1" s="131">
      <c r="E41" s="145" t="n"/>
      <c r="F41" s="170" t="n"/>
      <c r="G41" s="145" t="n"/>
      <c r="H41" s="145" t="n"/>
      <c r="I41" s="145" t="n"/>
      <c r="J41" s="145" t="n"/>
      <c r="K41" s="145" t="n"/>
      <c r="L41" s="145" t="n"/>
      <c r="M41" s="145" t="n"/>
      <c r="N41" s="145" t="n"/>
      <c r="O41" s="145" t="n"/>
      <c r="P41" s="145" t="n"/>
      <c r="Q41" s="145" t="n"/>
      <c r="R41" s="145" t="n"/>
    </row>
    <row r="42" ht="12.75" customHeight="1" s="131">
      <c r="E42" s="145" t="n"/>
      <c r="F42" s="170" t="n"/>
      <c r="G42" s="145" t="n"/>
      <c r="H42" s="145" t="n"/>
      <c r="I42" s="145" t="n"/>
      <c r="J42" s="145" t="n"/>
      <c r="K42" s="145" t="n"/>
      <c r="L42" s="145" t="n"/>
      <c r="M42" s="145" t="n"/>
      <c r="N42" s="145" t="n"/>
      <c r="O42" s="145" t="n"/>
      <c r="P42" s="145" t="n"/>
      <c r="Q42" s="145" t="n"/>
      <c r="R42" s="145" t="n"/>
    </row>
    <row r="43" ht="12.75" customHeight="1" s="131">
      <c r="E43" s="145" t="n"/>
      <c r="F43" s="170" t="n"/>
      <c r="G43" s="145" t="n"/>
      <c r="H43" s="145" t="n"/>
      <c r="I43" s="145" t="n"/>
      <c r="J43" s="145" t="n"/>
      <c r="K43" s="145" t="n"/>
      <c r="L43" s="145" t="n"/>
      <c r="M43" s="145" t="n"/>
      <c r="N43" s="145" t="n"/>
      <c r="O43" s="145" t="n"/>
      <c r="P43" s="145" t="n"/>
      <c r="Q43" s="145" t="n"/>
      <c r="R43" s="145" t="n"/>
    </row>
    <row r="44" ht="12.75" customHeight="1" s="131">
      <c r="E44" s="145" t="n"/>
      <c r="F44" s="170" t="n"/>
      <c r="G44" s="145" t="n"/>
      <c r="H44" s="145" t="n"/>
      <c r="I44" s="145" t="n"/>
      <c r="J44" s="145" t="n"/>
      <c r="K44" s="145" t="n"/>
      <c r="L44" s="145" t="n"/>
      <c r="M44" s="145" t="n"/>
      <c r="N44" s="145" t="n"/>
      <c r="O44" s="145" t="n"/>
      <c r="P44" s="145" t="n"/>
      <c r="Q44" s="145" t="n"/>
      <c r="R44" s="145" t="n"/>
    </row>
    <row r="45" ht="12.75" customHeight="1" s="131">
      <c r="E45" s="145" t="n"/>
      <c r="F45" s="170" t="n"/>
      <c r="G45" s="145" t="n"/>
      <c r="H45" s="145" t="n"/>
      <c r="I45" s="145" t="n"/>
      <c r="J45" s="145" t="n"/>
      <c r="K45" s="145" t="n"/>
      <c r="L45" s="145" t="n"/>
      <c r="M45" s="145" t="n"/>
      <c r="N45" s="145" t="n"/>
      <c r="O45" s="145" t="n"/>
      <c r="P45" s="145" t="n"/>
      <c r="Q45" s="145" t="n"/>
      <c r="R45" s="145" t="n"/>
    </row>
    <row r="46" ht="12.75" customHeight="1" s="131">
      <c r="E46" s="145" t="n"/>
      <c r="F46" s="170" t="n"/>
      <c r="G46" s="145" t="n"/>
      <c r="H46" s="145" t="n"/>
      <c r="I46" s="145" t="n"/>
      <c r="J46" s="145" t="n"/>
      <c r="K46" s="145" t="n"/>
      <c r="L46" s="145" t="n"/>
      <c r="M46" s="145" t="n"/>
      <c r="N46" s="145" t="n"/>
      <c r="O46" s="145" t="n"/>
      <c r="P46" s="145" t="n"/>
      <c r="Q46" s="145" t="n"/>
      <c r="R46" s="145" t="n"/>
    </row>
    <row r="47" ht="12.75" customHeight="1" s="131">
      <c r="E47" s="145" t="n"/>
      <c r="F47" s="170" t="n"/>
      <c r="G47" s="145" t="n"/>
      <c r="H47" s="145" t="n"/>
      <c r="I47" s="145" t="n"/>
      <c r="J47" s="145" t="n"/>
      <c r="K47" s="145" t="n"/>
      <c r="L47" s="145" t="n"/>
      <c r="M47" s="145" t="n"/>
      <c r="N47" s="145" t="n"/>
      <c r="O47" s="145" t="n"/>
      <c r="P47" s="145" t="n"/>
      <c r="Q47" s="145" t="n"/>
      <c r="R47" s="145" t="n"/>
    </row>
    <row r="48" ht="12.75" customHeight="1" s="131">
      <c r="E48" s="145" t="n"/>
      <c r="F48" s="170" t="n"/>
      <c r="G48" s="145" t="n"/>
      <c r="H48" s="145" t="n"/>
      <c r="I48" s="145" t="n"/>
      <c r="J48" s="145" t="n"/>
      <c r="K48" s="145" t="n"/>
      <c r="L48" s="145" t="n"/>
      <c r="M48" s="145" t="n"/>
      <c r="N48" s="145" t="n"/>
      <c r="O48" s="145" t="n"/>
      <c r="P48" s="145" t="n"/>
      <c r="Q48" s="145" t="n"/>
      <c r="R48" s="145" t="n"/>
    </row>
    <row r="49" ht="12.75" customHeight="1" s="131">
      <c r="E49" s="145" t="n"/>
      <c r="F49" s="170" t="n"/>
      <c r="G49" s="145" t="n"/>
      <c r="H49" s="145" t="n"/>
      <c r="I49" s="145" t="n"/>
      <c r="J49" s="145" t="n"/>
      <c r="K49" s="145" t="n"/>
      <c r="L49" s="145" t="n"/>
      <c r="M49" s="145" t="n"/>
      <c r="N49" s="145" t="n"/>
      <c r="O49" s="145" t="n"/>
      <c r="P49" s="145" t="n"/>
      <c r="Q49" s="145" t="n"/>
      <c r="R49" s="145" t="n"/>
    </row>
    <row r="50" ht="12.75" customHeight="1" s="131">
      <c r="E50" s="145" t="n"/>
      <c r="F50" s="170" t="n"/>
      <c r="G50" s="145" t="n"/>
      <c r="H50" s="145" t="n"/>
      <c r="I50" s="145" t="n"/>
      <c r="J50" s="145" t="n"/>
      <c r="K50" s="145" t="n"/>
      <c r="L50" s="145" t="n"/>
      <c r="M50" s="145" t="n"/>
      <c r="N50" s="145" t="n"/>
      <c r="O50" s="145" t="n"/>
      <c r="P50" s="145" t="n"/>
      <c r="Q50" s="145" t="n"/>
      <c r="R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tabColor rgb="FFFFFF99"/>
    <outlinePr summaryBelow="1" summaryRight="1"/>
    <pageSetUpPr fitToPage="0"/>
  </sheetPr>
  <dimension ref="A1:Q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11" activeCellId="0" sqref="G1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Fixed Operating Expenses</t>
        </is>
      </c>
    </row>
    <row r="3" ht="12" customHeight="1" s="131">
      <c r="E3" s="137" t="n"/>
      <c r="F3" s="145" t="n"/>
      <c r="G3" s="145" t="n"/>
      <c r="H3" s="145" t="n"/>
      <c r="I3" s="145" t="n"/>
      <c r="J3" s="145" t="n"/>
      <c r="K3" s="145" t="n"/>
      <c r="L3" s="145" t="n"/>
      <c r="M3" s="145" t="n"/>
      <c r="N3" s="145" t="n"/>
      <c r="O3" s="145" t="n"/>
      <c r="P3" s="145" t="n"/>
      <c r="Q3" s="145" t="n"/>
    </row>
    <row r="4" ht="12"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Fixed Operating Expenses</t>
        </is>
      </c>
      <c r="E6" s="145" t="n"/>
      <c r="F6" s="140" t="n"/>
      <c r="G6" s="172" t="inlineStr">
        <is>
          <t>Monthly</t>
        </is>
      </c>
      <c r="H6" s="140" t="n"/>
      <c r="I6" s="172" t="inlineStr">
        <is>
          <t>Year One</t>
        </is>
      </c>
      <c r="J6" s="172" t="inlineStr">
        <is>
          <t>Year Two</t>
        </is>
      </c>
      <c r="K6" s="172" t="inlineStr">
        <is>
          <t>Year Three</t>
        </is>
      </c>
      <c r="L6" s="145" t="n"/>
      <c r="M6" s="140" t="inlineStr">
        <is>
          <t>Notes</t>
        </is>
      </c>
      <c r="N6" s="145" t="n"/>
      <c r="O6" s="145" t="n"/>
      <c r="P6" s="145" t="n"/>
      <c r="Q6" s="145" t="n"/>
    </row>
    <row r="7" ht="12.75" customHeight="1" s="131">
      <c r="E7" s="145" t="n"/>
      <c r="F7" s="145" t="n"/>
      <c r="G7" s="145" t="n"/>
      <c r="H7" s="145" t="n"/>
      <c r="I7" s="145" t="n"/>
      <c r="J7" s="145" t="n"/>
      <c r="K7" s="145" t="n"/>
      <c r="L7" s="145" t="n"/>
      <c r="M7" s="145" t="n"/>
      <c r="N7" s="145" t="n"/>
      <c r="O7" s="145" t="n"/>
      <c r="P7" s="145" t="n"/>
      <c r="Q7" s="145" t="n"/>
    </row>
    <row r="8" ht="12.75" customHeight="1" s="131">
      <c r="A8" s="137" t="inlineStr">
        <is>
          <t>Percent Change</t>
        </is>
      </c>
      <c r="E8" s="145" t="n"/>
      <c r="F8" s="145" t="n"/>
      <c r="G8" s="145" t="n"/>
      <c r="H8" s="145" t="n"/>
      <c r="I8" s="145" t="n"/>
      <c r="J8" s="173" t="n">
        <v>0.03</v>
      </c>
      <c r="K8" s="173" t="n">
        <v>0.03</v>
      </c>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A10" s="137" t="inlineStr">
        <is>
          <t>Expenses</t>
        </is>
      </c>
      <c r="B10" s="137" t="n"/>
      <c r="C10" s="137" t="n"/>
      <c r="D10" s="137" t="n"/>
      <c r="E10" s="145" t="n"/>
      <c r="F10" s="145" t="n"/>
      <c r="G10" s="145" t="n"/>
      <c r="H10" s="145" t="n"/>
      <c r="I10" s="145" t="n"/>
      <c r="J10" s="145" t="n"/>
      <c r="K10" s="145" t="n"/>
      <c r="L10" s="145" t="n"/>
      <c r="M10" s="145" t="n"/>
      <c r="N10" s="145" t="n"/>
      <c r="O10" s="145" t="n"/>
      <c r="P10" s="145" t="n"/>
      <c r="Q10" s="145" t="n"/>
    </row>
    <row r="11" ht="12.75" customHeight="1" s="131">
      <c r="A11" s="137" t="n"/>
      <c r="B11" s="185" t="inlineStr">
        <is>
          <t>Advertising</t>
        </is>
      </c>
      <c r="C11" s="186" t="n"/>
      <c r="D11" s="186" t="n"/>
      <c r="E11" s="187" t="n"/>
      <c r="F11" s="145" t="n"/>
      <c r="G11" s="148" t="n">
        <v>0</v>
      </c>
      <c r="H11" s="149" t="n"/>
      <c r="I11" s="156">
        <f>G11*12</f>
        <v/>
      </c>
      <c r="J11" s="156">
        <f>I11*(1+$J$8)</f>
        <v/>
      </c>
      <c r="K11" s="156">
        <f>J11*(1+$K$8)</f>
        <v/>
      </c>
      <c r="L11" s="145" t="n"/>
      <c r="M11" s="145" t="n"/>
      <c r="N11" s="145" t="n"/>
      <c r="O11" s="145" t="n"/>
      <c r="P11" s="145" t="n"/>
      <c r="Q11" s="145" t="n"/>
    </row>
    <row r="12" ht="12.75" customHeight="1" s="131">
      <c r="A12" s="137" t="n"/>
      <c r="B12" s="185" t="inlineStr">
        <is>
          <t>Car and Truck Expenses</t>
        </is>
      </c>
      <c r="C12" s="186" t="n"/>
      <c r="D12" s="186" t="n"/>
      <c r="E12" s="187" t="n"/>
      <c r="F12" s="145" t="n"/>
      <c r="G12" s="151" t="n">
        <v>0</v>
      </c>
      <c r="H12" s="156" t="n"/>
      <c r="I12" s="156">
        <f>G12*12</f>
        <v/>
      </c>
      <c r="J12" s="156">
        <f>I12*(1+$J$8)</f>
        <v/>
      </c>
      <c r="K12" s="156">
        <f>J12*(1+$K$8)</f>
        <v/>
      </c>
      <c r="L12" s="145" t="n"/>
      <c r="M12" s="145" t="n"/>
      <c r="N12" s="145" t="n"/>
      <c r="O12" s="145" t="n"/>
      <c r="P12" s="145" t="n"/>
      <c r="Q12" s="145" t="n"/>
    </row>
    <row r="13" ht="12.75" customHeight="1" s="131">
      <c r="A13" s="137" t="n"/>
      <c r="B13" s="185" t="inlineStr">
        <is>
          <t>Commissions and Fees</t>
        </is>
      </c>
      <c r="C13" s="186" t="n"/>
      <c r="D13" s="186" t="n"/>
      <c r="E13" s="187" t="n"/>
      <c r="F13" s="145" t="n"/>
      <c r="G13" s="151" t="n">
        <v>0</v>
      </c>
      <c r="H13" s="156" t="n"/>
      <c r="I13" s="156">
        <f>G13*12</f>
        <v/>
      </c>
      <c r="J13" s="156">
        <f>I13*(1+$J$8)</f>
        <v/>
      </c>
      <c r="K13" s="156">
        <f>J13*(1+$K$8)</f>
        <v/>
      </c>
      <c r="L13" s="145" t="n"/>
      <c r="M13" s="145" t="n"/>
      <c r="N13" s="145" t="n"/>
      <c r="O13" s="145" t="n"/>
      <c r="P13" s="145" t="n"/>
      <c r="Q13" s="145" t="n"/>
    </row>
    <row r="14" ht="12.75" customHeight="1" s="131">
      <c r="A14" s="137" t="n"/>
      <c r="B14" s="185" t="inlineStr">
        <is>
          <t>Contract Labor</t>
        </is>
      </c>
      <c r="C14" s="186" t="n"/>
      <c r="D14" s="186" t="n"/>
      <c r="E14" s="187" t="n"/>
      <c r="F14" s="145" t="n"/>
      <c r="G14" s="151" t="n">
        <v>0</v>
      </c>
      <c r="H14" s="156" t="n"/>
      <c r="I14" s="156">
        <f>G14*12</f>
        <v/>
      </c>
      <c r="J14" s="156">
        <f>I14*(1+$J$8)</f>
        <v/>
      </c>
      <c r="K14" s="156">
        <f>J14*(1+$K$8)</f>
        <v/>
      </c>
      <c r="L14" s="145" t="n"/>
      <c r="M14" s="145" t="n"/>
      <c r="N14" s="145" t="n"/>
      <c r="O14" s="145" t="n"/>
      <c r="P14" s="145" t="n"/>
      <c r="Q14" s="145" t="n"/>
    </row>
    <row r="15" ht="12.75" customHeight="1" s="131">
      <c r="A15" s="137" t="n"/>
      <c r="B15" s="185" t="inlineStr">
        <is>
          <t>Credit Card and Bank Charges</t>
        </is>
      </c>
      <c r="C15" s="186" t="n"/>
      <c r="D15" s="186" t="n"/>
      <c r="E15" s="187" t="n"/>
      <c r="F15" s="145" t="n"/>
      <c r="G15" s="151" t="n">
        <v>0</v>
      </c>
      <c r="H15" s="156" t="n"/>
      <c r="I15" s="156">
        <f>G15*12</f>
        <v/>
      </c>
      <c r="J15" s="156">
        <f>I15*(1+$J$8)</f>
        <v/>
      </c>
      <c r="K15" s="156">
        <f>J15*(1+$K$8)</f>
        <v/>
      </c>
      <c r="L15" s="145" t="n"/>
      <c r="M15" s="145" t="n"/>
      <c r="N15" s="145" t="n"/>
      <c r="O15" s="145" t="n"/>
      <c r="P15" s="145" t="n"/>
      <c r="Q15" s="145" t="n"/>
    </row>
    <row r="16" ht="12.75" customHeight="1" s="131">
      <c r="A16" s="137" t="n"/>
      <c r="B16" s="185" t="inlineStr">
        <is>
          <t>Customer Discounts and Refunds</t>
        </is>
      </c>
      <c r="C16" s="186" t="n"/>
      <c r="D16" s="186" t="n"/>
      <c r="E16" s="187" t="n"/>
      <c r="F16" s="176" t="n"/>
      <c r="G16" s="151" t="n">
        <v>0</v>
      </c>
      <c r="H16" s="156" t="n"/>
      <c r="I16" s="156">
        <f>G16*12</f>
        <v/>
      </c>
      <c r="J16" s="156">
        <f>I16*(1+$J$8)</f>
        <v/>
      </c>
      <c r="K16" s="156">
        <f>J16*(1+$K$8)</f>
        <v/>
      </c>
      <c r="L16" s="145" t="n"/>
      <c r="M16" s="145" t="n"/>
      <c r="N16" s="145" t="n"/>
      <c r="O16" s="145" t="n"/>
      <c r="P16" s="145" t="n"/>
      <c r="Q16" s="145" t="n"/>
    </row>
    <row r="17" ht="12.75" customHeight="1" s="131">
      <c r="A17" s="137" t="n"/>
      <c r="B17" s="185" t="inlineStr">
        <is>
          <t>Dues and Subscriptions</t>
        </is>
      </c>
      <c r="C17" s="186" t="n"/>
      <c r="D17" s="186" t="n"/>
      <c r="E17" s="187" t="n"/>
      <c r="F17" s="176" t="n"/>
      <c r="G17" s="151" t="n">
        <v>0</v>
      </c>
      <c r="H17" s="156" t="n"/>
      <c r="I17" s="156">
        <f>G17*12</f>
        <v/>
      </c>
      <c r="J17" s="156">
        <f>I17*(1+$J$8)</f>
        <v/>
      </c>
      <c r="K17" s="156">
        <f>J17*(1+$K$8)</f>
        <v/>
      </c>
      <c r="L17" s="145" t="n"/>
      <c r="M17" s="145" t="n"/>
      <c r="N17" s="145" t="n"/>
      <c r="O17" s="145" t="n"/>
      <c r="P17" s="145" t="n"/>
      <c r="Q17" s="145" t="n"/>
    </row>
    <row r="18" ht="12.75" customHeight="1" s="131">
      <c r="A18" s="137" t="n"/>
      <c r="B18" s="185" t="inlineStr">
        <is>
          <t>Entertainment</t>
        </is>
      </c>
      <c r="C18" s="186" t="n"/>
      <c r="D18" s="186" t="n"/>
      <c r="E18" s="187" t="n"/>
      <c r="F18" s="178" t="n"/>
      <c r="G18" s="151" t="n">
        <v>0</v>
      </c>
      <c r="H18" s="156" t="n"/>
      <c r="I18" s="156">
        <f>G18*12</f>
        <v/>
      </c>
      <c r="J18" s="156">
        <f>I18*(1+$J$8)</f>
        <v/>
      </c>
      <c r="K18" s="156">
        <f>J18*(1+$K$8)</f>
        <v/>
      </c>
      <c r="L18" s="145" t="n"/>
      <c r="M18" s="145" t="n"/>
      <c r="N18" s="145" t="n"/>
      <c r="O18" s="145" t="n"/>
      <c r="P18" s="145" t="n"/>
      <c r="Q18" s="145" t="n"/>
    </row>
    <row r="19" ht="12.75" customHeight="1" s="131">
      <c r="A19" s="137" t="n"/>
      <c r="B19" s="185" t="inlineStr">
        <is>
          <t>Insurance (Liability and Property)</t>
        </is>
      </c>
      <c r="C19" s="186" t="n"/>
      <c r="D19" s="186" t="n"/>
      <c r="E19" s="187" t="n"/>
      <c r="F19" s="145" t="n"/>
      <c r="G19" s="151" t="n">
        <v>0</v>
      </c>
      <c r="H19" s="156" t="n"/>
      <c r="I19" s="156">
        <f>G19*12</f>
        <v/>
      </c>
      <c r="J19" s="156">
        <f>I19*(1+$J$8)</f>
        <v/>
      </c>
      <c r="K19" s="156">
        <f>J19*(1+$K$8)</f>
        <v/>
      </c>
      <c r="L19" s="145" t="n"/>
      <c r="M19" s="145" t="n"/>
      <c r="N19" s="145" t="n"/>
      <c r="O19" s="145" t="n"/>
      <c r="P19" s="145" t="n"/>
      <c r="Q19" s="145" t="n"/>
    </row>
    <row r="20" ht="12.75" customHeight="1" s="131">
      <c r="A20" s="137" t="n"/>
      <c r="B20" s="185" t="inlineStr">
        <is>
          <t>Internet</t>
        </is>
      </c>
      <c r="C20" s="186" t="n"/>
      <c r="D20" s="186" t="n"/>
      <c r="E20" s="187" t="n"/>
      <c r="F20" s="145" t="n"/>
      <c r="G20" s="151" t="n">
        <v>0</v>
      </c>
      <c r="H20" s="156" t="n"/>
      <c r="I20" s="156">
        <f>G20*12</f>
        <v/>
      </c>
      <c r="J20" s="156">
        <f>I20*(1+$J$8)</f>
        <v/>
      </c>
      <c r="K20" s="156">
        <f>J20*(1+$K$8)</f>
        <v/>
      </c>
      <c r="L20" s="145" t="n"/>
      <c r="M20" s="145" t="n"/>
      <c r="N20" s="145" t="n"/>
      <c r="O20" s="145" t="n"/>
      <c r="P20" s="145" t="n"/>
      <c r="Q20" s="145" t="n"/>
    </row>
    <row r="21" ht="12.75" customHeight="1" s="131">
      <c r="A21" s="137" t="n"/>
      <c r="B21" s="185" t="inlineStr">
        <is>
          <t>Legal and Professional Fees</t>
        </is>
      </c>
      <c r="C21" s="186" t="n"/>
      <c r="D21" s="186" t="n"/>
      <c r="E21" s="187" t="n"/>
      <c r="F21" s="176" t="n"/>
      <c r="G21" s="151" t="n">
        <v>0</v>
      </c>
      <c r="H21" s="156" t="n"/>
      <c r="I21" s="156">
        <f>G21*12</f>
        <v/>
      </c>
      <c r="J21" s="156">
        <f>I21*(1+$J$8)</f>
        <v/>
      </c>
      <c r="K21" s="156">
        <f>J21*(1+$K$8)</f>
        <v/>
      </c>
      <c r="L21" s="145" t="n"/>
      <c r="M21" s="145" t="n"/>
      <c r="N21" s="145" t="n"/>
      <c r="O21" s="145" t="n"/>
      <c r="P21" s="145" t="n"/>
      <c r="Q21" s="145" t="n"/>
    </row>
    <row r="22" ht="12.75" customHeight="1" s="131">
      <c r="A22" s="137" t="n"/>
      <c r="B22" s="185" t="inlineStr">
        <is>
          <t>Office Expenses</t>
        </is>
      </c>
      <c r="C22" s="186" t="n"/>
      <c r="D22" s="186" t="n"/>
      <c r="E22" s="187" t="n"/>
      <c r="F22" s="178" t="n"/>
      <c r="G22" s="151" t="n">
        <v>0</v>
      </c>
      <c r="H22" s="156" t="n"/>
      <c r="I22" s="156">
        <f>G22*12</f>
        <v/>
      </c>
      <c r="J22" s="156">
        <f>I22*(1+$J$8)</f>
        <v/>
      </c>
      <c r="K22" s="156">
        <f>J22*(1+$K$8)</f>
        <v/>
      </c>
      <c r="L22" s="145" t="n"/>
      <c r="M22" s="145" t="n"/>
      <c r="N22" s="145" t="n"/>
      <c r="O22" s="145" t="n"/>
      <c r="P22" s="145" t="n"/>
      <c r="Q22" s="145" t="n"/>
    </row>
    <row r="23" ht="12.75" customHeight="1" s="131">
      <c r="A23" s="137" t="n"/>
      <c r="B23" s="185" t="inlineStr">
        <is>
          <t>Postage and Delivery</t>
        </is>
      </c>
      <c r="C23" s="186" t="n"/>
      <c r="D23" s="186" t="n"/>
      <c r="E23" s="187" t="n"/>
      <c r="F23" s="145" t="n"/>
      <c r="G23" s="151" t="n">
        <v>0</v>
      </c>
      <c r="H23" s="156" t="n"/>
      <c r="I23" s="156">
        <f>G23*12</f>
        <v/>
      </c>
      <c r="J23" s="156">
        <f>I23*(1+$J$8)</f>
        <v/>
      </c>
      <c r="K23" s="156">
        <f>J23*(1+$K$8)</f>
        <v/>
      </c>
      <c r="L23" s="145" t="n"/>
      <c r="M23" s="145" t="n"/>
      <c r="N23" s="145" t="n"/>
      <c r="O23" s="145" t="n"/>
      <c r="P23" s="145" t="n"/>
      <c r="Q23" s="145" t="n"/>
    </row>
    <row r="24" ht="12.75" customHeight="1" s="131">
      <c r="A24" s="137" t="n"/>
      <c r="B24" s="185" t="inlineStr">
        <is>
          <t>Rent (on business property)</t>
        </is>
      </c>
      <c r="C24" s="186" t="n"/>
      <c r="D24" s="186" t="n"/>
      <c r="E24" s="187" t="n"/>
      <c r="F24" s="145" t="n"/>
      <c r="G24" s="151" t="n">
        <v>0</v>
      </c>
      <c r="H24" s="156" t="n"/>
      <c r="I24" s="156">
        <f>G24*12</f>
        <v/>
      </c>
      <c r="J24" s="156">
        <f>I24*(1+$J$8)</f>
        <v/>
      </c>
      <c r="K24" s="156">
        <f>J24*(1+$K$8)</f>
        <v/>
      </c>
      <c r="L24" s="145" t="n"/>
      <c r="M24" s="145" t="n"/>
      <c r="N24" s="145" t="n"/>
      <c r="O24" s="145" t="n"/>
      <c r="P24" s="145" t="n"/>
      <c r="Q24" s="145" t="n"/>
    </row>
    <row r="25" ht="12.75" customHeight="1" s="131">
      <c r="A25" s="137" t="n"/>
      <c r="B25" s="185" t="inlineStr">
        <is>
          <t>Rent of Vehicles and Equipment</t>
        </is>
      </c>
      <c r="C25" s="186" t="n"/>
      <c r="D25" s="186" t="n"/>
      <c r="E25" s="187" t="n"/>
      <c r="F25" s="145" t="n"/>
      <c r="G25" s="151" t="n">
        <v>0</v>
      </c>
      <c r="H25" s="156" t="n"/>
      <c r="I25" s="156">
        <f>G25*12</f>
        <v/>
      </c>
      <c r="J25" s="156">
        <f>I25*(1+$J$8)</f>
        <v/>
      </c>
      <c r="K25" s="156">
        <f>J25*(1+$K$8)</f>
        <v/>
      </c>
      <c r="L25" s="145" t="n"/>
      <c r="M25" s="145" t="n"/>
      <c r="N25" s="145" t="n"/>
      <c r="O25" s="145" t="n"/>
      <c r="P25" s="145" t="n"/>
      <c r="Q25" s="145" t="n"/>
    </row>
    <row r="26" ht="12.75" customHeight="1" s="131">
      <c r="A26" s="137" t="n"/>
      <c r="B26" s="185" t="inlineStr">
        <is>
          <t>Repairs and Maintenance</t>
        </is>
      </c>
      <c r="C26" s="186" t="n"/>
      <c r="D26" s="186" t="n"/>
      <c r="E26" s="187" t="n"/>
      <c r="F26" s="145" t="n"/>
      <c r="G26" s="151" t="n">
        <v>0</v>
      </c>
      <c r="H26" s="156" t="n"/>
      <c r="I26" s="156">
        <f>G26*12</f>
        <v/>
      </c>
      <c r="J26" s="156">
        <f>I26*(1+$J$8)</f>
        <v/>
      </c>
      <c r="K26" s="156">
        <f>J26*(1+$K$8)</f>
        <v/>
      </c>
      <c r="L26" s="145" t="n"/>
      <c r="M26" s="145" t="n"/>
      <c r="N26" s="145" t="n"/>
      <c r="O26" s="145" t="n"/>
      <c r="P26" s="145" t="n"/>
      <c r="Q26" s="145" t="n"/>
    </row>
    <row r="27" ht="12.75" customHeight="1" s="131">
      <c r="A27" s="137" t="n"/>
      <c r="B27" s="185" t="inlineStr">
        <is>
          <t>Supplies</t>
        </is>
      </c>
      <c r="C27" s="186" t="n"/>
      <c r="D27" s="186" t="n"/>
      <c r="E27" s="187" t="n"/>
      <c r="F27" s="145" t="n"/>
      <c r="G27" s="151" t="n">
        <v>0</v>
      </c>
      <c r="H27" s="156" t="n"/>
      <c r="I27" s="156">
        <f>G27*12</f>
        <v/>
      </c>
      <c r="J27" s="156">
        <f>I27*(1+$J$8)</f>
        <v/>
      </c>
      <c r="K27" s="156">
        <f>J27*(1+$K$8)</f>
        <v/>
      </c>
      <c r="L27" s="145" t="n"/>
      <c r="M27" s="145" t="n"/>
      <c r="N27" s="145" t="n"/>
      <c r="O27" s="145" t="n"/>
      <c r="P27" s="145" t="n"/>
      <c r="Q27" s="145" t="n"/>
    </row>
    <row r="28" ht="12.75" customHeight="1" s="131">
      <c r="A28" s="137" t="n"/>
      <c r="B28" s="185" t="inlineStr">
        <is>
          <t>Telephone and Communications</t>
        </is>
      </c>
      <c r="C28" s="186" t="n"/>
      <c r="D28" s="186" t="n"/>
      <c r="E28" s="187" t="n"/>
      <c r="F28" s="145" t="n"/>
      <c r="G28" s="151" t="n">
        <v>0</v>
      </c>
      <c r="H28" s="156" t="n"/>
      <c r="I28" s="156">
        <f>G28*12</f>
        <v/>
      </c>
      <c r="J28" s="156">
        <f>I28*(1+$J$8)</f>
        <v/>
      </c>
      <c r="K28" s="156">
        <f>J28*(1+$K$8)</f>
        <v/>
      </c>
      <c r="L28" s="145" t="n"/>
      <c r="M28" s="145" t="n"/>
      <c r="N28" s="145" t="n"/>
      <c r="O28" s="145" t="n"/>
      <c r="P28" s="145" t="n"/>
      <c r="Q28" s="145" t="n"/>
    </row>
    <row r="29" ht="12.75" customHeight="1" s="131">
      <c r="A29" s="137" t="n"/>
      <c r="B29" s="185" t="inlineStr">
        <is>
          <t>Travel</t>
        </is>
      </c>
      <c r="C29" s="186" t="n"/>
      <c r="D29" s="186" t="n"/>
      <c r="E29" s="187" t="n"/>
      <c r="F29" s="145" t="n"/>
      <c r="G29" s="151" t="n">
        <v>0</v>
      </c>
      <c r="H29" s="156" t="n"/>
      <c r="I29" s="156">
        <f>G29*12</f>
        <v/>
      </c>
      <c r="J29" s="156">
        <f>I29*(1+$J$8)</f>
        <v/>
      </c>
      <c r="K29" s="156">
        <f>J29*(1+$K$8)</f>
        <v/>
      </c>
      <c r="L29" s="145" t="n"/>
      <c r="M29" s="145" t="n"/>
      <c r="N29" s="145" t="n"/>
      <c r="O29" s="145" t="n"/>
      <c r="P29" s="145" t="n"/>
      <c r="Q29" s="145" t="n"/>
    </row>
    <row r="30" ht="12.75" customHeight="1" s="131">
      <c r="A30" s="137" t="n"/>
      <c r="B30" s="185" t="inlineStr">
        <is>
          <t>Utilities</t>
        </is>
      </c>
      <c r="C30" s="186" t="n"/>
      <c r="D30" s="186" t="n"/>
      <c r="E30" s="187" t="n"/>
      <c r="F30" s="145" t="n"/>
      <c r="G30" s="181" t="n">
        <v>0</v>
      </c>
      <c r="H30" s="156" t="n"/>
      <c r="I30" s="162">
        <f>G30*12</f>
        <v/>
      </c>
      <c r="J30" s="162">
        <f>I30*(1+$J$8)</f>
        <v/>
      </c>
      <c r="K30" s="162">
        <f>J30*(1+$K$8)</f>
        <v/>
      </c>
      <c r="L30" s="145" t="n"/>
      <c r="M30" s="145" t="n"/>
      <c r="N30" s="145" t="n"/>
      <c r="O30" s="145" t="n"/>
      <c r="P30" s="145" t="n"/>
      <c r="Q30" s="145" t="n"/>
    </row>
    <row r="31" ht="12.75" customHeight="1" s="131">
      <c r="A31" s="137" t="inlineStr">
        <is>
          <t>Total Expenses</t>
        </is>
      </c>
      <c r="B31" s="137" t="n"/>
      <c r="C31" s="137" t="n"/>
      <c r="D31" s="137" t="n"/>
      <c r="E31" s="145" t="n"/>
      <c r="F31" s="145" t="n"/>
      <c r="G31" s="156">
        <f>SUM(G11:G30)</f>
        <v/>
      </c>
      <c r="H31" s="156" t="n"/>
      <c r="I31" s="156">
        <f>SUM(I11:I30)</f>
        <v/>
      </c>
      <c r="J31" s="156">
        <f>SUM(J11:J30)</f>
        <v/>
      </c>
      <c r="K31" s="156">
        <f>SUM(K11:K30)</f>
        <v/>
      </c>
      <c r="L31" s="145" t="n"/>
      <c r="M31" s="145" t="n"/>
      <c r="N31" s="145" t="n"/>
      <c r="O31" s="145" t="n"/>
      <c r="P31" s="145" t="n"/>
      <c r="Q31" s="145"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row>
    <row r="33" ht="12.75" customHeight="1" s="131">
      <c r="A33" s="137" t="inlineStr">
        <is>
          <t>Other Expenses</t>
        </is>
      </c>
      <c r="B33" s="137" t="n"/>
      <c r="C33" s="137" t="n"/>
      <c r="D33" s="137" t="n"/>
      <c r="E33" s="145" t="n"/>
      <c r="F33" s="145" t="n"/>
      <c r="G33" s="156" t="n"/>
      <c r="H33" s="156" t="n"/>
      <c r="I33" s="156" t="n"/>
      <c r="J33" s="156" t="n"/>
      <c r="K33" s="156" t="n"/>
      <c r="L33" s="145" t="n"/>
      <c r="M33" s="145" t="n"/>
      <c r="N33" s="145" t="n"/>
      <c r="O33" s="145" t="n"/>
      <c r="P33" s="145" t="n"/>
      <c r="Q33" s="145" t="n"/>
    </row>
    <row r="34" ht="12.75" customHeight="1" s="131">
      <c r="A34" s="137" t="n"/>
      <c r="B34" s="137" t="inlineStr">
        <is>
          <t>Depreciation</t>
        </is>
      </c>
      <c r="C34" s="137" t="n"/>
      <c r="D34" s="137" t="n"/>
      <c r="E34" s="145" t="n"/>
      <c r="F34" s="145" t="n"/>
      <c r="G34" s="156">
        <f>('1. Required Start-Up Funds'!E9/'1. Required Start-Up Funds'!H9)/12+('1. Required Start-Up Funds'!E10/'1. Required Start-Up Funds'!H10)/12+('1. Required Start-Up Funds'!E11/'1. Required Start-Up Funds'!H11)/12+('1. Required Start-Up Funds'!E12/'1. Required Start-Up Funds'!H12)/12+('1. Required Start-Up Funds'!E13/'1. Required Start-Up Funds'!H13)/12+('1. Required Start-Up Funds'!E14/'1. Required Start-Up Funds'!H14)/12</f>
        <v/>
      </c>
      <c r="H34" s="156" t="n"/>
      <c r="I34" s="156">
        <f>G34*12</f>
        <v/>
      </c>
      <c r="J34" s="156">
        <f>I34</f>
        <v/>
      </c>
      <c r="K34" s="156">
        <f>J34</f>
        <v/>
      </c>
      <c r="L34" s="145" t="n"/>
      <c r="M34" s="145" t="n"/>
      <c r="N34" s="145" t="n"/>
      <c r="O34" s="145" t="n"/>
      <c r="P34" s="145" t="n"/>
      <c r="Q34" s="145" t="n"/>
    </row>
    <row r="35" ht="12.75" customHeight="1" s="131">
      <c r="A35" s="137" t="n"/>
      <c r="B35" s="137" t="inlineStr">
        <is>
          <t>Interest</t>
        </is>
      </c>
      <c r="C35" s="137" t="n"/>
      <c r="D35" s="137" t="n"/>
      <c r="E35" s="145" t="n"/>
      <c r="F35" s="145" t="n"/>
      <c r="G35" s="156" t="n"/>
      <c r="H35" s="156" t="n"/>
      <c r="I35" s="156" t="n"/>
      <c r="J35" s="156" t="n"/>
      <c r="K35" s="156" t="n"/>
      <c r="L35" s="145" t="n"/>
      <c r="M35" s="145" t="n"/>
      <c r="N35" s="145" t="n"/>
      <c r="O35" s="145" t="n"/>
      <c r="P35" s="145" t="n"/>
      <c r="Q35" s="145" t="n"/>
    </row>
    <row r="36" ht="12.75" customHeight="1" s="131">
      <c r="A36" s="137" t="n"/>
      <c r="B36" s="137" t="n"/>
      <c r="C36" s="137" t="inlineStr">
        <is>
          <t>Commercial Loan</t>
        </is>
      </c>
      <c r="D36" s="137" t="n"/>
      <c r="E36" s="145" t="n"/>
      <c r="F36" s="145" t="n"/>
      <c r="G36" s="156">
        <f>'20. Amoritization Schedule'!S15/12</f>
        <v/>
      </c>
      <c r="H36" s="156" t="n"/>
      <c r="I36" s="156">
        <f>'20. Amoritization Schedule'!S15</f>
        <v/>
      </c>
      <c r="J36" s="156">
        <f>'20. Amoritization Schedule'!S19</f>
        <v/>
      </c>
      <c r="K36" s="156">
        <f>'20. Amoritization Schedule'!S23</f>
        <v/>
      </c>
      <c r="L36" s="145" t="n"/>
      <c r="M36" s="145" t="n"/>
      <c r="N36" s="145" t="n"/>
      <c r="O36" s="145" t="n"/>
      <c r="P36" s="145" t="n"/>
      <c r="Q36" s="145" t="n"/>
    </row>
    <row r="37" ht="12.75" customHeight="1" s="131">
      <c r="A37" s="137" t="n"/>
      <c r="B37" s="137" t="n"/>
      <c r="C37" s="137" t="inlineStr">
        <is>
          <t>Commercial Mortgage</t>
        </is>
      </c>
      <c r="D37" s="137" t="n"/>
      <c r="E37" s="145" t="n"/>
      <c r="F37" s="145" t="n"/>
      <c r="G37" s="156">
        <f>'20. Amoritization Schedule'!S35/12</f>
        <v/>
      </c>
      <c r="H37" s="156" t="n"/>
      <c r="I37" s="156">
        <f>'20. Amoritization Schedule'!S35</f>
        <v/>
      </c>
      <c r="J37" s="156">
        <f>'20. Amoritization Schedule'!S39</f>
        <v/>
      </c>
      <c r="K37" s="156">
        <f>'20. Amoritization Schedule'!S43</f>
        <v/>
      </c>
      <c r="L37" s="145" t="n"/>
      <c r="M37" s="145" t="n"/>
      <c r="N37" s="145" t="n"/>
      <c r="O37" s="145" t="n"/>
      <c r="P37" s="145" t="n"/>
      <c r="Q37" s="145" t="n"/>
    </row>
    <row r="38" ht="12.75" customHeight="1" s="131">
      <c r="A38" s="137" t="n"/>
      <c r="B38" s="137" t="n"/>
      <c r="C38" s="137" t="inlineStr">
        <is>
          <t>Line of Credit</t>
        </is>
      </c>
      <c r="D38" s="137" t="n"/>
      <c r="E38" s="145" t="n"/>
      <c r="F38" s="145" t="n"/>
      <c r="G38" s="162">
        <f>'8. Income Statement'!Q62/12</f>
        <v/>
      </c>
      <c r="H38" s="156" t="n"/>
      <c r="I38" s="162">
        <f>'8. Income Statement'!Q62</f>
        <v/>
      </c>
      <c r="J38" s="162" t="n">
        <v>0</v>
      </c>
      <c r="K38" s="162" t="n">
        <v>0</v>
      </c>
      <c r="L38" s="145" t="n"/>
      <c r="M38" s="145" t="n"/>
      <c r="N38" s="145" t="n"/>
      <c r="O38" s="145" t="n"/>
      <c r="P38" s="145" t="n"/>
      <c r="Q38" s="145" t="n"/>
    </row>
    <row r="39" ht="12.75" customHeight="1" s="131">
      <c r="A39" s="137" t="inlineStr">
        <is>
          <t>Total Other Expenses</t>
        </is>
      </c>
      <c r="B39" s="137" t="n"/>
      <c r="C39" s="137" t="n"/>
      <c r="D39" s="137" t="n"/>
      <c r="E39" s="145" t="n"/>
      <c r="F39" s="145" t="n"/>
      <c r="G39" s="182">
        <f>SUM(G34:G38)</f>
        <v/>
      </c>
      <c r="H39" s="182" t="n"/>
      <c r="I39" s="182">
        <f>SUM(I34:I38)</f>
        <v/>
      </c>
      <c r="J39" s="182">
        <f>SUM(J34:J38)</f>
        <v/>
      </c>
      <c r="K39" s="182">
        <f>SUM(K34:K38)</f>
        <v/>
      </c>
      <c r="L39" s="145" t="n"/>
      <c r="M39" s="145" t="n"/>
      <c r="N39" s="145" t="n"/>
      <c r="O39" s="145" t="n"/>
      <c r="P39" s="145" t="n"/>
      <c r="Q39" s="145" t="n"/>
    </row>
    <row r="40" ht="18" customHeight="1" s="131">
      <c r="A40" s="137" t="n"/>
      <c r="B40" s="137" t="n"/>
      <c r="C40" s="137" t="n"/>
      <c r="D40" s="137" t="n"/>
      <c r="E40" s="145" t="n"/>
      <c r="F40" s="145" t="n"/>
      <c r="G40" s="155" t="n"/>
      <c r="H40" s="150" t="n"/>
      <c r="I40" s="155" t="n"/>
      <c r="J40" s="155" t="n"/>
      <c r="K40" s="155" t="n"/>
      <c r="L40" s="145" t="n"/>
      <c r="M40" s="145" t="n"/>
      <c r="N40" s="145" t="n"/>
      <c r="O40" s="145" t="n"/>
      <c r="P40" s="145" t="n"/>
      <c r="Q40" s="145" t="n"/>
    </row>
    <row r="41" ht="18" customHeight="1" s="131">
      <c r="A41" s="137" t="inlineStr">
        <is>
          <t>Total Fixed Operating Expenses</t>
        </is>
      </c>
      <c r="B41" s="137" t="n"/>
      <c r="C41" s="137" t="n"/>
      <c r="D41" s="137" t="n"/>
      <c r="E41" s="145" t="n"/>
      <c r="F41" s="145" t="n"/>
      <c r="G41" s="184">
        <f>G31+G39</f>
        <v/>
      </c>
      <c r="H41" s="156" t="n"/>
      <c r="I41" s="184">
        <f>I31+I39</f>
        <v/>
      </c>
      <c r="J41" s="184">
        <f>J31+J39</f>
        <v/>
      </c>
      <c r="K41" s="184">
        <f>K31+K39</f>
        <v/>
      </c>
      <c r="L41" s="145" t="n"/>
      <c r="M41" s="145" t="n"/>
      <c r="N41" s="145" t="n"/>
      <c r="O41" s="145" t="n"/>
      <c r="P41" s="145" t="n"/>
      <c r="Q41" s="145" t="n"/>
    </row>
    <row r="42" ht="12.75" customHeight="1" s="131">
      <c r="A42" s="137" t="n"/>
      <c r="B42" s="137" t="n"/>
      <c r="C42" s="137" t="n"/>
      <c r="D42" s="137" t="n"/>
      <c r="E42" s="145" t="n"/>
      <c r="F42" s="145" t="n"/>
      <c r="G42" s="145" t="n"/>
      <c r="H42" s="145" t="n"/>
      <c r="I42" s="145" t="n"/>
      <c r="J42" s="145" t="n"/>
      <c r="K42" s="145" t="n"/>
      <c r="L42" s="145" t="n"/>
      <c r="M42" s="145" t="n"/>
      <c r="N42" s="145" t="n"/>
      <c r="O42" s="145" t="n"/>
      <c r="P42" s="145" t="n"/>
      <c r="Q42" s="145" t="n"/>
    </row>
    <row r="43" ht="12.75" customHeight="1" s="131">
      <c r="E43" s="145" t="n"/>
      <c r="F43" s="145" t="n"/>
      <c r="G43" s="145" t="n"/>
      <c r="H43" s="145" t="n"/>
      <c r="I43" s="145" t="n"/>
      <c r="J43" s="145" t="n"/>
      <c r="K43" s="145" t="n"/>
      <c r="L43" s="145" t="n"/>
      <c r="M43" s="145" t="n"/>
      <c r="N43" s="145" t="n"/>
      <c r="O43" s="145" t="n"/>
      <c r="P43" s="145" t="n"/>
      <c r="Q43" s="145" t="n"/>
    </row>
    <row r="44" ht="12.75" customHeight="1" s="131">
      <c r="E44" s="145" t="n"/>
      <c r="F44" s="145" t="n"/>
      <c r="G44" s="145" t="n"/>
      <c r="H44" s="145" t="n"/>
      <c r="I44" s="145" t="n"/>
      <c r="J44" s="145" t="n"/>
      <c r="K44" s="145" t="n"/>
      <c r="L44" s="145" t="n"/>
      <c r="M44" s="145" t="n"/>
      <c r="N44" s="145" t="n"/>
      <c r="O44" s="145" t="n"/>
      <c r="P44" s="145" t="n"/>
      <c r="Q44" s="145" t="n"/>
    </row>
    <row r="45" ht="12.75" customHeight="1" s="131">
      <c r="E45" s="145" t="n"/>
      <c r="F45" s="145" t="n"/>
      <c r="G45" s="145" t="n"/>
      <c r="H45" s="145" t="n"/>
      <c r="I45" s="145" t="n"/>
      <c r="J45" s="145" t="n"/>
      <c r="K45" s="145" t="n"/>
      <c r="L45" s="145" t="n"/>
      <c r="M45" s="145" t="n"/>
      <c r="N45" s="145" t="n"/>
      <c r="O45" s="145" t="n"/>
      <c r="P45" s="145" t="n"/>
      <c r="Q45" s="145" t="n"/>
    </row>
    <row r="46" ht="12.75" customHeight="1" s="131">
      <c r="E46" s="145" t="n"/>
      <c r="F46" s="145" t="n"/>
      <c r="G46" s="145" t="n"/>
      <c r="H46" s="145" t="n"/>
      <c r="I46" s="145" t="n"/>
      <c r="J46" s="145" t="n"/>
      <c r="K46" s="145" t="n"/>
      <c r="L46" s="145" t="n"/>
      <c r="M46" s="145" t="n"/>
      <c r="N46" s="145" t="n"/>
      <c r="O46" s="145" t="n"/>
      <c r="P46" s="145" t="n"/>
      <c r="Q46" s="145" t="n"/>
    </row>
    <row r="47" ht="12.75" customHeight="1" s="131">
      <c r="E47" s="145" t="n"/>
      <c r="F47" s="145" t="n"/>
      <c r="G47" s="145" t="n"/>
      <c r="H47" s="145" t="n"/>
      <c r="I47" s="145" t="n"/>
      <c r="J47" s="145" t="n"/>
      <c r="K47" s="145" t="n"/>
      <c r="L47" s="145" t="n"/>
      <c r="M47" s="145" t="n"/>
      <c r="N47" s="145" t="n"/>
      <c r="O47" s="145" t="n"/>
      <c r="P47" s="145" t="n"/>
      <c r="Q47" s="145" t="n"/>
    </row>
    <row r="48" ht="12.75" customHeight="1" s="131">
      <c r="E48" s="145" t="n"/>
      <c r="F48" s="145" t="n"/>
      <c r="G48" s="145" t="n"/>
      <c r="H48" s="145" t="n"/>
      <c r="I48" s="145" t="n"/>
      <c r="J48" s="145" t="n"/>
      <c r="K48" s="145" t="n"/>
      <c r="L48" s="145" t="n"/>
      <c r="M48" s="145" t="n"/>
      <c r="N48" s="145" t="n"/>
      <c r="O48" s="145" t="n"/>
      <c r="P48" s="145" t="n"/>
      <c r="Q48" s="145" t="n"/>
    </row>
    <row r="49" ht="12.75" customHeight="1" s="131">
      <c r="E49" s="145" t="n"/>
      <c r="F49" s="145" t="n"/>
      <c r="G49" s="145" t="n"/>
      <c r="H49" s="145" t="n"/>
      <c r="I49" s="145" t="n"/>
      <c r="J49" s="145" t="n"/>
      <c r="K49" s="145" t="n"/>
      <c r="L49" s="145" t="n"/>
      <c r="M49" s="145" t="n"/>
      <c r="N49" s="145" t="n"/>
      <c r="O49" s="145" t="n"/>
      <c r="P49" s="145" t="n"/>
      <c r="Q49" s="145" t="n"/>
    </row>
    <row r="50" ht="12.75" customHeight="1" s="131">
      <c r="E50" s="145" t="n"/>
      <c r="F50" s="145" t="n"/>
      <c r="G50" s="145" t="n"/>
      <c r="H50" s="145" t="n"/>
      <c r="I50" s="145" t="n"/>
      <c r="J50" s="145" t="n"/>
      <c r="K50" s="145" t="n"/>
      <c r="L50" s="145" t="n"/>
      <c r="M50" s="145" t="n"/>
      <c r="N50" s="145" t="n"/>
      <c r="O50" s="145" t="n"/>
      <c r="P50" s="145" t="n"/>
      <c r="Q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tabColor rgb="FFFFFF99"/>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90" t="inlineStr">
        <is>
          <t>Month 1</t>
        </is>
      </c>
      <c r="I6" s="190" t="inlineStr">
        <is>
          <t>Month 2</t>
        </is>
      </c>
      <c r="J6" s="190" t="inlineStr">
        <is>
          <t>Month 3</t>
        </is>
      </c>
      <c r="K6" s="190" t="inlineStr">
        <is>
          <t>Month 4</t>
        </is>
      </c>
      <c r="L6" s="190" t="inlineStr">
        <is>
          <t>Month 5</t>
        </is>
      </c>
      <c r="M6" s="190" t="inlineStr">
        <is>
          <t>Month 6</t>
        </is>
      </c>
      <c r="N6" s="190" t="inlineStr">
        <is>
          <t>Month 7</t>
        </is>
      </c>
      <c r="O6" s="190" t="inlineStr">
        <is>
          <t>Month 8</t>
        </is>
      </c>
      <c r="P6" s="190" t="inlineStr">
        <is>
          <t>Month 9</t>
        </is>
      </c>
      <c r="Q6" s="190" t="inlineStr">
        <is>
          <t>Month 10</t>
        </is>
      </c>
      <c r="R6" s="190" t="inlineStr">
        <is>
          <t>Month 11</t>
        </is>
      </c>
      <c r="S6" s="190" t="inlineStr">
        <is>
          <t>Month 12</t>
        </is>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A</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t="n">
        <v>0.5</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B</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IF($E$15=0,H36,(1+$E$37)*H36)</f>
        <v/>
      </c>
      <c r="I37" s="200">
        <f>IF($E$15=0,I36,(1+$E$37)*I36)</f>
        <v/>
      </c>
      <c r="J37" s="200">
        <f>IF($E$15=0,J36,(1+$E$37)*J36)</f>
        <v/>
      </c>
      <c r="K37" s="200">
        <f>IF($E$15=0,K36,(1+$E$37)*K36)</f>
        <v/>
      </c>
      <c r="L37" s="200">
        <f>IF($E$15=0,L36,(1+$E$37)*L36)</f>
        <v/>
      </c>
      <c r="M37" s="200">
        <f>IF($E$15=0,M36,(1+$E$37)*M36)</f>
        <v/>
      </c>
      <c r="N37" s="200">
        <f>IF($E$15=0,N36,(1+$E$37)*N36)</f>
        <v/>
      </c>
      <c r="O37" s="200">
        <f>IF($E$15=0,O36,(1+$E$37)*O36)</f>
        <v/>
      </c>
      <c r="P37" s="200">
        <f>IF($E$15=0,P36,(1+$E$37)*P36)</f>
        <v/>
      </c>
      <c r="Q37" s="200">
        <f>IF($E$15=0,Q36,(1+$E$37)*Q36)</f>
        <v/>
      </c>
      <c r="R37" s="200">
        <f>IF($E$15=0,R36,(1+$E$37)*R36)</f>
        <v/>
      </c>
      <c r="S37" s="200">
        <f>IF($E$15=0,S36,(1+$E$37)*S36)</f>
        <v/>
      </c>
      <c r="T37" s="182">
        <f>SUM(H37:S37)</f>
        <v/>
      </c>
    </row>
    <row r="38" outlineLevel="1" ht="12.75" customHeight="1" s="131">
      <c r="A38" s="145" t="n"/>
      <c r="C38" s="137" t="inlineStr">
        <is>
          <t>Year Three Growth</t>
        </is>
      </c>
      <c r="D38" s="145" t="n"/>
      <c r="E38" s="198" t="n">
        <v>0.1</v>
      </c>
      <c r="F38" s="189" t="n"/>
      <c r="G38" s="193" t="n"/>
      <c r="H38" s="200">
        <f>IF($E$16=0,H37,(1+$E$38)*H37)</f>
        <v/>
      </c>
      <c r="I38" s="200">
        <f>IF($E$16=0,I37,(1+$E$38)*I37)</f>
        <v/>
      </c>
      <c r="J38" s="200">
        <f>IF($E$16=0,J37,(1+$E$38)*J37)</f>
        <v/>
      </c>
      <c r="K38" s="200">
        <f>IF($E$16=0,K37,(1+$E$38)*K37)</f>
        <v/>
      </c>
      <c r="L38" s="200">
        <f>IF($E$16=0,L37,(1+$E$38)*L37)</f>
        <v/>
      </c>
      <c r="M38" s="200">
        <f>IF($E$16=0,M37,(1+$E$38)*M37)</f>
        <v/>
      </c>
      <c r="N38" s="200">
        <f>IF($E$16=0,N37,(1+$E$38)*N37)</f>
        <v/>
      </c>
      <c r="O38" s="200">
        <f>IF($E$16=0,O37,(1+$E$38)*O37)</f>
        <v/>
      </c>
      <c r="P38" s="200">
        <f>IF($E$16=0,P37,(1+$E$38)*P37)</f>
        <v/>
      </c>
      <c r="Q38" s="200">
        <f>IF($E$16=0,Q37,(1+$E$38)*Q37)</f>
        <v/>
      </c>
      <c r="R38" s="200">
        <f>IF($E$16=0,R37,(1+$E$38)*R37)</f>
        <v/>
      </c>
      <c r="S38" s="200">
        <f>IF($E$16=0,S37,(1+$E$38)*S37)</f>
        <v/>
      </c>
      <c r="T38" s="182">
        <f>SUM(H38:S38)</f>
        <v/>
      </c>
    </row>
    <row r="39" outlineLevel="2" ht="12.75" customHeight="1" s="131">
      <c r="A39" s="145" t="n"/>
      <c r="B39" s="137" t="inlineStr">
        <is>
          <t>Fixed Expense Allocation</t>
        </is>
      </c>
      <c r="D39" s="145" t="n"/>
      <c r="E39" s="198">
        <f>(1-E17)/3</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tabColor rgb="FFCCFFCC"/>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 - Page 2</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72">
        <f>'4. Projected Sales Forecast'!H6</f>
        <v/>
      </c>
      <c r="I6" s="172">
        <f>'4. Projected Sales Forecast'!I6</f>
        <v/>
      </c>
      <c r="J6" s="172">
        <f>'4. Projected Sales Forecast'!J6</f>
        <v/>
      </c>
      <c r="K6" s="172">
        <f>'4. Projected Sales Forecast'!K6</f>
        <v/>
      </c>
      <c r="L6" s="172">
        <f>'4. Projected Sales Forecast'!L6</f>
        <v/>
      </c>
      <c r="M6" s="172">
        <f>'4. Projected Sales Forecast'!M6</f>
        <v/>
      </c>
      <c r="N6" s="172">
        <f>'4. Projected Sales Forecast'!N6</f>
        <v/>
      </c>
      <c r="O6" s="172">
        <f>'4. Projected Sales Forecast'!O6</f>
        <v/>
      </c>
      <c r="P6" s="172">
        <f>'4. Projected Sales Forecast'!P6</f>
        <v/>
      </c>
      <c r="Q6" s="172">
        <f>'4. Projected Sales Forecast'!Q6</f>
        <v/>
      </c>
      <c r="R6" s="172">
        <f>'4. Projected Sales Forecast'!R6</f>
        <v/>
      </c>
      <c r="S6" s="172">
        <f>'4. Projected Sales Forecast'!S6</f>
        <v/>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C</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f>(1-('4. Projected Sales Forecast'!E17+'4. Projected Sales Forecast'!E39))/2</f>
        <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D</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IF($E$15=0,H36,(1+$E$37)*H36)</f>
        <v/>
      </c>
      <c r="I37" s="200">
        <f>IF($E$15=0,I36,(1+$E$37)*I36)</f>
        <v/>
      </c>
      <c r="J37" s="200">
        <f>IF($E$15=0,J36,(1+$E$37)*J36)</f>
        <v/>
      </c>
      <c r="K37" s="200">
        <f>IF($E$15=0,K36,(1+$E$37)*K36)</f>
        <v/>
      </c>
      <c r="L37" s="200">
        <f>IF($E$15=0,L36,(1+$E$37)*L36)</f>
        <v/>
      </c>
      <c r="M37" s="200">
        <f>IF($E$15=0,M36,(1+$E$37)*M36)</f>
        <v/>
      </c>
      <c r="N37" s="200">
        <f>IF($E$15=0,N36,(1+$E$37)*N36)</f>
        <v/>
      </c>
      <c r="O37" s="200">
        <f>IF($E$15=0,O36,(1+$E$37)*O36)</f>
        <v/>
      </c>
      <c r="P37" s="200">
        <f>IF($E$15=0,P36,(1+$E$37)*P36)</f>
        <v/>
      </c>
      <c r="Q37" s="200">
        <f>IF($E$15=0,Q36,(1+$E$37)*Q36)</f>
        <v/>
      </c>
      <c r="R37" s="200">
        <f>IF($E$15=0,R36,(1+$E$37)*R36)</f>
        <v/>
      </c>
      <c r="S37" s="200">
        <f>IF($E$15=0,S36,(1+$E$37)*S36)</f>
        <v/>
      </c>
      <c r="T37" s="182">
        <f>SUM(H37:S37)</f>
        <v/>
      </c>
    </row>
    <row r="38" outlineLevel="1" ht="12.75" customHeight="1" s="131">
      <c r="A38" s="145" t="n"/>
      <c r="C38" s="137" t="inlineStr">
        <is>
          <t>Year Three Growth</t>
        </is>
      </c>
      <c r="D38" s="145" t="n"/>
      <c r="E38" s="198" t="n">
        <v>0.1</v>
      </c>
      <c r="F38" s="189" t="n"/>
      <c r="G38" s="193" t="n"/>
      <c r="H38" s="200">
        <f>IF($E$16=0,H37,(1+$E$38)*H37)</f>
        <v/>
      </c>
      <c r="I38" s="200">
        <f>IF($E$16=0,I37,(1+$E$38)*I37)</f>
        <v/>
      </c>
      <c r="J38" s="200">
        <f>IF($E$16=0,J37,(1+$E$38)*J37)</f>
        <v/>
      </c>
      <c r="K38" s="200">
        <f>IF($E$16=0,K37,(1+$E$38)*K37)</f>
        <v/>
      </c>
      <c r="L38" s="200">
        <f>IF($E$16=0,L37,(1+$E$38)*L37)</f>
        <v/>
      </c>
      <c r="M38" s="200">
        <f>IF($E$16=0,M37,(1+$E$38)*M37)</f>
        <v/>
      </c>
      <c r="N38" s="200">
        <f>IF($E$16=0,N37,(1+$E$38)*N37)</f>
        <v/>
      </c>
      <c r="O38" s="200">
        <f>IF($E$16=0,O37,(1+$E$38)*O37)</f>
        <v/>
      </c>
      <c r="P38" s="200">
        <f>IF($E$16=0,P37,(1+$E$38)*P37)</f>
        <v/>
      </c>
      <c r="Q38" s="200">
        <f>IF($E$16=0,Q37,(1+$E$38)*Q37)</f>
        <v/>
      </c>
      <c r="R38" s="200">
        <f>IF($E$16=0,R37,(1+$E$38)*R37)</f>
        <v/>
      </c>
      <c r="S38" s="200">
        <f>IF($E$16=0,S37,(1+$E$38)*S37)</f>
        <v/>
      </c>
      <c r="T38" s="182">
        <f>SUM(H38:S38)</f>
        <v/>
      </c>
    </row>
    <row r="39" outlineLevel="2" ht="12.75" customHeight="1" s="131">
      <c r="A39" s="145" t="n"/>
      <c r="B39" s="137" t="inlineStr">
        <is>
          <t>Fixed Expense Allocation</t>
        </is>
      </c>
      <c r="D39" s="145" t="n"/>
      <c r="E39" s="212">
        <f>1-('4. Projected Sales Forecast'!E17+'4. Projected Sales Forecast'!E39+'5. Projected Sales Forecast (2)'!E17)</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tabColor rgb="FFFFFF99"/>
    <outlinePr summaryBelow="1" summaryRight="1"/>
    <pageSetUpPr fitToPage="0"/>
  </sheetPr>
  <dimension ref="A1:R5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8" activeCellId="0" sqref="G8"/>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Cash Receipts and Disbursements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Accounts Receivable Collections</t>
        </is>
      </c>
      <c r="B6" s="137" t="n"/>
      <c r="C6" s="137" t="n"/>
      <c r="D6" s="137" t="n"/>
      <c r="E6" s="145" t="n"/>
      <c r="F6" s="140" t="n"/>
      <c r="G6" s="171" t="n"/>
      <c r="H6" s="140" t="n"/>
      <c r="I6" s="140" t="n"/>
      <c r="J6" s="140" t="n"/>
      <c r="K6" s="140" t="n"/>
      <c r="L6" s="145" t="n"/>
      <c r="M6" s="140" t="n"/>
      <c r="N6" s="145" t="n"/>
      <c r="O6" s="145" t="n"/>
      <c r="P6" s="145" t="n"/>
      <c r="Q6" s="145" t="n"/>
      <c r="R6" s="130" t="n"/>
    </row>
    <row r="7" ht="12.75" customHeight="1" s="131">
      <c r="A7" s="137" t="n"/>
      <c r="B7" s="137" t="inlineStr">
        <is>
          <t>Percent of Collections</t>
        </is>
      </c>
      <c r="C7" s="137" t="n"/>
      <c r="D7" s="137" t="n"/>
      <c r="E7" s="145" t="n"/>
      <c r="F7" s="145" t="n"/>
      <c r="G7" s="145" t="n"/>
      <c r="H7" s="145" t="n"/>
      <c r="I7" s="145" t="n"/>
      <c r="J7" s="145" t="n"/>
      <c r="K7" s="145" t="n"/>
      <c r="L7" s="145" t="n"/>
      <c r="M7" s="145" t="n"/>
      <c r="N7" s="145" t="n"/>
      <c r="O7" s="145" t="n"/>
      <c r="P7" s="145" t="n"/>
      <c r="Q7" s="145" t="n"/>
      <c r="R7" s="130" t="n"/>
    </row>
    <row r="8" ht="12.75" customHeight="1" s="131">
      <c r="A8" s="137" t="n"/>
      <c r="B8" s="137" t="n"/>
      <c r="C8" s="137" t="inlineStr">
        <is>
          <t>0 to 30 days</t>
        </is>
      </c>
      <c r="D8" s="137" t="n"/>
      <c r="E8" s="145" t="n"/>
      <c r="F8" s="145" t="n"/>
      <c r="G8" s="173" t="n">
        <v>1</v>
      </c>
      <c r="H8" s="145" t="n"/>
      <c r="I8" s="145" t="n"/>
      <c r="J8" s="159" t="n"/>
      <c r="K8" s="159" t="n"/>
      <c r="L8" s="145" t="n"/>
      <c r="M8" s="145" t="n"/>
      <c r="N8" s="145" t="n"/>
      <c r="O8" s="145" t="n"/>
      <c r="P8" s="145" t="n"/>
      <c r="Q8" s="145" t="n"/>
      <c r="R8" s="130" t="n"/>
    </row>
    <row r="9" ht="12.75" customHeight="1" s="131">
      <c r="A9" s="137" t="n"/>
      <c r="B9" s="137" t="n"/>
      <c r="C9" s="137" t="inlineStr">
        <is>
          <t>31 to 60 days</t>
        </is>
      </c>
      <c r="D9" s="137" t="n"/>
      <c r="E9" s="145" t="n"/>
      <c r="F9" s="145" t="n"/>
      <c r="G9" s="173" t="n">
        <v>0</v>
      </c>
      <c r="H9" s="145" t="n"/>
      <c r="I9" s="145" t="n"/>
      <c r="J9" s="145" t="n"/>
      <c r="K9" s="145" t="n"/>
      <c r="L9" s="145" t="n"/>
      <c r="M9" s="145" t="n"/>
      <c r="N9" s="145" t="n"/>
      <c r="O9" s="145" t="n"/>
      <c r="P9" s="145" t="n"/>
      <c r="Q9" s="145" t="n"/>
      <c r="R9" s="130" t="n"/>
    </row>
    <row r="10" ht="12.75" customHeight="1" s="131">
      <c r="A10" s="137" t="n"/>
      <c r="B10" s="137" t="n"/>
      <c r="C10" s="137" t="inlineStr">
        <is>
          <t>More than 60 days</t>
        </is>
      </c>
      <c r="D10" s="137" t="n"/>
      <c r="E10" s="145" t="n"/>
      <c r="F10" s="145" t="n"/>
      <c r="G10" s="213" t="n">
        <v>0</v>
      </c>
      <c r="H10" s="145" t="n"/>
      <c r="I10" s="145" t="n"/>
      <c r="J10" s="145" t="n"/>
      <c r="K10" s="145" t="n"/>
      <c r="L10" s="145" t="n"/>
      <c r="M10" s="145" t="n"/>
      <c r="N10" s="145" t="n"/>
      <c r="O10" s="145" t="n"/>
      <c r="P10" s="145" t="n"/>
      <c r="Q10" s="145" t="n"/>
      <c r="R10" s="130" t="n"/>
    </row>
    <row r="11" ht="12.75" customHeight="1" s="131">
      <c r="A11" s="137" t="n"/>
      <c r="B11" s="137" t="inlineStr">
        <is>
          <t>Total Collections Percentage</t>
        </is>
      </c>
      <c r="C11" s="137" t="n"/>
      <c r="D11" s="137" t="n"/>
      <c r="E11" s="145" t="n"/>
      <c r="F11" s="145" t="n"/>
      <c r="G11" s="214">
        <f>SUM(G8:G10)</f>
        <v/>
      </c>
      <c r="H11" s="149" t="n"/>
      <c r="I11" s="156" t="n"/>
      <c r="J11" s="156" t="n"/>
      <c r="K11" s="156" t="n"/>
      <c r="L11" s="145" t="n"/>
      <c r="M11" s="145" t="n"/>
      <c r="N11" s="145" t="n"/>
      <c r="O11" s="145" t="n"/>
      <c r="P11" s="145" t="n"/>
      <c r="Q11" s="145" t="n"/>
      <c r="R11" s="130" t="n"/>
    </row>
    <row r="12" ht="12.75" customHeight="1" s="131">
      <c r="A12" s="137" t="n"/>
      <c r="B12" s="137" t="n"/>
      <c r="C12" s="137" t="n"/>
      <c r="D12" s="137" t="n"/>
      <c r="E12" s="145" t="n"/>
      <c r="F12" s="145" t="n"/>
      <c r="G12" s="156" t="n"/>
      <c r="H12" s="156" t="n"/>
      <c r="I12" s="156" t="n"/>
      <c r="J12" s="156" t="n"/>
      <c r="K12" s="156" t="n"/>
      <c r="L12" s="145" t="n"/>
      <c r="M12" s="145" t="n"/>
      <c r="N12" s="145" t="n"/>
      <c r="O12" s="145" t="n"/>
      <c r="P12" s="145" t="n"/>
      <c r="Q12" s="145" t="n"/>
      <c r="R12" s="130" t="n"/>
    </row>
    <row r="13" ht="12.75" customHeight="1" s="131">
      <c r="A13" s="137" t="inlineStr">
        <is>
          <t>Accounts Payable Disbursements</t>
        </is>
      </c>
      <c r="B13" s="137" t="n"/>
      <c r="C13" s="137" t="n"/>
      <c r="D13" s="137" t="n"/>
      <c r="E13" s="145" t="n"/>
      <c r="F13" s="145" t="n"/>
      <c r="G13" s="156" t="n"/>
      <c r="H13" s="156" t="n"/>
      <c r="I13" s="156" t="n"/>
      <c r="J13" s="156" t="n"/>
      <c r="K13" s="156" t="n"/>
      <c r="L13" s="145" t="n"/>
      <c r="M13" s="145" t="n"/>
      <c r="N13" s="145" t="n"/>
      <c r="O13" s="145" t="n"/>
      <c r="P13" s="145" t="n"/>
      <c r="Q13" s="145" t="n"/>
      <c r="R13" s="130" t="n"/>
    </row>
    <row r="14" ht="12.75" customHeight="1" s="131">
      <c r="A14" s="137" t="n"/>
      <c r="B14" s="137" t="inlineStr">
        <is>
          <t>Number of Days to Pay Suppliers</t>
        </is>
      </c>
      <c r="C14" s="137" t="n"/>
      <c r="D14" s="137" t="n"/>
      <c r="E14" s="145" t="n"/>
      <c r="F14" s="145" t="n"/>
      <c r="G14" s="156" t="n"/>
      <c r="H14" s="156" t="n"/>
      <c r="I14" s="156" t="n"/>
      <c r="J14" s="156" t="n"/>
      <c r="K14" s="156" t="n"/>
      <c r="L14" s="145" t="n"/>
      <c r="M14" s="145" t="n"/>
      <c r="N14" s="145" t="n"/>
      <c r="O14" s="145" t="n"/>
      <c r="P14" s="145" t="n"/>
      <c r="Q14" s="145" t="n"/>
      <c r="R14" s="130" t="n"/>
    </row>
    <row r="15" ht="12.75" customHeight="1" s="131">
      <c r="A15" s="137" t="n"/>
      <c r="B15" s="137" t="n"/>
      <c r="C15" s="137" t="inlineStr">
        <is>
          <t>0 to 30 days</t>
        </is>
      </c>
      <c r="D15" s="137" t="n"/>
      <c r="E15" s="145" t="n"/>
      <c r="F15" s="145" t="n"/>
      <c r="G15" s="173" t="n">
        <v>1</v>
      </c>
      <c r="H15" s="156" t="n"/>
      <c r="I15" s="156" t="n"/>
      <c r="J15" s="156" t="n"/>
      <c r="K15" s="156" t="n"/>
      <c r="L15" s="145" t="n"/>
      <c r="M15" s="145" t="n"/>
      <c r="N15" s="145" t="n"/>
      <c r="O15" s="145" t="n"/>
      <c r="P15" s="145" t="n"/>
      <c r="Q15" s="145" t="n"/>
      <c r="R15" s="130" t="n"/>
    </row>
    <row r="16" ht="12.75" customHeight="1" s="131">
      <c r="A16" s="137" t="n"/>
      <c r="B16" s="137" t="n"/>
      <c r="C16" s="137" t="inlineStr">
        <is>
          <t>31 to 60 days</t>
        </is>
      </c>
      <c r="D16" s="137" t="n"/>
      <c r="E16" s="145" t="n"/>
      <c r="F16" s="145" t="n"/>
      <c r="G16" s="173" t="n">
        <v>0</v>
      </c>
      <c r="H16" s="156" t="n"/>
      <c r="I16" s="156" t="n"/>
      <c r="J16" s="156" t="n"/>
      <c r="K16" s="156" t="n"/>
      <c r="L16" s="145" t="n"/>
      <c r="M16" s="145" t="n"/>
      <c r="N16" s="145" t="n"/>
      <c r="O16" s="145" t="n"/>
      <c r="P16" s="145" t="n"/>
      <c r="Q16" s="145" t="n"/>
      <c r="R16" s="130" t="n"/>
    </row>
    <row r="17" ht="12.75" customHeight="1" s="131">
      <c r="A17" s="137" t="n"/>
      <c r="B17" s="137" t="n"/>
      <c r="C17" s="137" t="inlineStr">
        <is>
          <t>More than 60 days</t>
        </is>
      </c>
      <c r="D17" s="137" t="n"/>
      <c r="E17" s="145" t="n"/>
      <c r="F17" s="145" t="n"/>
      <c r="G17" s="213" t="n">
        <v>0</v>
      </c>
      <c r="H17" s="156" t="n"/>
      <c r="I17" s="156" t="n"/>
      <c r="J17" s="156" t="n"/>
      <c r="K17" s="156" t="n"/>
      <c r="L17" s="145" t="n"/>
      <c r="M17" s="145" t="n"/>
      <c r="N17" s="145" t="n"/>
      <c r="O17" s="145" t="n"/>
      <c r="P17" s="145" t="n"/>
      <c r="Q17" s="145" t="n"/>
      <c r="R17" s="130" t="n"/>
    </row>
    <row r="18" ht="12.75" customHeight="1" s="131">
      <c r="A18" s="137" t="n"/>
      <c r="B18" s="137" t="inlineStr">
        <is>
          <t>Total Disbursements Percentage</t>
        </is>
      </c>
      <c r="C18" s="137" t="n"/>
      <c r="D18" s="137" t="n"/>
      <c r="E18" s="145" t="n"/>
      <c r="F18" s="145" t="n"/>
      <c r="G18" s="214">
        <f>SUM(G15:G17)</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6" t="n"/>
      <c r="H19" s="156" t="n"/>
      <c r="I19" s="156" t="n"/>
      <c r="J19" s="156" t="n"/>
      <c r="K19" s="156" t="n"/>
      <c r="L19" s="145" t="n"/>
      <c r="M19" s="145" t="n"/>
      <c r="N19" s="145" t="n"/>
      <c r="O19" s="145" t="n"/>
      <c r="P19" s="145" t="n"/>
      <c r="Q19" s="145" t="n"/>
      <c r="R19" s="130" t="n"/>
    </row>
    <row r="20" ht="12.75" customHeight="1" s="131">
      <c r="A20" s="137" t="inlineStr">
        <is>
          <t>Line of Credit Assumptions</t>
        </is>
      </c>
      <c r="B20" s="137" t="n"/>
      <c r="C20" s="137" t="n"/>
      <c r="D20" s="137" t="n"/>
      <c r="E20" s="145" t="n"/>
      <c r="F20" s="145" t="n"/>
      <c r="G20" s="156" t="n"/>
      <c r="H20" s="156" t="n"/>
      <c r="I20" s="156" t="n"/>
      <c r="J20" s="156" t="n"/>
      <c r="K20" s="156" t="n"/>
      <c r="L20" s="145" t="n"/>
      <c r="M20" s="145" t="n"/>
      <c r="N20" s="145" t="n"/>
      <c r="O20" s="145" t="n"/>
      <c r="P20" s="145" t="n"/>
      <c r="Q20" s="145" t="n"/>
      <c r="R20" s="130" t="n"/>
    </row>
    <row r="21" ht="12.75" customHeight="1" s="131">
      <c r="A21" s="137" t="n"/>
      <c r="B21" s="137" t="inlineStr">
        <is>
          <t>Desired Minimum Cash Balance</t>
        </is>
      </c>
      <c r="C21" s="137" t="n"/>
      <c r="D21" s="137" t="n"/>
      <c r="E21" s="145" t="n"/>
      <c r="F21" s="145" t="n"/>
      <c r="G21" s="177" t="n">
        <v>0</v>
      </c>
      <c r="H21" s="156" t="n"/>
      <c r="I21" s="156" t="n"/>
      <c r="J21" s="156" t="n"/>
      <c r="K21" s="156" t="n"/>
      <c r="L21" s="145" t="n"/>
      <c r="M21" s="145" t="n"/>
      <c r="N21" s="145" t="n"/>
      <c r="O21" s="145" t="n"/>
      <c r="P21" s="145" t="n"/>
      <c r="Q21" s="145" t="n"/>
      <c r="R21" s="130" t="n"/>
    </row>
    <row r="22" ht="12.75" customHeight="1" s="131">
      <c r="A22" s="137" t="n"/>
      <c r="B22" s="137" t="inlineStr">
        <is>
          <t>Line of Credit Interest Rate</t>
        </is>
      </c>
      <c r="C22" s="137" t="n"/>
      <c r="D22" s="137" t="n"/>
      <c r="E22" s="145" t="n"/>
      <c r="F22" s="145" t="n"/>
      <c r="G22" s="173" t="n">
        <v>0.09</v>
      </c>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76" t="n"/>
      <c r="G23" s="156" t="n"/>
      <c r="H23" s="156" t="n"/>
      <c r="I23" s="156" t="n"/>
      <c r="J23" s="215" t="n"/>
      <c r="K23" s="215" t="n"/>
      <c r="L23" s="145" t="n"/>
      <c r="M23" s="145" t="n"/>
      <c r="N23" s="145" t="n"/>
      <c r="O23" s="145" t="n"/>
      <c r="P23" s="145" t="n"/>
      <c r="Q23" s="145" t="n"/>
      <c r="R23" s="130" t="n"/>
    </row>
    <row r="24" ht="12.75" customHeight="1" s="131">
      <c r="A24" s="137" t="inlineStr">
        <is>
          <t>Income Tax Assumptions</t>
        </is>
      </c>
      <c r="B24" s="137" t="n"/>
      <c r="C24" s="137" t="n"/>
      <c r="D24" s="137" t="n"/>
      <c r="E24" s="145" t="n"/>
      <c r="F24" s="176" t="n"/>
      <c r="G24" s="156" t="n"/>
      <c r="H24" s="156" t="n"/>
      <c r="I24" s="156" t="n"/>
      <c r="J24" s="215" t="n"/>
      <c r="K24" s="215" t="n"/>
      <c r="L24" s="145" t="n"/>
      <c r="M24" s="145" t="n"/>
      <c r="N24" s="145" t="n"/>
      <c r="O24" s="145" t="n"/>
      <c r="P24" s="145" t="n"/>
      <c r="Q24" s="145" t="n"/>
      <c r="R24" s="130" t="n"/>
    </row>
    <row r="25" ht="12.75" customHeight="1" s="131">
      <c r="A25" s="137" t="n"/>
      <c r="B25" s="137" t="inlineStr">
        <is>
          <t>Effective Income Tax Rate</t>
        </is>
      </c>
      <c r="C25" s="137" t="n"/>
      <c r="D25" s="137" t="n"/>
      <c r="E25" s="145" t="n"/>
      <c r="F25" s="178" t="n"/>
      <c r="G25" s="160" t="n">
        <v>0</v>
      </c>
      <c r="H25" s="156" t="n"/>
      <c r="I25" s="156" t="n"/>
      <c r="J25" s="215" t="n"/>
      <c r="K25" s="215" t="n"/>
      <c r="L25" s="145" t="n"/>
      <c r="M25" s="145" t="n"/>
      <c r="N25" s="145" t="n"/>
      <c r="O25" s="145" t="n"/>
      <c r="P25" s="145" t="n"/>
      <c r="Q25" s="145" t="n"/>
      <c r="R25" s="130" t="n"/>
    </row>
    <row r="26" ht="12.75" customHeight="1" s="131">
      <c r="A26" s="137" t="n"/>
      <c r="B26" s="137" t="n"/>
      <c r="C26" s="137" t="n"/>
      <c r="D26" s="137" t="n"/>
      <c r="E26" s="145" t="n"/>
      <c r="F26" s="145" t="n"/>
      <c r="G26" s="156" t="n"/>
      <c r="H26" s="156" t="n"/>
      <c r="I26" s="156" t="n"/>
      <c r="J26" s="215">
        <f>IF(G28=0,0,(('1. Required Start-Up Funds'!G29-'1. Required Start-Up Funds'!E28-'1. Required Start-Up Funds'!E20-'1. Required Start-Up Funds'!E27)/'6. Cash Receipts-Disbursements'!G28))</f>
        <v/>
      </c>
      <c r="K26" s="215">
        <f>J26/12</f>
        <v/>
      </c>
      <c r="L26" s="145" t="n"/>
      <c r="M26" s="145" t="n"/>
      <c r="N26" s="145" t="n"/>
      <c r="O26" s="145" t="n"/>
      <c r="P26" s="145" t="n"/>
      <c r="Q26" s="145" t="n"/>
      <c r="R26" s="130" t="n"/>
    </row>
    <row r="27" ht="12.75" customHeight="1" s="131">
      <c r="A27" s="137" t="inlineStr">
        <is>
          <t>Amortization of Start-Up Expenses</t>
        </is>
      </c>
      <c r="B27" s="137" t="n"/>
      <c r="C27" s="137" t="n"/>
      <c r="D27" s="137" t="n"/>
      <c r="E27" s="145" t="n"/>
      <c r="F27" s="145" t="n"/>
      <c r="G27" s="156" t="n"/>
      <c r="H27" s="156" t="n"/>
      <c r="I27" s="156" t="n"/>
      <c r="J27" s="215">
        <f>IF(G28=0,0,('1. Required Start-Up Funds'!E27/'6. Cash Receipts-Disbursements'!G28))</f>
        <v/>
      </c>
      <c r="K27" s="215">
        <f>J27/12</f>
        <v/>
      </c>
      <c r="L27" s="145" t="n"/>
      <c r="M27" s="145" t="n"/>
      <c r="N27" s="145" t="n"/>
      <c r="O27" s="145" t="n"/>
      <c r="P27" s="145" t="n"/>
      <c r="Q27" s="145" t="n"/>
      <c r="R27" s="130" t="n"/>
    </row>
    <row r="28" ht="12.75" customHeight="1" s="131">
      <c r="A28" s="137" t="n"/>
      <c r="B28" s="137" t="inlineStr">
        <is>
          <t>Amortization Period in Years</t>
        </is>
      </c>
      <c r="C28" s="137" t="n"/>
      <c r="D28" s="137" t="n"/>
      <c r="E28" s="145" t="n"/>
      <c r="F28" s="176" t="n"/>
      <c r="G28" s="153" t="n">
        <v>3</v>
      </c>
      <c r="H28" s="156" t="n"/>
      <c r="I28" s="156" t="n"/>
      <c r="J28" s="215" t="n"/>
      <c r="K28" s="215">
        <f>K26+K27</f>
        <v/>
      </c>
      <c r="L28" s="145" t="n"/>
      <c r="M28" s="145" t="n"/>
      <c r="N28" s="145" t="n"/>
      <c r="O28" s="145" t="n"/>
      <c r="P28" s="145" t="n"/>
      <c r="Q28" s="145" t="n"/>
      <c r="R28" s="130" t="n"/>
    </row>
    <row r="29" ht="12.75" customHeight="1" s="131">
      <c r="A29" s="137" t="n"/>
      <c r="B29" s="137" t="n"/>
      <c r="C29" s="137" t="n"/>
      <c r="D29" s="137" t="n"/>
      <c r="E29" s="145" t="n"/>
      <c r="F29" s="178" t="n"/>
      <c r="G29" s="156" t="n"/>
      <c r="H29" s="156" t="n"/>
      <c r="I29" s="156" t="n"/>
      <c r="J29" s="215" t="n"/>
      <c r="K29" s="215"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45" t="n"/>
      <c r="G31" s="15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82" t="n"/>
      <c r="H46" s="182" t="n"/>
      <c r="I46" s="182" t="n"/>
      <c r="J46" s="182" t="n"/>
      <c r="K46" s="182" t="n"/>
      <c r="L46" s="145" t="n"/>
      <c r="M46" s="145" t="n"/>
      <c r="N46" s="145" t="n"/>
      <c r="O46" s="145" t="n"/>
      <c r="P46" s="145" t="n"/>
      <c r="Q46" s="145" t="n"/>
      <c r="R46" s="130" t="n"/>
    </row>
    <row r="47" ht="12.75" customHeight="1" s="131">
      <c r="A47" s="137" t="n"/>
      <c r="B47" s="137" t="n"/>
      <c r="C47" s="137" t="n"/>
      <c r="D47" s="137" t="n"/>
      <c r="E47" s="145" t="n"/>
      <c r="F47" s="145" t="n"/>
      <c r="G47" s="150" t="n"/>
      <c r="H47" s="150" t="n"/>
      <c r="I47" s="150" t="n"/>
      <c r="J47" s="150" t="n"/>
      <c r="K47" s="150" t="n"/>
      <c r="L47" s="145" t="n"/>
      <c r="M47" s="145" t="n"/>
      <c r="N47" s="145" t="n"/>
      <c r="O47" s="145" t="n"/>
      <c r="P47" s="145" t="n"/>
      <c r="Q47" s="145" t="n"/>
      <c r="R47" s="130" t="n"/>
    </row>
    <row r="48" ht="12.75" customHeight="1" s="131">
      <c r="A48" s="137" t="n"/>
      <c r="B48" s="137" t="n"/>
      <c r="C48" s="137" t="n"/>
      <c r="D48" s="137" t="n"/>
      <c r="E48" s="145" t="n"/>
      <c r="F48" s="145" t="n"/>
      <c r="G48" s="149" t="n"/>
      <c r="H48" s="149" t="n"/>
      <c r="I48" s="149" t="n"/>
      <c r="J48" s="149" t="n"/>
      <c r="K48" s="149" t="n"/>
      <c r="L48" s="145" t="n"/>
      <c r="M48" s="145" t="n"/>
      <c r="N48" s="145" t="n"/>
      <c r="O48" s="145" t="n"/>
      <c r="P48" s="145" t="n"/>
      <c r="Q48" s="145" t="n"/>
      <c r="R48" s="130" t="n"/>
    </row>
    <row r="49" ht="12.75" customHeight="1" s="131">
      <c r="A49" s="137" t="n"/>
      <c r="B49" s="137" t="n"/>
      <c r="C49" s="137" t="n"/>
      <c r="D49" s="137" t="n"/>
      <c r="E49" s="145" t="n"/>
      <c r="F49" s="145" t="n"/>
      <c r="G49" s="145" t="n"/>
      <c r="H49" s="145" t="n"/>
      <c r="I49" s="145" t="n"/>
      <c r="J49" s="145" t="n"/>
      <c r="K49" s="145" t="n"/>
      <c r="L49" s="145" t="n"/>
      <c r="M49" s="145" t="n"/>
      <c r="N49" s="145" t="n"/>
      <c r="O49" s="145" t="n"/>
      <c r="P49" s="145" t="n"/>
      <c r="Q49" s="145" t="n"/>
      <c r="R49" s="130" t="n"/>
    </row>
    <row r="50" ht="12.75" customHeight="1" s="131">
      <c r="A50" s="137" t="n"/>
      <c r="B50" s="137" t="n"/>
      <c r="C50" s="137" t="n"/>
      <c r="D50" s="137" t="n"/>
      <c r="E50" s="145" t="n"/>
      <c r="F50" s="145" t="n"/>
      <c r="G50" s="145" t="n"/>
      <c r="H50" s="145" t="n"/>
      <c r="I50" s="145" t="n"/>
      <c r="J50" s="145" t="n"/>
      <c r="K50" s="145" t="n"/>
      <c r="L50" s="145" t="n"/>
      <c r="M50" s="145" t="n"/>
      <c r="N50" s="145" t="n"/>
      <c r="O50" s="145" t="n"/>
      <c r="P50" s="145" t="n"/>
      <c r="Q50" s="145" t="n"/>
      <c r="R50" s="130" t="n"/>
    </row>
    <row r="51" ht="12.75" customHeight="1" s="131">
      <c r="A51" s="137" t="n"/>
      <c r="B51" s="137" t="n"/>
      <c r="C51" s="137" t="n"/>
      <c r="D51" s="137" t="n"/>
      <c r="E51" s="130" t="n"/>
      <c r="F51" s="130" t="n"/>
      <c r="G51" s="130" t="n"/>
      <c r="I51" s="130" t="n"/>
      <c r="J51" s="130" t="n"/>
      <c r="K51" s="130" t="n"/>
      <c r="L51" s="130" t="n"/>
      <c r="M51" s="130" t="n"/>
      <c r="N51" s="130" t="n"/>
      <c r="O51" s="130" t="n"/>
      <c r="P51" s="130" t="n"/>
      <c r="Q51" s="130" t="n"/>
      <c r="R51" s="130" t="n"/>
    </row>
    <row r="52" ht="12.75" customHeight="1" s="131">
      <c r="A52" s="137" t="n"/>
      <c r="B52" s="137" t="n"/>
      <c r="C52" s="137" t="n"/>
      <c r="D52" s="137" t="n"/>
      <c r="E52" s="130" t="n"/>
      <c r="F52" s="130" t="n"/>
      <c r="G52" s="130" t="n"/>
      <c r="I52" s="130" t="n"/>
      <c r="J52" s="130" t="n"/>
      <c r="K52" s="130" t="n"/>
      <c r="L52" s="130" t="n"/>
      <c r="M52" s="130" t="n"/>
      <c r="N52" s="130" t="n"/>
      <c r="O52" s="130" t="n"/>
      <c r="P52" s="130" t="n"/>
      <c r="Q52" s="130" t="n"/>
      <c r="R52" s="130" t="n"/>
    </row>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tabColor rgb="FFCCFFCC"/>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6" activeCellId="0" sqref="F6"/>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(For Existing Businesses Only)</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216" t="n">
        <v>39082</v>
      </c>
      <c r="G6" s="171" t="inlineStr">
        <is>
          <t>%</t>
        </is>
      </c>
      <c r="H6" s="140" t="n"/>
      <c r="I6" s="140" t="n"/>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1" t="n">
        <v>0</v>
      </c>
      <c r="G10" s="156" t="n"/>
      <c r="H10" s="156" t="n"/>
      <c r="I10" s="156" t="n"/>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1" t="n">
        <v>0</v>
      </c>
      <c r="G11" s="156" t="n"/>
      <c r="H11" s="156" t="n"/>
      <c r="I11" s="156" t="n"/>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1" t="n">
        <v>0</v>
      </c>
      <c r="G12" s="156" t="n"/>
      <c r="H12" s="156" t="n"/>
      <c r="I12" s="156" t="n"/>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1" t="n">
        <v>0</v>
      </c>
      <c r="G13" s="156" t="n"/>
      <c r="H13" s="156" t="n"/>
      <c r="I13" s="156" t="n"/>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81" t="n">
        <v>0</v>
      </c>
      <c r="G14" s="156" t="n"/>
      <c r="H14" s="156" t="n"/>
      <c r="I14" s="156" t="n"/>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t="n"/>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1" t="n">
        <v>0</v>
      </c>
      <c r="G18" s="156" t="n"/>
      <c r="H18" s="156" t="n"/>
      <c r="I18" s="156" t="n"/>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1" t="n">
        <v>0</v>
      </c>
      <c r="G19" s="156" t="n"/>
      <c r="H19" s="156" t="n"/>
      <c r="I19" s="156" t="n"/>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1" t="n">
        <v>0</v>
      </c>
      <c r="G20" s="156" t="n"/>
      <c r="H20" s="156" t="n"/>
      <c r="I20" s="156" t="n"/>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1" t="n">
        <v>0</v>
      </c>
      <c r="G21" s="156" t="n"/>
      <c r="H21" s="156" t="n"/>
      <c r="I21" s="156" t="n"/>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1" t="n">
        <v>0</v>
      </c>
      <c r="G22" s="156" t="n"/>
      <c r="H22" s="156" t="n"/>
      <c r="I22" s="156" t="n"/>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1" t="n">
        <v>0</v>
      </c>
      <c r="G23" s="156" t="n"/>
      <c r="H23" s="156" t="n"/>
      <c r="I23" s="156" t="n"/>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81" t="n">
        <v>0</v>
      </c>
      <c r="G24" s="156" t="n"/>
      <c r="H24" s="156" t="n"/>
      <c r="I24" s="156" t="n"/>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t="n"/>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1" t="n">
        <v>0</v>
      </c>
      <c r="G27" s="156" t="n"/>
      <c r="H27" s="156" t="n"/>
      <c r="I27" s="156" t="n"/>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56"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56" t="n"/>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1" t="n">
        <v>0</v>
      </c>
      <c r="G35" s="156" t="n"/>
      <c r="H35" s="156" t="n"/>
      <c r="I35" s="156" t="n"/>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1" t="n">
        <v>0</v>
      </c>
      <c r="G36" s="156" t="n"/>
      <c r="H36" s="156" t="n"/>
      <c r="I36" s="156" t="n"/>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1" t="n">
        <v>0</v>
      </c>
      <c r="G37" s="156" t="n"/>
      <c r="H37" s="156" t="n"/>
      <c r="I37" s="156" t="n"/>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81" t="n">
        <v>0</v>
      </c>
      <c r="G38" s="156" t="n"/>
      <c r="H38" s="156" t="n"/>
      <c r="I38" s="156" t="n"/>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t="n"/>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1" t="n">
        <v>0</v>
      </c>
      <c r="G42" s="156" t="n"/>
      <c r="H42" s="156" t="n"/>
      <c r="I42" s="156" t="n"/>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1" t="n">
        <v>0</v>
      </c>
      <c r="G43" s="156" t="n"/>
      <c r="H43" s="156" t="n"/>
      <c r="I43" s="156" t="n"/>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81" t="n">
        <v>0</v>
      </c>
      <c r="G44" s="156" t="n"/>
      <c r="H44" s="156" t="n"/>
      <c r="I44" s="156" t="n"/>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t="n"/>
      <c r="J45" s="145" t="n"/>
      <c r="K45" s="145" t="n"/>
      <c r="L45" s="145" t="n"/>
      <c r="M45" s="145" t="n"/>
      <c r="N45" s="145" t="n"/>
      <c r="O45" s="145" t="n"/>
      <c r="P45" s="145" t="n"/>
    </row>
    <row r="46" ht="12.75" customHeight="1" s="131">
      <c r="A46" s="137" t="n"/>
      <c r="B46" s="137" t="n"/>
      <c r="C46" s="137" t="n"/>
      <c r="D46" s="145" t="n"/>
      <c r="E46" s="145" t="n"/>
      <c r="F46" s="162" t="n"/>
      <c r="G46" s="156" t="n"/>
      <c r="H46" s="156" t="n"/>
      <c r="I46" s="156"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56" t="n"/>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45" t="n"/>
      <c r="J50" s="145" t="n"/>
      <c r="K50" s="145"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J55" s="130" t="n"/>
      <c r="K55" s="130" t="n"/>
      <c r="L55" s="130" t="n"/>
      <c r="M55" s="130" t="n"/>
      <c r="N55" s="130" t="n"/>
      <c r="O55" s="130" t="n"/>
      <c r="P55" s="130" t="n"/>
      <c r="Q55" s="130" t="n"/>
      <c r="R55" s="130" t="n"/>
    </row>
    <row r="56" ht="12.75" customHeight="1" s="131">
      <c r="E56" s="130" t="n"/>
      <c r="F56" s="130" t="n"/>
      <c r="G56" s="130" t="n"/>
      <c r="H56" s="130" t="n"/>
      <c r="J56" s="130" t="n"/>
      <c r="K56" s="130" t="n"/>
      <c r="L56" s="130" t="n"/>
      <c r="M56" s="130" t="n"/>
      <c r="N56" s="130" t="n"/>
      <c r="O56" s="130" t="n"/>
      <c r="P56" s="130" t="n"/>
      <c r="Q56" s="130" t="n"/>
      <c r="R56" s="130" t="n"/>
    </row>
    <row r="57" ht="12.75" customHeight="1" s="131">
      <c r="E57" s="130" t="n"/>
      <c r="F57" s="130" t="n"/>
      <c r="G57" s="130" t="n"/>
      <c r="H57" s="130" t="n"/>
      <c r="J57" s="130" t="n"/>
      <c r="K57" s="130" t="n"/>
      <c r="L57" s="130" t="n"/>
      <c r="M57" s="130" t="n"/>
      <c r="N57" s="130" t="n"/>
      <c r="O57" s="130" t="n"/>
      <c r="P57" s="130" t="n"/>
      <c r="Q57" s="130" t="n"/>
      <c r="R57" s="130" t="n"/>
    </row>
    <row r="58" ht="12.75" customHeight="1" s="131">
      <c r="D58" s="167" t="n"/>
      <c r="E58" s="130" t="n"/>
      <c r="F58" s="130" t="n"/>
      <c r="G58" s="130" t="n"/>
      <c r="H58" s="130" t="n"/>
      <c r="J58" s="130" t="n"/>
      <c r="K58" s="130" t="n"/>
      <c r="L58" s="130" t="n"/>
      <c r="M58" s="130" t="n"/>
      <c r="N58" s="130" t="n"/>
      <c r="O58" s="130" t="n"/>
      <c r="P58" s="130" t="n"/>
      <c r="Q58" s="130" t="n"/>
      <c r="R58" s="130" t="n"/>
    </row>
    <row r="59" ht="12.75" customHeight="1" s="131">
      <c r="D59" s="167" t="n"/>
      <c r="E59" s="130" t="n"/>
      <c r="F59" s="130" t="n"/>
      <c r="G59" s="130" t="n"/>
      <c r="H59" s="130" t="n"/>
      <c r="J59" s="130" t="n"/>
      <c r="K59" s="130" t="n"/>
      <c r="L59" s="130" t="n"/>
      <c r="M59" s="130" t="n"/>
      <c r="N59" s="130" t="n"/>
      <c r="O59" s="130" t="n"/>
      <c r="P59" s="130" t="n"/>
      <c r="Q59" s="130" t="n"/>
      <c r="R59" s="130" t="n"/>
    </row>
    <row r="60" ht="12.75" customHeight="1" s="131">
      <c r="D60" s="167" t="n"/>
      <c r="E60" s="130" t="n"/>
      <c r="F60" s="130" t="n"/>
      <c r="G60" s="130" t="n"/>
      <c r="H60" s="130" t="n"/>
      <c r="J60" s="130" t="n"/>
      <c r="K60" s="130" t="n"/>
      <c r="L60" s="130" t="n"/>
      <c r="M60" s="130" t="n"/>
      <c r="N60" s="130" t="n"/>
      <c r="O60" s="130" t="n"/>
      <c r="P60" s="130" t="n"/>
      <c r="Q60" s="130" t="n"/>
      <c r="R60" s="130" t="n"/>
    </row>
    <row r="61" ht="12.75" customHeight="1" s="131">
      <c r="D61" s="167" t="n"/>
      <c r="E61" s="130" t="n"/>
      <c r="F61" s="130" t="n"/>
      <c r="G61" s="130" t="n"/>
      <c r="H61" s="130" t="n"/>
      <c r="J61" s="130" t="n"/>
      <c r="K61" s="130" t="n"/>
      <c r="L61" s="130" t="n"/>
      <c r="M61" s="130" t="n"/>
      <c r="N61" s="130" t="n"/>
      <c r="O61" s="130" t="n"/>
      <c r="P61" s="130" t="n"/>
      <c r="Q61" s="130" t="n"/>
      <c r="R61" s="130" t="n"/>
    </row>
    <row r="62" ht="12.75" customHeight="1" s="131">
      <c r="D62" s="167" t="n"/>
      <c r="E62" s="130" t="n"/>
      <c r="F62" s="130" t="n"/>
      <c r="G62" s="130" t="n"/>
      <c r="H62" s="130" t="n"/>
      <c r="J62" s="130" t="n"/>
      <c r="K62" s="130" t="n"/>
      <c r="L62" s="130" t="n"/>
      <c r="M62" s="130" t="n"/>
      <c r="N62" s="130" t="n"/>
      <c r="O62" s="130" t="n"/>
      <c r="P62" s="130" t="n"/>
      <c r="Q62" s="130" t="n"/>
      <c r="R62" s="130" t="n"/>
    </row>
    <row r="63" ht="12.75" customHeight="1" s="131">
      <c r="E63" s="130" t="n"/>
      <c r="F63" s="130" t="n"/>
      <c r="G63" s="130" t="n"/>
      <c r="H63" s="130" t="n"/>
      <c r="J63" s="130" t="n"/>
      <c r="K63" s="130" t="n"/>
      <c r="L63" s="130" t="n"/>
      <c r="M63" s="130" t="n"/>
      <c r="N63" s="130" t="n"/>
      <c r="O63" s="130" t="n"/>
      <c r="P63" s="130" t="n"/>
      <c r="Q63" s="130" t="n"/>
      <c r="R63" s="130" t="n"/>
    </row>
    <row r="64" ht="12.75" customHeight="1" s="131">
      <c r="E64" s="130" t="n"/>
      <c r="F64" s="130" t="n"/>
      <c r="G64" s="130" t="n"/>
      <c r="H64" s="130" t="n"/>
      <c r="J64" s="130" t="n"/>
      <c r="K64" s="130" t="n"/>
      <c r="L64" s="130" t="n"/>
      <c r="M64" s="130" t="n"/>
      <c r="N64" s="130" t="n"/>
      <c r="O64" s="130" t="n"/>
      <c r="P64" s="130" t="n"/>
      <c r="Q64" s="130" t="n"/>
      <c r="R64" s="130" t="n"/>
    </row>
    <row r="65" ht="12.75" customHeight="1" s="131">
      <c r="E65" s="130" t="n"/>
      <c r="F65" s="130" t="n"/>
      <c r="G65" s="130" t="n"/>
      <c r="H65" s="130" t="n"/>
      <c r="J65" s="130" t="n"/>
      <c r="K65" s="130" t="n"/>
      <c r="L65" s="130" t="n"/>
      <c r="M65" s="130" t="n"/>
      <c r="N65" s="130" t="n"/>
      <c r="O65" s="130" t="n"/>
      <c r="P65" s="130" t="n"/>
      <c r="Q65" s="130" t="n"/>
      <c r="R65" s="130" t="n"/>
    </row>
    <row r="66" ht="12.75" customHeight="1" s="131">
      <c r="E66" s="130" t="n"/>
      <c r="F66" s="130" t="n"/>
      <c r="G66" s="130" t="n"/>
      <c r="H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Forecast'!H14</f>
        <v/>
      </c>
      <c r="F9" s="156">
        <f>'4. Projected Sales Forecast'!$E$9*'4. Projected Sales Forecast'!I14</f>
        <v/>
      </c>
      <c r="G9" s="156">
        <f>'4. Projected Sales Forecast'!$E$9*'4. Projected Sales Forecast'!J14</f>
        <v/>
      </c>
      <c r="H9" s="156">
        <f>'4. Projected Sales Forecast'!$E$9*'4. Projected Sales Forecast'!L10</f>
        <v/>
      </c>
      <c r="I9" s="156">
        <f>'4. Projected Sales Forecast'!$E$9*'4. Projected Sales Forecast'!L14</f>
        <v/>
      </c>
      <c r="J9" s="156">
        <f>'4. Projected Sales Forecast'!$E$9*'4. Projected Sales Forecast'!M14</f>
        <v/>
      </c>
      <c r="K9" s="156">
        <f>'4. Projected Sales Forecast'!$E$9*'4. Projected Sales Forecast'!N14</f>
        <v/>
      </c>
      <c r="L9" s="156">
        <f>'4. Projected Sales Forecast'!$E$9*'4. Projected Sales Forecast'!O14</f>
        <v/>
      </c>
      <c r="M9" s="156">
        <f>'4. Projected Sales Forecast'!$E$9*'4. Projected Sales Forecast'!P14</f>
        <v/>
      </c>
      <c r="N9" s="156">
        <f>'4. Projected Sales Forecast'!$E$9*'4. Projected Sales Forecast'!Q14</f>
        <v/>
      </c>
      <c r="O9" s="156">
        <f>'4. Projected Sales Forecast'!$E$9*'4. Projected Sales Forecast'!R14</f>
        <v/>
      </c>
      <c r="P9" s="156">
        <f>'4. Projected Sales Forecast'!$E$9*'4. Projected Sales Forecast'!S14</f>
        <v/>
      </c>
      <c r="Q9" s="182">
        <f>SUM(E9:P9)</f>
        <v/>
      </c>
    </row>
    <row r="10" outlineLevel="1" ht="12.75" customHeight="1" s="131">
      <c r="A10" s="137" t="n"/>
      <c r="B10" s="137">
        <f>'4. Projected Sales Forecast'!A30</f>
        <v/>
      </c>
      <c r="C10" s="137" t="n"/>
      <c r="D10" s="145" t="n"/>
      <c r="E10" s="156">
        <f>'4. Projected Sales Forecast'!$E$31*'4. Projected Sales Forecast'!H36</f>
        <v/>
      </c>
      <c r="F10" s="156">
        <f>'4. Projected Sales Forecast'!$E$31*'4. Projected Sales Forecast'!I36</f>
        <v/>
      </c>
      <c r="G10" s="156">
        <f>'4. Projected Sales Forecast'!$E$31*'4. Projected Sales Forecast'!J36</f>
        <v/>
      </c>
      <c r="H10" s="156">
        <f>'4. Projected Sales Forecast'!$E$31*'4. Projected Sales Forecast'!K36</f>
        <v/>
      </c>
      <c r="I10" s="156">
        <f>'4. Projected Sales Forecast'!$E$31*'4. Projected Sales Forecast'!L36</f>
        <v/>
      </c>
      <c r="J10" s="156">
        <f>'4. Projected Sales Forecast'!$E$31*'4. Projected Sales Forecast'!M36</f>
        <v/>
      </c>
      <c r="K10" s="156">
        <f>'4. Projected Sales Forecast'!$E$31*'4. Projected Sales Forecast'!N36</f>
        <v/>
      </c>
      <c r="L10" s="156">
        <f>'4. Projected Sales Forecast'!$E$31*'4. Projected Sales Forecast'!O36</f>
        <v/>
      </c>
      <c r="M10" s="156">
        <f>'4. Projected Sales Forecast'!$E$31*'4. Projected Sales Forecast'!P36</f>
        <v/>
      </c>
      <c r="N10" s="156">
        <f>'4. Projected Sales Forecast'!$E$31*'4. Projected Sales Forecast'!Q36</f>
        <v/>
      </c>
      <c r="O10" s="156">
        <f>'4. Projected Sales Forecast'!$E$31*'4. Projected Sales Forecast'!R36</f>
        <v/>
      </c>
      <c r="P10" s="156">
        <f>'4. Projected Sales Forecast'!$E$31*'4. Projected Sales Forecast'!S36</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(2)'!H14,"")</f>
        <v/>
      </c>
      <c r="F11" s="156">
        <f>IF('5. Projected Sales Forecast (2)'!$E$9&gt;0,'5. Projected Sales Forecast (2)'!$E$9*'5. Projected Sales Forecast (2)'!I14,"")</f>
        <v/>
      </c>
      <c r="G11" s="156">
        <f>IF('5. Projected Sales Forecast (2)'!$E$9&gt;0,'5. Projected Sales Forecast (2)'!$E$9*'5. Projected Sales Forecast (2)'!J14,"")</f>
        <v/>
      </c>
      <c r="H11" s="156">
        <f>IF('5. Projected Sales Forecast (2)'!$E$9&gt;0,'5. Projected Sales Forecast (2)'!$E$9*'5. Projected Sales Forecast (2)'!K14,"")</f>
        <v/>
      </c>
      <c r="I11" s="156">
        <f>IF('5. Projected Sales Forecast (2)'!$E$9&gt;0,'5. Projected Sales Forecast (2)'!$E$9*'5. Projected Sales Forecast (2)'!L14,"")</f>
        <v/>
      </c>
      <c r="J11" s="156">
        <f>IF('5. Projected Sales Forecast (2)'!$E$9&gt;0,'5. Projected Sales Forecast (2)'!$E$9*'5. Projected Sales Forecast (2)'!M14,"")</f>
        <v/>
      </c>
      <c r="K11" s="156">
        <f>IF('5. Projected Sales Forecast (2)'!$E$9&gt;0,'5. Projected Sales Forecast (2)'!$E$9*'5. Projected Sales Forecast (2)'!N14,"")</f>
        <v/>
      </c>
      <c r="L11" s="156">
        <f>IF('5. Projected Sales Forecast (2)'!$E$9&gt;0,'5. Projected Sales Forecast (2)'!$E$9*'5. Projected Sales Forecast (2)'!O14,"")</f>
        <v/>
      </c>
      <c r="M11" s="156">
        <f>IF('5. Projected Sales Forecast (2)'!$E$9&gt;0,'5. Projected Sales Forecast (2)'!$E$9*'5. Projected Sales Forecast (2)'!P14,"")</f>
        <v/>
      </c>
      <c r="N11" s="156">
        <f>IF('5. Projected Sales Forecast (2)'!$E$9&gt;0,'5. Projected Sales Forecast (2)'!$E$9*'5. Projected Sales Forecast (2)'!Q14,"")</f>
        <v/>
      </c>
      <c r="O11" s="156">
        <f>IF('5. Projected Sales Forecast (2)'!$E$9&gt;0,'5. Projected Sales Forecast (2)'!$E$9*'5. Projected Sales Forecast (2)'!R14,"")</f>
        <v/>
      </c>
      <c r="P11" s="156">
        <f>IF('5. Projected Sales Forecast (2)'!$E$9&gt;0,'5. Projected Sales Forecast (2)'!$E$9*'5. Projected Sales Forecast (2)'!S14,"")</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(2)'!H36,"")</f>
        <v/>
      </c>
      <c r="F12" s="162">
        <f>IF('5. Projected Sales Forecast (2)'!$E$31&gt;0,'5. Projected Sales Forecast (2)'!$E$31*'5. Projected Sales Forecast (2)'!I36,"")</f>
        <v/>
      </c>
      <c r="G12" s="162">
        <f>IF('5. Projected Sales Forecast (2)'!$E$31&gt;0,'5. Projected Sales Forecast (2)'!$E$31*'5. Projected Sales Forecast (2)'!J36,"")</f>
        <v/>
      </c>
      <c r="H12" s="162">
        <f>IF('5. Projected Sales Forecast (2)'!$E$31&gt;0,'5. Projected Sales Forecast (2)'!$E$31*'5. Projected Sales Forecast (2)'!K36,"")</f>
        <v/>
      </c>
      <c r="I12" s="162">
        <f>IF('5. Projected Sales Forecast (2)'!$E$31&gt;0,'5. Projected Sales Forecast (2)'!$E$31*'5. Projected Sales Forecast (2)'!L36,"")</f>
        <v/>
      </c>
      <c r="J12" s="162">
        <f>IF('5. Projected Sales Forecast (2)'!$E$31&gt;0,'5. Projected Sales Forecast (2)'!$E$31*'5. Projected Sales Forecast (2)'!M36,"")</f>
        <v/>
      </c>
      <c r="K12" s="162">
        <f>IF('5. Projected Sales Forecast (2)'!$E$31&gt;0,'5. Projected Sales Forecast (2)'!$E$31*'5. Projected Sales Forecast (2)'!N36,"")</f>
        <v/>
      </c>
      <c r="L12" s="162">
        <f>IF('5. Projected Sales Forecast (2)'!$E$31&gt;0,'5. Projected Sales Forecast (2)'!$E$31*'5. Projected Sales Forecast (2)'!O36,"")</f>
        <v/>
      </c>
      <c r="M12" s="162">
        <f>IF('5. Projected Sales Forecast (2)'!$E$31&gt;0,'5. Projected Sales Forecast (2)'!$E$31*'5. Projected Sales Forecast (2)'!P36,"")</f>
        <v/>
      </c>
      <c r="N12" s="162">
        <f>IF('5. Projected Sales Forecast (2)'!$E$31&gt;0,'5. Projected Sales Forecast (2)'!$E$31*'5. Projected Sales Forecast (2)'!Q36,"")</f>
        <v/>
      </c>
      <c r="O12" s="162">
        <f>IF('5. Projected Sales Forecast (2)'!$E$31&gt;0,'5. Projected Sales Forecast (2)'!$E$31*'5. Projected Sales Forecast (2)'!R36,"")</f>
        <v/>
      </c>
      <c r="P12" s="162">
        <f>IF('5. Projected Sales Forecast (2)'!$E$31&gt;0,'5. Projected Sales Forecast (2)'!$E$31*'5. Projected Sales Forecast (2)'!R36,"")</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Forecast'!G10</f>
        <v/>
      </c>
      <c r="F16" s="156">
        <f>'4. Projected Sales Forecast'!$E$10*'4. Projected Sales Forecast'!I14</f>
        <v/>
      </c>
      <c r="G16" s="156">
        <f>'4. Projected Sales Forecast'!$E$10*'4. Projected Sales Forecast'!J14</f>
        <v/>
      </c>
      <c r="H16" s="156">
        <f>'4. Projected Sales Forecast'!$E$10*'4. Projected Sales Forecast'!K14</f>
        <v/>
      </c>
      <c r="I16" s="156">
        <f>'4. Projected Sales Forecast'!$E$10*'4. Projected Sales Forecast'!L14</f>
        <v/>
      </c>
      <c r="J16" s="156">
        <f>'4. Projected Sales Forecast'!$E$10*'4. Projected Sales Forecast'!M14</f>
        <v/>
      </c>
      <c r="K16" s="156">
        <f>'4. Projected Sales Forecast'!$E$10*'4. Projected Sales Forecast'!N14</f>
        <v/>
      </c>
      <c r="L16" s="156">
        <f>'4. Projected Sales Forecast'!$E$10*'4. Projected Sales Forecast'!O14</f>
        <v/>
      </c>
      <c r="M16" s="156">
        <f>'4. Projected Sales Forecast'!$E$10*'4. Projected Sales Forecast'!P14</f>
        <v/>
      </c>
      <c r="N16" s="156">
        <f>'4. Projected Sales Forecast'!$E$10*'4. Projected Sales Forecast'!Q10</f>
        <v/>
      </c>
      <c r="O16" s="156">
        <f>'4. Projected Sales Forecast'!$E$10*'4. Projected Sales Forecast'!R14</f>
        <v/>
      </c>
      <c r="P16" s="156">
        <f>'4. Projected Sales Forecast'!$E$10*'4. Projected Sales Forecast'!S14</f>
        <v/>
      </c>
      <c r="Q16" s="156">
        <f>SUM(E16:P16)</f>
        <v/>
      </c>
    </row>
    <row r="17" outlineLevel="1" ht="12.75" customHeight="1" s="131">
      <c r="A17" s="137" t="n"/>
      <c r="B17" s="137">
        <f>B10</f>
        <v/>
      </c>
      <c r="C17" s="137" t="n"/>
      <c r="D17" s="145" t="n"/>
      <c r="E17" s="182">
        <f>'4. Projected Sales Forecast'!$E$32*'4. Projected Sales Forecast'!H36</f>
        <v/>
      </c>
      <c r="F17" s="182">
        <f>'4. Projected Sales Forecast'!$E$32*'4. Projected Sales Forecast'!I36</f>
        <v/>
      </c>
      <c r="G17" s="182">
        <f>'4. Projected Sales Forecast'!$E$32*'4. Projected Sales Forecast'!J36</f>
        <v/>
      </c>
      <c r="H17" s="182">
        <f>'4. Projected Sales Forecast'!$E$32*'4. Projected Sales Forecast'!K36</f>
        <v/>
      </c>
      <c r="I17" s="182">
        <f>'4. Projected Sales Forecast'!$E$32*'4. Projected Sales Forecast'!L36</f>
        <v/>
      </c>
      <c r="J17" s="182">
        <f>'4. Projected Sales Forecast'!$E$32*'4. Projected Sales Forecast'!M36</f>
        <v/>
      </c>
      <c r="K17" s="182">
        <f>'4. Projected Sales Forecast'!$E$32*'4. Projected Sales Forecast'!N36</f>
        <v/>
      </c>
      <c r="L17" s="182">
        <f>'4. Projected Sales Forecast'!$E$32*'4. Projected Sales Forecast'!O36</f>
        <v/>
      </c>
      <c r="M17" s="182">
        <f>'4. Projected Sales Forecast'!$E$32*'4. Projected Sales Forecast'!P36</f>
        <v/>
      </c>
      <c r="N17" s="182">
        <f>'4. Projected Sales Forecast'!$E$32*'4. Projected Sales Forecast'!Q36</f>
        <v/>
      </c>
      <c r="O17" s="182">
        <f>'4. Projected Sales Forecast'!$E$32*'4. Projected Sales Forecast'!R36</f>
        <v/>
      </c>
      <c r="P17" s="182">
        <f>'4. Projected Sales Forecast'!$E$32*'4. Projected Sales Forecast'!S36</f>
        <v/>
      </c>
      <c r="Q17" s="156">
        <f>SUM(E17:P17)</f>
        <v/>
      </c>
    </row>
    <row r="18" outlineLevel="1" ht="12.75" customHeight="1" s="131">
      <c r="A18" s="137" t="n"/>
      <c r="B18" s="137">
        <f>B11</f>
        <v/>
      </c>
      <c r="C18" s="137" t="n"/>
      <c r="D18" s="145" t="n"/>
      <c r="E18" s="182">
        <f>IF('5. Projected Sales Forecast (2)'!$E$10&gt;0,'5. Projected Sales Forecast (2)'!$E$10*'5. Projected Sales Forecast (2)'!H14,"")</f>
        <v/>
      </c>
      <c r="F18" s="182">
        <f>IF('5. Projected Sales Forecast (2)'!$E$10&gt;0,'5. Projected Sales Forecast (2)'!$E$10*'5. Projected Sales Forecast (2)'!I14,"")</f>
        <v/>
      </c>
      <c r="G18" s="182">
        <f>IF('5. Projected Sales Forecast (2)'!$E$10&gt;0,'5. Projected Sales Forecast (2)'!$E$10*'5. Projected Sales Forecast (2)'!J14,"")</f>
        <v/>
      </c>
      <c r="H18" s="182">
        <f>IF('5. Projected Sales Forecast (2)'!$E$10&gt;0,'5. Projected Sales Forecast (2)'!$E$10*'5. Projected Sales Forecast (2)'!K14,"")</f>
        <v/>
      </c>
      <c r="I18" s="182">
        <f>IF('5. Projected Sales Forecast (2)'!$E$10&gt;0,'5. Projected Sales Forecast (2)'!$E$10*'5. Projected Sales Forecast (2)'!L14,"")</f>
        <v/>
      </c>
      <c r="J18" s="182">
        <f>IF('5. Projected Sales Forecast (2)'!$E$10&gt;0,'5. Projected Sales Forecast (2)'!$E$10*'5. Projected Sales Forecast (2)'!M14,"")</f>
        <v/>
      </c>
      <c r="K18" s="182">
        <f>IF('5. Projected Sales Forecast (2)'!$E$10&gt;0,'5. Projected Sales Forecast (2)'!$E$10*'5. Projected Sales Forecast (2)'!N14,"")</f>
        <v/>
      </c>
      <c r="L18" s="182">
        <f>IF('5. Projected Sales Forecast (2)'!$E$10&gt;0,'5. Projected Sales Forecast (2)'!$E$10*'5. Projected Sales Forecast (2)'!O14,"")</f>
        <v/>
      </c>
      <c r="M18" s="182">
        <f>IF('5. Projected Sales Forecast (2)'!$E$10&gt;0,'5. Projected Sales Forecast (2)'!$E$10*'5. Projected Sales Forecast (2)'!P14,"")</f>
        <v/>
      </c>
      <c r="N18" s="182">
        <f>IF('5. Projected Sales Forecast (2)'!$E$10&gt;0,'5. Projected Sales Forecast (2)'!$E$10*'5. Projected Sales Forecast (2)'!Q14,"")</f>
        <v/>
      </c>
      <c r="O18" s="182">
        <f>IF('5. Projected Sales Forecast (2)'!$E$10&gt;0,'5. Projected Sales Forecast (2)'!$E$10*'5. Projected Sales Forecast (2)'!R14,"")</f>
        <v/>
      </c>
      <c r="P18" s="182">
        <f>IF('5. Projected Sales Forecast (2)'!$E$10&gt;0,'5. Projected Sales Forecast (2)'!$E$10*'5. Projected Sales Forecast (2)'!S14,"")</f>
        <v/>
      </c>
      <c r="Q18" s="156">
        <f>SUM(E18:P18)</f>
        <v/>
      </c>
    </row>
    <row r="19" outlineLevel="1" ht="12.75" customHeight="1" s="131">
      <c r="A19" s="137" t="n"/>
      <c r="B19" s="137">
        <f>B12</f>
        <v/>
      </c>
      <c r="C19" s="137" t="n"/>
      <c r="D19" s="145" t="n"/>
      <c r="E19" s="162">
        <f>IF('5. Projected Sales Forecast (2)'!$E$32&gt;0,'5. Projected Sales Forecast (2)'!$E$32*'5. Projected Sales Forecast (2)'!H36,"")</f>
        <v/>
      </c>
      <c r="F19" s="162">
        <f>IF('5. Projected Sales Forecast (2)'!$E$32&gt;0,'5. Projected Sales Forecast (2)'!$E$32*'5. Projected Sales Forecast (2)'!I36,"")</f>
        <v/>
      </c>
      <c r="G19" s="162">
        <f>IF('5. Projected Sales Forecast (2)'!$E$32&gt;0,'5. Projected Sales Forecast (2)'!$E$32*'5. Projected Sales Forecast (2)'!J36,"")</f>
        <v/>
      </c>
      <c r="H19" s="162">
        <f>IF('5. Projected Sales Forecast (2)'!$E$32&gt;0,'5. Projected Sales Forecast (2)'!$E$32*'5. Projected Sales Forecast (2)'!K36,"")</f>
        <v/>
      </c>
      <c r="I19" s="162">
        <f>IF('5. Projected Sales Forecast (2)'!$E$32&gt;0,'5. Projected Sales Forecast (2)'!$E$32*'5. Projected Sales Forecast (2)'!L36,"")</f>
        <v/>
      </c>
      <c r="J19" s="162">
        <f>IF('5. Projected Sales Forecast (2)'!$E$32&gt;0,'5. Projected Sales Forecast (2)'!$E$32*'5. Projected Sales Forecast (2)'!M36,"")</f>
        <v/>
      </c>
      <c r="K19" s="162">
        <f>IF('5. Projected Sales Forecast (2)'!$E$32&gt;0,'5. Projected Sales Forecast (2)'!$E$32*'5. Projected Sales Forecast (2)'!N36,"")</f>
        <v/>
      </c>
      <c r="L19" s="162">
        <f>IF('5. Projected Sales Forecast (2)'!$E$32&gt;0,'5. Projected Sales Forecast (2)'!$E$32*'5. Projected Sales Forecast (2)'!O36,"")</f>
        <v/>
      </c>
      <c r="M19" s="162">
        <f>IF('5. Projected Sales Forecast (2)'!$E$32&gt;0,'5. Projected Sales Forecast (2)'!$E$32*'5. Projected Sales Forecast (2)'!P36,"")</f>
        <v/>
      </c>
      <c r="N19" s="162">
        <f>IF('5. Projected Sales Forecast (2)'!$E$32&gt;0,'5. Projected Sales Forecast (2)'!$E$32*'5. Projected Sales Forecast (2)'!Q36,"")</f>
        <v/>
      </c>
      <c r="O19" s="162">
        <f>IF('5. Projected Sales Forecast (2)'!$E$32&gt;0,'5. Projected Sales Forecast (2)'!$E$32*'5. Projected Sales Forecast (2)'!R36,"")</f>
        <v/>
      </c>
      <c r="P19" s="162">
        <f>IF('5. Projected Sales Forecast (2)'!$E$32&gt;0,'5. Projected Sales Forecast (2)'!$E$32*'5. Projected Sales Forecast (2)'!S36,"")</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Wages'!K11</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Wages'!K12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Wages'!K14</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Wages'!K17</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Wages'!K20</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Wages'!K32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Expenses'!G11</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Expenses'!G12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Expenses'!G13</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Expenses'!G14</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Expenses'!G15</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Expenses'!G16</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Expenses'!G17</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Expenses'!G18</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Expenses'!G19</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Expenses'!G20</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Expenses'!G21</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Expenses'!G22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Expenses'!G23</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Expenses'!G24</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Expenses'!G25</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Expenses'!G26</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Expenses'!G27</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Expenses'!G28</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Expenses'!G29</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Expenses'!G30</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Receipts-Disbursements'!$G$28&gt;0,'6. Cash Receipts-Disbursements'!$K$28,0)</f>
        <v/>
      </c>
      <c r="F57" s="156">
        <f>IF('6. Cash Receipts-Disbursements'!$G$28&gt;0,'6. Cash Receipts-Disbursements'!$K$28,0)</f>
        <v/>
      </c>
      <c r="G57" s="156">
        <f>IF('6. Cash Receipts-Disbursements'!$G$28&gt;0,'6. Cash Receipts-Disbursements'!$K$28,0)</f>
        <v/>
      </c>
      <c r="H57" s="156">
        <f>IF('6. Cash Receipts-Disbursements'!$G$28&gt;0,'6. Cash Receipts-Disbursements'!$K$28,0)</f>
        <v/>
      </c>
      <c r="I57" s="156">
        <f>IF('6. Cash Receipts-Disbursements'!$G$28&gt;0,'6. Cash Receipts-Disbursements'!$K$28,0)</f>
        <v/>
      </c>
      <c r="J57" s="156">
        <f>IF('6. Cash Receipts-Disbursements'!$G$28&gt;0,'6. Cash Receipts-Disbursements'!$K$28,0)</f>
        <v/>
      </c>
      <c r="K57" s="156">
        <f>IF('6. Cash Receipts-Disbursements'!$G$28&gt;0,'6. Cash Receipts-Disbursements'!$K$28,0)</f>
        <v/>
      </c>
      <c r="L57" s="156">
        <f>IF('6. Cash Receipts-Disbursements'!$G$28&gt;0,'6. Cash Receipts-Disbursements'!$K$28,0)</f>
        <v/>
      </c>
      <c r="M57" s="156">
        <f>IF('6. Cash Receipts-Disbursements'!$G$28&gt;0,'6. Cash Receipts-Disbursements'!$K$28,0)</f>
        <v/>
      </c>
      <c r="N57" s="156">
        <f>IF('6. Cash Receipts-Disbursements'!$G$28&gt;0,'6. Cash Receipts-Disbursements'!$K$28,0)</f>
        <v/>
      </c>
      <c r="O57" s="156">
        <f>IF('6. Cash Receipts-Disbursements'!$G$28&gt;0,'6. Cash Receipts-Disbursements'!$K$28,0)</f>
        <v/>
      </c>
      <c r="P57" s="156">
        <f>IF('6. Cash Receipts-Disbursements'!$G$28&gt;0,'6.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Schedule'!G15</f>
        <v/>
      </c>
      <c r="F60" s="156">
        <f>'20. Amoritization Schedule'!H15</f>
        <v/>
      </c>
      <c r="G60" s="156">
        <f>'20. Amoritization Schedule'!I15</f>
        <v/>
      </c>
      <c r="H60" s="156">
        <f>'20. Amoritization Schedule'!J15</f>
        <v/>
      </c>
      <c r="I60" s="156">
        <f>'20. Amoritization Schedule'!K15</f>
        <v/>
      </c>
      <c r="J60" s="156">
        <f>'20. Amoritization Schedule'!L15</f>
        <v/>
      </c>
      <c r="K60" s="156">
        <f>'20. Amoritization Schedule'!M15</f>
        <v/>
      </c>
      <c r="L60" s="156">
        <f>'20. Amoritization Schedule'!N15</f>
        <v/>
      </c>
      <c r="M60" s="156">
        <f>'20. Amoritization Schedule'!O15</f>
        <v/>
      </c>
      <c r="N60" s="156">
        <f>'20. Amoritization Schedule'!P15</f>
        <v/>
      </c>
      <c r="O60" s="156">
        <f>'20. Amoritization Schedule'!Q15</f>
        <v/>
      </c>
      <c r="P60" s="156">
        <f>'20. Amoritization Schedule'!R15</f>
        <v/>
      </c>
      <c r="Q60" s="156">
        <f>SUM(E60:P60)</f>
        <v/>
      </c>
    </row>
    <row r="61" hidden="1" outlineLevel="1" ht="12.75" customHeight="1" s="131">
      <c r="A61" s="137" t="n"/>
      <c r="B61" s="137" t="n"/>
      <c r="C61" s="137" t="inlineStr">
        <is>
          <t>Commercial Mortgage</t>
        </is>
      </c>
      <c r="D61" s="145" t="n"/>
      <c r="E61" s="156">
        <f>'20. Amoritization Schedule'!G35</f>
        <v/>
      </c>
      <c r="F61" s="156">
        <f>'20. Amoritization Schedule'!H35</f>
        <v/>
      </c>
      <c r="G61" s="156">
        <f>'20. Amoritization Schedule'!I35</f>
        <v/>
      </c>
      <c r="H61" s="156">
        <f>'20. Amoritization Schedule'!J35</f>
        <v/>
      </c>
      <c r="I61" s="156">
        <f>'20. Amoritization Schedule'!K35</f>
        <v/>
      </c>
      <c r="J61" s="156">
        <f>'20. Amoritization Schedule'!L35</f>
        <v/>
      </c>
      <c r="K61" s="156">
        <f>'20. Amoritization Schedule'!M35</f>
        <v/>
      </c>
      <c r="L61" s="156">
        <f>'20. Amoritization Schedule'!N35</f>
        <v/>
      </c>
      <c r="M61" s="156">
        <f>'20. Amoritization Schedule'!O35</f>
        <v/>
      </c>
      <c r="N61" s="156">
        <f>'20. Amoritization Schedule'!P35</f>
        <v/>
      </c>
      <c r="O61" s="156">
        <f>'20. Amoritization Schedule'!Q35</f>
        <v/>
      </c>
      <c r="P61" s="156">
        <f>'20. Amoritization Schedule'!R35</f>
        <v/>
      </c>
      <c r="Q61" s="156">
        <f>SUM(E61:P61)</f>
        <v/>
      </c>
    </row>
    <row r="62" hidden="1" outlineLevel="1" ht="12.75" customHeight="1" s="131">
      <c r="A62" s="137" t="n"/>
      <c r="B62" s="137" t="n"/>
      <c r="C62" s="137" t="inlineStr">
        <is>
          <t>Line of Credit</t>
        </is>
      </c>
      <c r="D62" s="145" t="n"/>
      <c r="E62" s="156">
        <f>'9. Cash Flow Statement'!E26</f>
        <v/>
      </c>
      <c r="F62" s="156">
        <f>'9. Cash Flow Statement'!F26</f>
        <v/>
      </c>
      <c r="G62" s="156">
        <f>'9. Cash Flow Statement'!G26</f>
        <v/>
      </c>
      <c r="H62" s="156">
        <f>'9. Cash Flow Statement'!H26</f>
        <v/>
      </c>
      <c r="I62" s="156">
        <f>'9. Cash Flow Statement'!I26</f>
        <v/>
      </c>
      <c r="J62" s="156">
        <f>'9. Cash Flow Statement'!J26</f>
        <v/>
      </c>
      <c r="K62" s="156">
        <f>'9. Cash Flow Statement'!K26</f>
        <v/>
      </c>
      <c r="L62" s="156">
        <f>'9. Cash Flow Statement'!L26</f>
        <v/>
      </c>
      <c r="M62" s="156">
        <f>'9. Cash Flow Statement'!M26</f>
        <v/>
      </c>
      <c r="N62" s="156">
        <f>'9. Cash Flow Statement'!N26</f>
        <v/>
      </c>
      <c r="O62" s="156">
        <f>'9. Cash Flow Statement'!O26</f>
        <v/>
      </c>
      <c r="P62" s="156">
        <f>'9. Cash Flow Statement'!P26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Receipts-Disbursements'!$G$25,'8. Income Statement'!F70*'6. Cash Receipts-Disbursements'!$G$25),IF('8. Income Statement'!E71&gt;0,-('8. Income Statement'!E71*'6. Cash Receipts-Disbursements'!$G$25),0))</f>
        <v/>
      </c>
      <c r="G63" s="162">
        <f>IF(G71&gt;0,IF(F71&lt;0,(G70-ABS(F71))*'6. Cash Receipts-Disbursements'!$G$25,'8. Income Statement'!G70*'6. Cash Receipts-Disbursements'!$G$25),IF('8. Income Statement'!F71&gt;0,-('8. Income Statement'!F71*'6. Cash Receipts-Disbursements'!$G$25),0))</f>
        <v/>
      </c>
      <c r="H63" s="162">
        <f>IF(H71&gt;0,IF(G71&lt;0,(H70-ABS(G71))*'6. Cash Receipts-Disbursements'!$G$25,'8. Income Statement'!H70*'6. Cash Receipts-Disbursements'!$G$25),IF('8. Income Statement'!G71&gt;0,-('8. Income Statement'!G71*'6. Cash Receipts-Disbursements'!$G$25),0))</f>
        <v/>
      </c>
      <c r="I63" s="162">
        <f>IF(I71&gt;0,IF(H71&lt;0,(I70-ABS(H71))*'6. Cash Receipts-Disbursements'!$G$25,'8. Income Statement'!I70*'6. Cash Receipts-Disbursements'!$G$25),IF('8. Income Statement'!H71&gt;0,-('8. Income Statement'!H71*'6. Cash Receipts-Disbursements'!$G$25),0))</f>
        <v/>
      </c>
      <c r="J63" s="162">
        <f>IF(J71&gt;0,IF(I71&lt;0,(J70-ABS(I71))*'6. Cash Receipts-Disbursements'!$G$25,'8. Income Statement'!J70*'6. Cash Receipts-Disbursements'!$G$25),IF('8. Income Statement'!I71&gt;0,-('8. Income Statement'!I71*'6. Cash Receipts-Disbursements'!$G$25),0))</f>
        <v/>
      </c>
      <c r="K63" s="162">
        <f>IF(K71&gt;0,IF(J71&lt;0,(K70-ABS(J71))*'6. Cash Receipts-Disbursements'!$G$25,'8. Income Statement'!K70*'6. Cash Receipts-Disbursements'!$G$25),IF('8. Income Statement'!J71&gt;0,-('8. Income Statement'!J71*'6. Cash Receipts-Disbursements'!$G$25),0))</f>
        <v/>
      </c>
      <c r="L63" s="162">
        <f>IF(L71&gt;0,IF(K71&lt;0,(L70-ABS(K71))*'6. Cash Receipts-Disbursements'!$G$25,'8. Income Statement'!L70*'6. Cash Receipts-Disbursements'!$G$25),IF('8. Income Statement'!K71&gt;0,-('8. Income Statement'!K71*'6. Cash Receipts-Disbursements'!$G$25),0))</f>
        <v/>
      </c>
      <c r="M63" s="162">
        <f>IF(M71&gt;0,IF(L71&lt;0,(M70-ABS(L71))*'6. Cash Receipts-Disbursements'!$G$25,'8. Income Statement'!M70*'6. Cash Receipts-Disbursements'!$G$25),IF('8. Income Statement'!L71&gt;0,-('8. Income Statement'!L71*'6. Cash Receipts-Disbursements'!$G$25),0))</f>
        <v/>
      </c>
      <c r="N63" s="162">
        <f>IF(N71&gt;0,IF(M71&lt;0,(N70-ABS(M71))*'6. Cash Receipts-Disbursements'!$G$25,'8. Income Statement'!N70*'6. Cash Receipts-Disbursements'!$G$25),IF('8. Income Statement'!M71&gt;0,-('8. Income Statement'!M71*'6. Cash Receipts-Disbursements'!$G$25),0))</f>
        <v/>
      </c>
      <c r="O63" s="162">
        <f>IF(O71&gt;0,IF(N71&lt;0,(O70-ABS(N71))*'6. Cash Receipts-Disbursements'!$G$25,'8. Income Statement'!O70*'6. Cash Receipts-Disbursements'!$G$25),IF('8. Income Statement'!N71&gt;0,-('8. Income Statement'!N71*'6. Cash Receipts-Disbursements'!$G$25),0))</f>
        <v/>
      </c>
      <c r="P63" s="162">
        <f>IF(P71&gt;0,IF(O71&lt;0,(P70-ABS(O71))*'6. Cash Receipts-Disbursements'!$G$25,'8. Income Statement'!P70*'6. Cash Receipts-Disbursements'!$G$25),IF('8. Income Statement'!O71&gt;0,-('8. Income Statement'!O71*'6.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f>SUM(E70:P70)</f>
        <v/>
      </c>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f>SUM(E71:P71)</f>
        <v/>
      </c>
    </row>
    <row r="72" ht="12.75" customHeight="1" s="131">
      <c r="P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'10. Balance Sheet'!F10</f>
        <v/>
      </c>
      <c r="F8" s="156">
        <f>E37</f>
        <v/>
      </c>
      <c r="G8" s="156">
        <f>F37</f>
        <v/>
      </c>
      <c r="H8" s="156">
        <f>G37</f>
        <v/>
      </c>
      <c r="I8" s="156">
        <f>H37</f>
        <v/>
      </c>
      <c r="J8" s="156">
        <f>I37</f>
        <v/>
      </c>
      <c r="K8" s="156">
        <f>J37</f>
        <v/>
      </c>
      <c r="L8" s="156">
        <f>K37</f>
        <v/>
      </c>
      <c r="M8" s="156">
        <f>L37</f>
        <v/>
      </c>
      <c r="N8" s="156">
        <f>M37</f>
        <v/>
      </c>
      <c r="O8" s="156">
        <f>N37</f>
        <v/>
      </c>
      <c r="P8" s="156">
        <f>O37</f>
        <v/>
      </c>
      <c r="Q8" s="156">
        <f>SUM(E8:P8)</f>
        <v/>
      </c>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'8. Income Statement'!E13*'6. Cash Receipts-Disbursements'!$G$8</f>
        <v/>
      </c>
      <c r="F11" s="156">
        <f>'8. Income Statement'!F13*'6. Cash Receipts-Disbursements'!$G$8</f>
        <v/>
      </c>
      <c r="G11" s="156">
        <f>'8. Income Statement'!G13*'6. Cash Receipts-Disbursements'!$G$8</f>
        <v/>
      </c>
      <c r="H11" s="156">
        <f>'8. Income Statement'!H13*'6. Cash Receipts-Disbursements'!$G$8</f>
        <v/>
      </c>
      <c r="I11" s="156">
        <f>'8. Income Statement'!I13*'6. Cash Receipts-Disbursements'!$G$8</f>
        <v/>
      </c>
      <c r="J11" s="156">
        <f>'8. Income Statement'!J13*'6. Cash Receipts-Disbursements'!$G$8</f>
        <v/>
      </c>
      <c r="K11" s="156">
        <f>'8. Income Statement'!K13*'6. Cash Receipts-Disbursements'!$G$8</f>
        <v/>
      </c>
      <c r="L11" s="156">
        <f>'8. Income Statement'!L13*'6. Cash Receipts-Disbursements'!$G$8</f>
        <v/>
      </c>
      <c r="M11" s="156">
        <f>'8. Income Statement'!M13*'6. Cash Receipts-Disbursements'!$G$8</f>
        <v/>
      </c>
      <c r="N11" s="156">
        <f>'8. Income Statement'!N13*'6. Cash Receipts-Disbursements'!$G$8</f>
        <v/>
      </c>
      <c r="O11" s="156">
        <f>'8. Income Statement'!O13*'6. Cash Receipts-Disbursements'!$G$8</f>
        <v/>
      </c>
      <c r="P11" s="156">
        <f>'8. Income Statement'!P13*'6. Cash Receipts-Disbursements'!$G$8</f>
        <v/>
      </c>
      <c r="Q11" s="156">
        <f>SUM(E11:P11)</f>
        <v/>
      </c>
    </row>
    <row r="12" ht="12.75" customHeight="1" s="131">
      <c r="A12" s="137" t="n"/>
      <c r="B12" s="137" t="inlineStr">
        <is>
          <t>Accounts Receivable</t>
        </is>
      </c>
      <c r="C12" s="137" t="n"/>
      <c r="D12" s="145" t="n"/>
      <c r="E12" s="162" t="n">
        <v>0</v>
      </c>
      <c r="F12" s="162">
        <f>'8. Income Statement'!E13*'6. Cash Receipts-Disbursements'!G9</f>
        <v/>
      </c>
      <c r="G12" s="162">
        <f>('8. Income Statement'!F13*'6. Cash Receipts-Disbursements'!$G$9)+('8. Income Statement'!E13*'6. Cash Receipts-Disbursements'!$G$10)</f>
        <v/>
      </c>
      <c r="H12" s="162">
        <f>('8. Income Statement'!G13*'6. Cash Receipts-Disbursements'!$G$9)+('8. Income Statement'!F13*'6. Cash Receipts-Disbursements'!$G$10)</f>
        <v/>
      </c>
      <c r="I12" s="162">
        <f>('8. Income Statement'!H13*'6. Cash Receipts-Disbursements'!$G$9)+('8. Income Statement'!G13*'6. Cash Receipts-Disbursements'!$G$10)</f>
        <v/>
      </c>
      <c r="J12" s="162">
        <f>('8. Income Statement'!I13*'6. Cash Receipts-Disbursements'!$G$9)+('8. Income Statement'!H13*'6. Cash Receipts-Disbursements'!$G$10)</f>
        <v/>
      </c>
      <c r="K12" s="162">
        <f>('8. Income Statement'!J13*'6. Cash Receipts-Disbursements'!$G$9)+('8. Income Statement'!I13*'6. Cash Receipts-Disbursements'!$G$10)</f>
        <v/>
      </c>
      <c r="L12" s="162">
        <f>('8. Income Statement'!K13*'6. Cash Receipts-Disbursements'!$G$9)+('8. Income Statement'!J13*'6. Cash Receipts-Disbursements'!$G$10)</f>
        <v/>
      </c>
      <c r="M12" s="162">
        <f>('8. Income Statement'!L13*'6. Cash Receipts-Disbursements'!$G$9)+('8. Income Statement'!K13*'6. Cash Receipts-Disbursements'!$G$10)</f>
        <v/>
      </c>
      <c r="N12" s="162">
        <f>('8. Income Statement'!M13*'6. Cash Receipts-Disbursements'!$G$9)+('8. Income Statement'!L13*'6. Cash Receipts-Disbursements'!$G$10)</f>
        <v/>
      </c>
      <c r="O12" s="162">
        <f>('8. Income Statement'!N13*'6. Cash Receipts-Disbursements'!$G$9)+('8. Income Statement'!M13*'6. Cash Receipts-Disbursements'!$G$10)</f>
        <v/>
      </c>
      <c r="P12" s="162">
        <f>('8. Income Statement'!O13*'6. Cash Receipts-Disbursements'!$G$9)+('8. Income Statement'!N13*'6. Cash Receipts-Disbursements'!$G$10)</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'8. Income Statement'!E20*'6. Cash Receipts-Disbursements'!G15</f>
        <v/>
      </c>
      <c r="F19" s="156">
        <f>('8. Income Statement'!F20*'6. Cash Receipts-Disbursements'!G15)+('8. Income Statement'!E20*'6. Cash Receipts-Disbursements'!G16)</f>
        <v/>
      </c>
      <c r="G19" s="156">
        <f>('8. Income Statement'!G20*'6. Cash Receipts-Disbursements'!$G$15)+('8. Income Statement'!F20*'6. Cash Receipts-Disbursements'!$G$16)+('8. Income Statement'!E20*'6. Cash Receipts-Disbursements'!$G$17)</f>
        <v/>
      </c>
      <c r="H19" s="156">
        <f>('8. Income Statement'!H20*'6. Cash Receipts-Disbursements'!$G$15)+('8. Income Statement'!G20*'6. Cash Receipts-Disbursements'!$G$16)+('8. Income Statement'!F20*'6. Cash Receipts-Disbursements'!$G$17)</f>
        <v/>
      </c>
      <c r="I19" s="156">
        <f>('8. Income Statement'!I20*'6. Cash Receipts-Disbursements'!$G$15)+('8. Income Statement'!H20*'6. Cash Receipts-Disbursements'!$G$16)+('8. Income Statement'!G20*'6. Cash Receipts-Disbursements'!$G$17)</f>
        <v/>
      </c>
      <c r="J19" s="156">
        <f>('8. Income Statement'!J20*'6. Cash Receipts-Disbursements'!$G$15)+('8. Income Statement'!I20*'6. Cash Receipts-Disbursements'!$G$16)+('8. Income Statement'!H20*'6. Cash Receipts-Disbursements'!$G$17)</f>
        <v/>
      </c>
      <c r="K19" s="156">
        <f>('8. Income Statement'!K20*'6. Cash Receipts-Disbursements'!$G$15)+('8. Income Statement'!J20*'6. Cash Receipts-Disbursements'!$G$16)+('8. Income Statement'!I20*'6. Cash Receipts-Disbursements'!$G$17)</f>
        <v/>
      </c>
      <c r="L19" s="156">
        <f>('8. Income Statement'!L20*'6. Cash Receipts-Disbursements'!$G$15)+('8. Income Statement'!K20*'6. Cash Receipts-Disbursements'!$G$16)+('8. Income Statement'!J20*'6. Cash Receipts-Disbursements'!$G$17)</f>
        <v/>
      </c>
      <c r="M19" s="156">
        <f>('8. Income Statement'!M20*'6. Cash Receipts-Disbursements'!$G$15)+('8. Income Statement'!L20*'6. Cash Receipts-Disbursements'!$G$16)+('8. Income Statement'!K20*'6. Cash Receipts-Disbursements'!$G$17)</f>
        <v/>
      </c>
      <c r="N19" s="156">
        <f>('8. Income Statement'!N20*'6. Cash Receipts-Disbursements'!$G$15)+('8. Income Statement'!M20*'6. Cash Receipts-Disbursements'!$G$16)+('8. Income Statement'!L20*'6. Cash Receipts-Disbursements'!$G$17)</f>
        <v/>
      </c>
      <c r="O19" s="156">
        <f>('8. Income Statement'!O20*'6. Cash Receipts-Disbursements'!$G$15)+('8. Income Statement'!N20*'6. Cash Receipts-Disbursements'!$G$16)+('8. Income Statement'!M20*'6. Cash Receipts-Disbursements'!$G$17)</f>
        <v/>
      </c>
      <c r="P19" s="156">
        <f>('8. Income Statement'!P20*'6. Cash Receipts-Disbursements'!$G$15)+('8. Income Statement'!O20*'6. Cash Receipts-Disbursements'!$G$16)+('8. Income Statement'!N20*'6. Cash Receipts-Disbursements'!$G$17)</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'8. Income Statement'!E31</f>
        <v/>
      </c>
      <c r="F21" s="156">
        <f>'8. Income Statement'!F31</f>
        <v/>
      </c>
      <c r="G21" s="156">
        <f>'8. Income Statement'!G31</f>
        <v/>
      </c>
      <c r="H21" s="156">
        <f>'8. Income Statement'!H31</f>
        <v/>
      </c>
      <c r="I21" s="156">
        <f>'8. Income Statement'!I31</f>
        <v/>
      </c>
      <c r="J21" s="156">
        <f>'8. Income Statement'!J31</f>
        <v/>
      </c>
      <c r="K21" s="156">
        <f>'8. Income Statement'!K31</f>
        <v/>
      </c>
      <c r="L21" s="156">
        <f>'8. Income Statement'!L31</f>
        <v/>
      </c>
      <c r="M21" s="156">
        <f>'8. Income Statement'!M31</f>
        <v/>
      </c>
      <c r="N21" s="156">
        <f>'8. Income Statement'!N31</f>
        <v/>
      </c>
      <c r="O21" s="156">
        <f>'8. Income Statement'!O31</f>
        <v/>
      </c>
      <c r="P21" s="156">
        <f>'8. Income Statement'!P31</f>
        <v/>
      </c>
      <c r="Q21" s="156">
        <f>SUM(E21:P21)</f>
        <v/>
      </c>
    </row>
    <row r="22" ht="12.75" customHeight="1" s="131">
      <c r="A22" s="137" t="n"/>
      <c r="B22" s="137" t="n"/>
      <c r="C22" s="137">
        <f>'8. Income Statement'!A33</f>
        <v/>
      </c>
      <c r="D22" s="145" t="n"/>
      <c r="E22" s="156">
        <f>'8. Income Statement'!E54</f>
        <v/>
      </c>
      <c r="F22" s="156">
        <f>'8. Income Statement'!F54</f>
        <v/>
      </c>
      <c r="G22" s="156">
        <f>'8. Income Statement'!G54</f>
        <v/>
      </c>
      <c r="H22" s="156">
        <f>'8. Income Statement'!H54</f>
        <v/>
      </c>
      <c r="I22" s="156">
        <f>'8. Income Statement'!I54</f>
        <v/>
      </c>
      <c r="J22" s="156">
        <f>'8. Income Statement'!J54</f>
        <v/>
      </c>
      <c r="K22" s="156">
        <f>'8. Income Statement'!K54</f>
        <v/>
      </c>
      <c r="L22" s="156">
        <f>'8. Income Statement'!L54</f>
        <v/>
      </c>
      <c r="M22" s="156">
        <f>'8. Income Statement'!M54</f>
        <v/>
      </c>
      <c r="N22" s="156">
        <f>'8. Income Statement'!N54</f>
        <v/>
      </c>
      <c r="O22" s="156">
        <f>'8. Income Statement'!O54</f>
        <v/>
      </c>
      <c r="P22" s="156">
        <f>'8. Income Statement'!P54</f>
        <v/>
      </c>
      <c r="Q22" s="156">
        <f>SUM(E22:P22)</f>
        <v/>
      </c>
    </row>
    <row r="23" ht="12.75" customHeight="1" s="131">
      <c r="A23" s="137" t="n"/>
      <c r="B23" s="137" t="n"/>
      <c r="C23" s="137" t="inlineStr">
        <is>
          <t>Taxes</t>
        </is>
      </c>
      <c r="D23" s="145" t="n"/>
      <c r="E23" s="156" t="n">
        <v>0</v>
      </c>
      <c r="F23" s="156" t="n">
        <v>0</v>
      </c>
      <c r="G23" s="156">
        <f>SUM('8. Income Statement'!E63:G63)</f>
        <v/>
      </c>
      <c r="H23" s="156" t="n">
        <v>0</v>
      </c>
      <c r="I23" s="156" t="n">
        <v>0</v>
      </c>
      <c r="J23" s="156">
        <f>SUM('8. Income Statement'!H63:J63)</f>
        <v/>
      </c>
      <c r="K23" s="156" t="n">
        <v>0</v>
      </c>
      <c r="L23" s="156" t="n">
        <v>0</v>
      </c>
      <c r="M23" s="156">
        <f>SUM('8. Income Statement'!K63:M63)</f>
        <v/>
      </c>
      <c r="N23" s="156" t="n">
        <v>0</v>
      </c>
      <c r="O23" s="156" t="n">
        <v>0</v>
      </c>
      <c r="P23" s="156">
        <f>SUM('8. Income Statement'!N63:P63)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t="n">
        <v>0</v>
      </c>
      <c r="F26" s="156">
        <f>('6. Cash Receipts-Disbursements'!$G$22/12)*E40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f>SUM(E33:P33)</f>
        <v/>
      </c>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Receipts-Disbursements'!$G$21-'9. Cash Flow Statement'!E33,0)</f>
        <v/>
      </c>
      <c r="F35" s="156">
        <f>IF((F33-'6. Cash Receipts-Disbursements'!$G$21)&lt;0,'6. Cash Receipts-Disbursements'!$G$21-'9. Cash Flow Statement'!F33,0)</f>
        <v/>
      </c>
      <c r="G35" s="156">
        <f>IF((G33-'6. Cash Receipts-Disbursements'!$G$21)&lt;0,'6. Cash Receipts-Disbursements'!$G$21-'9. Cash Flow Statement'!G33,0)</f>
        <v/>
      </c>
      <c r="H35" s="156">
        <f>IF((H33-'6. Cash Receipts-Disbursements'!$G$21)&lt;0,'6. Cash Receipts-Disbursements'!$G$21-'9. Cash Flow Statement'!H33,0)</f>
        <v/>
      </c>
      <c r="I35" s="156">
        <f>IF((I33-'6. Cash Receipts-Disbursements'!$G$21)&lt;0,'6. Cash Receipts-Disbursements'!$G$21-'9. Cash Flow Statement'!I33,0)</f>
        <v/>
      </c>
      <c r="J35" s="156">
        <f>IF((J33-'6. Cash Receipts-Disbursements'!$G$21)&lt;0,'6. Cash Receipts-Disbursements'!$G$21-'9. Cash Flow Statement'!J33,0)</f>
        <v/>
      </c>
      <c r="K35" s="156">
        <f>IF((K33-'6. Cash Receipts-Disbursements'!$G$21)&lt;0,'6. Cash Receipts-Disbursements'!$G$21-'9. Cash Flow Statement'!K33,0)</f>
        <v/>
      </c>
      <c r="L35" s="156">
        <f>IF((L33-'6. Cash Receipts-Disbursements'!$G$21)&lt;0,'6. Cash Receipts-Disbursements'!$G$21-'9. Cash Flow Statement'!L33,0)</f>
        <v/>
      </c>
      <c r="M35" s="156">
        <f>IF((M33-'6. Cash Receipts-Disbursements'!$G$21)&lt;0,'6. Cash Receipts-Disbursements'!$G$21-'9. Cash Flow Statement'!M33,0)</f>
        <v/>
      </c>
      <c r="N35" s="156">
        <f>IF((N33-'6. Cash Receipts-Disbursements'!$G$21)&lt;0,'6. Cash Receipts-Disbursements'!$G$21-'9. Cash Flow Statement'!N33,0)</f>
        <v/>
      </c>
      <c r="O35" s="156">
        <f>IF((O33-'6. Cash Receipts-Disbursements'!$G$21)&lt;0,'6. Cash Receipts-Disbursements'!$G$21-'9. Cash Flow Statement'!O33,0)</f>
        <v/>
      </c>
      <c r="P35" s="156">
        <f>IF((P33-'6. Cash Receipts-Disbursements'!$G$21)&lt;0,'6. Cash Receipts-Disbursements'!$G$21-'9. Cash Flow Statement'!P33,0)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f>SUM(E37:P37)</f>
        <v/>
      </c>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f>SUM(E40:P40)</f>
        <v/>
      </c>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Base Period</t>
        </is>
      </c>
      <c r="G6" s="171" t="n"/>
      <c r="H6" s="140" t="n"/>
      <c r="I6" s="172" t="inlineStr">
        <is>
          <t>End of Year One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 Required Start-Up Funds'!E28+'7. Beginning Balance Sheet'!F10</f>
        <v/>
      </c>
      <c r="G10" s="156" t="n"/>
      <c r="H10" s="156" t="n"/>
      <c r="I10" s="156">
        <f>'9. Cash Flow Statement'!P37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'7. Beginning Balance Sheet'!F11</f>
        <v/>
      </c>
      <c r="G11" s="156" t="n"/>
      <c r="H11" s="156" t="n"/>
      <c r="I11" s="156">
        <f>F11+'8. Income Statement'!Q13-'9. Cash Flow Statement'!Q13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 Required Start-Up Funds'!E20+'7. Beginning Balance Sheet'!F12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 Required Start-Up Funds'!G29-'1. Required Start-Up Funds'!E28-'1. Required Start-Up Funds'!E20-'1. Required Start-Up Funds'!E27+'7. Beginning Balance Sheet'!F13</f>
        <v/>
      </c>
      <c r="G13" s="156" t="n"/>
      <c r="H13" s="156" t="n"/>
      <c r="I13" s="156">
        <f>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 Required Start-Up Funds'!E27</f>
        <v/>
      </c>
      <c r="G14" s="156" t="n"/>
      <c r="H14" s="156" t="n"/>
      <c r="I14" s="162">
        <f>F14-'6. Cash Receipts-Disbursements'!J27</f>
        <v/>
      </c>
      <c r="J14" s="182"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9" t="n"/>
      <c r="H15" s="156" t="n"/>
      <c r="I15" s="156">
        <f>SUM(I10:I14)</f>
        <v/>
      </c>
      <c r="J15" s="159"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 Required Start-Up Funds'!E8+'7. Beginning Balance Sheet'!F18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 Required Start-Up Funds'!E9+'7. Beginning Balance Sheet'!F19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 Required Start-Up Funds'!E10+'7. Beginning Balance Sheet'!F20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 Required Start-Up Funds'!E11+'7. Beginning Balance Sheet'!F21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 Required Start-Up Funds'!E12+'7. Beginning Balance Sheet'!F22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 Required Start-Up Funds'!E13+'7. Beginning Balance Sheet'!F23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'7. Beginning Balance Sheet'!F24+'1. Required Start-Up Funds'!E14</f>
        <v/>
      </c>
      <c r="G24" s="156" t="n"/>
      <c r="H24" s="156" t="n"/>
      <c r="I24" s="162">
        <f>F24+'9. Cash Flow Statement'!Q17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9" t="n"/>
      <c r="H25" s="156" t="n"/>
      <c r="I25" s="156">
        <f>SUM(I18:I24)</f>
        <v/>
      </c>
      <c r="J25" s="159"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'7. Beginning Balance Sheet'!F27</f>
        <v/>
      </c>
      <c r="G27" s="156" t="n"/>
      <c r="H27" s="156" t="n"/>
      <c r="I27" s="156">
        <f>F27+'8. Income Statement'!Q58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9" t="n"/>
      <c r="H29" s="156" t="n"/>
      <c r="I29" s="184">
        <f>INT(I15+I25-I27)</f>
        <v/>
      </c>
      <c r="J29" s="159"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'7. Beginning Balance Sheet'!F35</f>
        <v/>
      </c>
      <c r="G35" s="156" t="n"/>
      <c r="H35" s="156" t="n"/>
      <c r="I35" s="156">
        <f>'8. Income Statement'!Q20-'9. Cash Flow Statement'!Q19+F35</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 Required Start-Up Funds'!G40+'7. Beginning Balance Sheet'!F36</f>
        <v/>
      </c>
      <c r="G36" s="156" t="n"/>
      <c r="H36" s="156" t="n"/>
      <c r="I36" s="156">
        <f>'20. Amoritization Schedule'!R17+'7.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 Required Start-Up Funds'!G41+'7. Beginning Balance Sheet'!F37</f>
        <v/>
      </c>
      <c r="G37" s="156" t="n"/>
      <c r="H37" s="156" t="n"/>
      <c r="I37" s="156">
        <f>'20. Amoritization Schedule'!R37+'7.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'7. Beginning Balance Sheet'!F38</f>
        <v/>
      </c>
      <c r="G38" s="156" t="n"/>
      <c r="H38" s="156" t="n"/>
      <c r="I38" s="162">
        <f>'9. Cash Flow Statement'!P40+F38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9" t="n"/>
      <c r="H39" s="156" t="n"/>
      <c r="I39" s="156">
        <f>SUM(I35:I38)</f>
        <v/>
      </c>
      <c r="J39" s="159"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 Required Start-Up Funds'!G37+'1. Required Start-Up Funds'!G38+'7. Beginning Balance Sheet'!F42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'7. Beginning Balance Sheet'!F43</f>
        <v/>
      </c>
      <c r="G43" s="156" t="n"/>
      <c r="H43" s="156" t="n"/>
      <c r="I43" s="156">
        <f>'8. Income Statement'!Q66+F43</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'7. Beginning Balance Sheet'!F44</f>
        <v/>
      </c>
      <c r="G44" s="156" t="n"/>
      <c r="H44" s="156" t="n"/>
      <c r="I44" s="162">
        <f>'9. Cash Flow Statement'!Q28+F44</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9" t="n"/>
      <c r="H45" s="156" t="n"/>
      <c r="I45" s="156">
        <f>I42+I43-I44</f>
        <v/>
      </c>
      <c r="J45" s="159"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9" t="n"/>
      <c r="H47" s="156" t="n"/>
      <c r="I47" s="184">
        <f>INT(I39+I45)</f>
        <v/>
      </c>
      <c r="J47" s="159"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S7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5"/>
    <col width="20.74" customWidth="1" style="130" min="6" max="6"/>
    <col width="10.72" customWidth="1" style="130" min="7" max="8"/>
    <col width="20.74" customWidth="1" style="130" min="9" max="9"/>
    <col width="10.72" customWidth="1" style="130" min="10" max="11"/>
    <col width="20.74" customWidth="1" style="130" min="12" max="12"/>
    <col width="10.72" customWidth="1" style="130" min="13" max="18"/>
    <col width="15.73" customWidth="1" style="130" min="19" max="19"/>
  </cols>
  <sheetData>
    <row r="1" ht="15.75" customHeight="1" s="131">
      <c r="A1" s="142">
        <f>'1. Required Start-Up Funds'!A1</f>
        <v/>
      </c>
    </row>
    <row r="2" ht="15.75" customHeight="1" s="131">
      <c r="A2" s="142" t="inlineStr">
        <is>
          <t>Year End Summary</t>
        </is>
      </c>
    </row>
    <row r="3" ht="12.75" customHeight="1" s="131">
      <c r="A3" s="137" t="n"/>
      <c r="B3" s="137" t="n"/>
      <c r="C3" s="137" t="n"/>
      <c r="D3" s="145" t="n"/>
      <c r="E3" s="145" t="n"/>
      <c r="F3" s="145" t="n"/>
      <c r="G3" s="145" t="n"/>
      <c r="H3" s="145" t="n"/>
      <c r="I3" s="145" t="n"/>
      <c r="J3" s="145" t="n"/>
      <c r="K3" s="145" t="n"/>
      <c r="L3" s="145" t="n"/>
      <c r="M3" s="145" t="n"/>
      <c r="N3" s="145" t="n"/>
      <c r="O3" s="145" t="n"/>
      <c r="P3" s="167" t="n"/>
      <c r="Q3" s="167" t="n"/>
      <c r="R3" s="167" t="n"/>
      <c r="S3" s="167" t="n"/>
    </row>
    <row r="4" ht="12.75" customHeight="1" s="131">
      <c r="A4" s="137" t="n"/>
      <c r="B4" s="137" t="n"/>
      <c r="C4" s="137" t="n"/>
      <c r="D4" s="145" t="n"/>
      <c r="E4" s="145" t="n"/>
      <c r="F4" s="145" t="n"/>
      <c r="G4" s="145" t="n"/>
      <c r="H4" s="145" t="n"/>
      <c r="I4" s="145" t="n"/>
      <c r="J4" s="145" t="n"/>
      <c r="K4" s="145" t="n"/>
      <c r="L4" s="145" t="n"/>
      <c r="M4" s="145" t="n"/>
      <c r="N4" s="145" t="n"/>
      <c r="O4" s="145" t="n"/>
      <c r="P4" s="167" t="n"/>
      <c r="Q4" s="167" t="n"/>
      <c r="R4" s="167" t="n"/>
      <c r="S4" s="167" t="n"/>
    </row>
    <row r="5" ht="12.75" customHeight="1" s="131">
      <c r="A5" s="137" t="n"/>
      <c r="B5" s="137" t="n"/>
      <c r="C5" s="137" t="n"/>
      <c r="D5" s="145" t="n"/>
      <c r="E5" s="145" t="n"/>
      <c r="F5" s="145" t="n"/>
      <c r="G5" s="145" t="n"/>
      <c r="H5" s="145" t="n"/>
      <c r="I5" s="145" t="n"/>
      <c r="J5" s="145" t="n"/>
      <c r="K5" s="145" t="n"/>
      <c r="L5" s="145" t="n"/>
      <c r="M5" s="145" t="n"/>
      <c r="N5" s="145" t="n"/>
      <c r="O5" s="145" t="n"/>
      <c r="P5" s="167" t="n"/>
      <c r="Q5" s="167" t="n"/>
      <c r="R5" s="167" t="n"/>
      <c r="S5" s="167" t="n"/>
    </row>
    <row r="6" ht="12.75" customHeight="1" s="131">
      <c r="A6" s="137" t="n"/>
      <c r="B6" s="137" t="n"/>
      <c r="C6" s="137" t="n"/>
      <c r="D6" s="145" t="n"/>
      <c r="E6" s="140" t="n"/>
      <c r="F6" s="172" t="inlineStr">
        <is>
          <t>Year One</t>
        </is>
      </c>
      <c r="G6" s="171" t="inlineStr">
        <is>
          <t>%</t>
        </is>
      </c>
      <c r="H6" s="140" t="n"/>
      <c r="I6" s="172" t="inlineStr">
        <is>
          <t>Year Two</t>
        </is>
      </c>
      <c r="J6" s="171" t="inlineStr">
        <is>
          <t>%</t>
        </is>
      </c>
      <c r="K6" s="140" t="n"/>
      <c r="L6" s="172" t="inlineStr">
        <is>
          <t>Year Three</t>
        </is>
      </c>
      <c r="M6" s="171" t="inlineStr">
        <is>
          <t>%</t>
        </is>
      </c>
      <c r="N6" s="140" t="n"/>
      <c r="O6" s="140" t="n"/>
      <c r="P6" s="217" t="n"/>
      <c r="Q6" s="217" t="n"/>
      <c r="R6" s="217" t="n"/>
      <c r="S6" s="217" t="n"/>
    </row>
    <row r="7" ht="12.75" customHeight="1" s="131">
      <c r="A7" s="137" t="n"/>
      <c r="B7" s="137" t="n"/>
      <c r="C7" s="137" t="n"/>
      <c r="D7" s="145" t="n"/>
      <c r="E7" s="145" t="n"/>
      <c r="F7" s="145" t="n"/>
      <c r="G7" s="159" t="n"/>
      <c r="H7" s="145" t="n"/>
      <c r="I7" s="145" t="n"/>
      <c r="J7" s="145" t="n"/>
      <c r="K7" s="145" t="n"/>
      <c r="L7" s="145" t="n"/>
      <c r="M7" s="145" t="n"/>
      <c r="N7" s="145" t="n"/>
      <c r="O7" s="145" t="n"/>
      <c r="P7" s="167" t="n"/>
      <c r="Q7" s="167" t="n"/>
      <c r="R7" s="167" t="n"/>
      <c r="S7" s="167" t="n"/>
    </row>
    <row r="8" outlineLevel="1" ht="12.75" customHeight="1" s="131">
      <c r="A8" s="137">
        <f>'8. Income Statement'!A8</f>
        <v/>
      </c>
      <c r="B8" s="137" t="n"/>
      <c r="C8" s="137" t="n"/>
      <c r="D8" s="145" t="n"/>
      <c r="E8" s="145" t="n"/>
      <c r="F8" s="145" t="n"/>
      <c r="G8" s="159" t="n"/>
      <c r="H8" s="145" t="n"/>
      <c r="I8" s="145" t="n"/>
      <c r="J8" s="159" t="n"/>
      <c r="K8" s="145" t="n"/>
      <c r="L8" s="145" t="n"/>
      <c r="M8" s="159" t="n"/>
      <c r="N8" s="145" t="n"/>
      <c r="O8" s="145" t="n"/>
      <c r="P8" s="167" t="n"/>
      <c r="Q8" s="167" t="n"/>
      <c r="R8" s="167" t="n"/>
      <c r="S8" s="167" t="n"/>
    </row>
    <row r="9" outlineLevel="1" ht="12.75" customHeight="1" s="131">
      <c r="A9" s="137" t="n"/>
      <c r="B9" s="137">
        <f>'8. Income Statement'!B9</f>
        <v/>
      </c>
      <c r="C9" s="137" t="n"/>
      <c r="D9" s="145" t="n"/>
      <c r="E9" s="145" t="n"/>
      <c r="F9" s="156">
        <f>'8. Income Statement'!Q9</f>
        <v/>
      </c>
      <c r="G9" s="159" t="n"/>
      <c r="H9" s="145" t="n"/>
      <c r="I9" s="156">
        <f>'12. Income Statement (2)'!Q9</f>
        <v/>
      </c>
      <c r="J9" s="159" t="n"/>
      <c r="K9" s="145" t="n"/>
      <c r="L9" s="156">
        <f>'15. Income Statement (3)'!Q9</f>
        <v/>
      </c>
      <c r="M9" s="159" t="n"/>
      <c r="N9" s="145" t="n"/>
      <c r="O9" s="145" t="n"/>
      <c r="P9" s="167" t="n"/>
      <c r="Q9" s="167" t="n"/>
      <c r="R9" s="167" t="n"/>
      <c r="S9" s="167" t="n"/>
    </row>
    <row r="10" outlineLevel="1" ht="12.75" customHeight="1" s="131">
      <c r="A10" s="137" t="n"/>
      <c r="B10" s="137">
        <f>'8. Income Statement'!B10</f>
        <v/>
      </c>
      <c r="C10" s="137" t="n"/>
      <c r="D10" s="145" t="n"/>
      <c r="E10" s="145" t="n"/>
      <c r="F10" s="156">
        <f>'8. Income Statement'!Q10</f>
        <v/>
      </c>
      <c r="G10" s="159" t="n"/>
      <c r="H10" s="145" t="n"/>
      <c r="I10" s="156">
        <f>'12. Income Statement (2)'!Q10</f>
        <v/>
      </c>
      <c r="J10" s="159" t="n"/>
      <c r="K10" s="145" t="n"/>
      <c r="L10" s="156">
        <f>'15. Income Statement (3)'!Q10</f>
        <v/>
      </c>
      <c r="M10" s="159" t="n"/>
      <c r="N10" s="145" t="n"/>
      <c r="O10" s="145" t="n"/>
      <c r="P10" s="167" t="n"/>
      <c r="Q10" s="167" t="n"/>
      <c r="R10" s="167" t="n"/>
      <c r="S10" s="167" t="n"/>
    </row>
    <row r="11" outlineLevel="1" ht="12.75" customHeight="1" s="131">
      <c r="A11" s="137" t="n"/>
      <c r="B11" s="137">
        <f>'8. Income Statement'!B11</f>
        <v/>
      </c>
      <c r="C11" s="137" t="n"/>
      <c r="D11" s="145" t="n"/>
      <c r="E11" s="145" t="n"/>
      <c r="F11" s="156">
        <f>'8. Income Statement'!Q11</f>
        <v/>
      </c>
      <c r="G11" s="159" t="n"/>
      <c r="H11" s="145" t="n"/>
      <c r="I11" s="156">
        <f>'12. Income Statement (2)'!Q11</f>
        <v/>
      </c>
      <c r="J11" s="159" t="n"/>
      <c r="K11" s="145" t="n"/>
      <c r="L11" s="156">
        <f>'15. Income Statement (3)'!Q11</f>
        <v/>
      </c>
      <c r="M11" s="159" t="n"/>
      <c r="N11" s="145" t="n"/>
      <c r="O11" s="145" t="n"/>
      <c r="P11" s="167" t="n"/>
      <c r="Q11" s="167" t="n"/>
      <c r="R11" s="167" t="n"/>
      <c r="S11" s="167" t="n"/>
    </row>
    <row r="12" outlineLevel="1" ht="12.75" customHeight="1" s="131">
      <c r="A12" s="137" t="n"/>
      <c r="B12" s="137">
        <f>'8. Income Statement'!B12</f>
        <v/>
      </c>
      <c r="C12" s="137" t="n"/>
      <c r="D12" s="145" t="n"/>
      <c r="E12" s="145" t="n"/>
      <c r="F12" s="162">
        <f>'8. Income Statement'!Q12</f>
        <v/>
      </c>
      <c r="G12" s="159" t="n"/>
      <c r="H12" s="145" t="n"/>
      <c r="I12" s="162">
        <f>'12. Income Statement (2)'!Q12</f>
        <v/>
      </c>
      <c r="J12" s="159" t="n"/>
      <c r="K12" s="145" t="n"/>
      <c r="L12" s="162">
        <f>'15. Income Statement (3)'!Q12</f>
        <v/>
      </c>
      <c r="M12" s="159" t="n"/>
      <c r="N12" s="145" t="n"/>
      <c r="O12" s="145" t="n"/>
      <c r="P12" s="167" t="n"/>
      <c r="Q12" s="167" t="n"/>
      <c r="R12" s="167" t="n"/>
      <c r="S12" s="167" t="n"/>
    </row>
    <row r="13" ht="12.75" customHeight="1" s="131">
      <c r="A13" s="137">
        <f>'8. Income Statement'!A13</f>
        <v/>
      </c>
      <c r="B13" s="137" t="n"/>
      <c r="C13" s="137" t="n"/>
      <c r="D13" s="145" t="n"/>
      <c r="E13" s="145" t="n"/>
      <c r="F13" s="156">
        <f>'8. Income Statement'!Q13</f>
        <v/>
      </c>
      <c r="G13" s="159" t="n">
        <v>1</v>
      </c>
      <c r="H13" s="145" t="n"/>
      <c r="I13" s="182">
        <f>SUM(I9:I12)</f>
        <v/>
      </c>
      <c r="J13" s="159" t="n">
        <v>1</v>
      </c>
      <c r="K13" s="145" t="n"/>
      <c r="L13" s="182">
        <f>SUM(L9:L12)</f>
        <v/>
      </c>
      <c r="M13" s="159" t="n">
        <v>1</v>
      </c>
      <c r="N13" s="145" t="n"/>
      <c r="O13" s="145" t="n"/>
      <c r="P13" s="167" t="n"/>
      <c r="Q13" s="167" t="n"/>
      <c r="R13" s="167" t="n"/>
      <c r="S13" s="167" t="n"/>
    </row>
    <row r="14" ht="12.75" customHeight="1" s="131">
      <c r="A14" s="137" t="n"/>
      <c r="B14" s="137" t="n"/>
      <c r="C14" s="137" t="n"/>
      <c r="D14" s="145" t="n"/>
      <c r="E14" s="145" t="n"/>
      <c r="F14" s="145" t="n"/>
      <c r="G14" s="159" t="n"/>
      <c r="H14" s="145" t="n"/>
      <c r="I14" s="145" t="n"/>
      <c r="J14" s="159" t="n"/>
      <c r="K14" s="145" t="n"/>
      <c r="L14" s="145" t="n"/>
      <c r="M14" s="159" t="n"/>
      <c r="N14" s="145" t="n"/>
      <c r="O14" s="145" t="n"/>
      <c r="P14" s="167" t="n"/>
      <c r="Q14" s="167" t="n"/>
      <c r="R14" s="167" t="n"/>
      <c r="S14" s="167" t="n"/>
    </row>
    <row r="15" outlineLevel="1" ht="12.75" customHeight="1" s="131">
      <c r="A15" s="137">
        <f>'8. Income Statement'!A15</f>
        <v/>
      </c>
      <c r="B15" s="137" t="n"/>
      <c r="C15" s="137" t="n"/>
      <c r="D15" s="145" t="n"/>
      <c r="E15" s="156" t="n"/>
      <c r="F15" s="156" t="n"/>
      <c r="G15" s="159" t="n"/>
      <c r="H15" s="156" t="n"/>
      <c r="I15" s="156" t="n"/>
      <c r="J15" s="159" t="n"/>
      <c r="K15" s="156" t="n"/>
      <c r="L15" s="156" t="n"/>
      <c r="M15" s="159" t="n"/>
      <c r="N15" s="156" t="n"/>
      <c r="O15" s="156" t="n"/>
      <c r="P15" s="207" t="n"/>
      <c r="Q15" s="207" t="n"/>
      <c r="R15" s="207" t="n"/>
      <c r="S15" s="207" t="n"/>
    </row>
    <row r="16" outlineLevel="1" ht="12.75" customHeight="1" s="131">
      <c r="A16" s="137" t="n"/>
      <c r="B16" s="137">
        <f>'8. Income Statement'!B16</f>
        <v/>
      </c>
      <c r="C16" s="137" t="n"/>
      <c r="D16" s="145" t="n"/>
      <c r="E16" s="156" t="n"/>
      <c r="F16" s="156">
        <f>'8. Income Statement'!Q16</f>
        <v/>
      </c>
      <c r="G16" s="159" t="n"/>
      <c r="H16" s="156" t="n"/>
      <c r="I16" s="156">
        <f>'12. Income Statement (2)'!Q16</f>
        <v/>
      </c>
      <c r="J16" s="159" t="n"/>
      <c r="K16" s="156" t="n"/>
      <c r="L16" s="156">
        <f>'15. Income Statement (3)'!Q16</f>
        <v/>
      </c>
      <c r="M16" s="159" t="n"/>
      <c r="N16" s="156" t="n"/>
      <c r="O16" s="156" t="n"/>
      <c r="P16" s="207" t="n"/>
      <c r="Q16" s="207" t="n"/>
      <c r="R16" s="207" t="n"/>
      <c r="S16" s="207" t="n"/>
    </row>
    <row r="17" outlineLevel="1" ht="12.75" customHeight="1" s="131">
      <c r="A17" s="137" t="n"/>
      <c r="B17" s="137">
        <f>'8. Income Statement'!B17</f>
        <v/>
      </c>
      <c r="C17" s="137" t="n"/>
      <c r="D17" s="145" t="n"/>
      <c r="E17" s="182" t="n"/>
      <c r="F17" s="156">
        <f>'8. Income Statement'!Q17</f>
        <v/>
      </c>
      <c r="G17" s="159" t="n"/>
      <c r="H17" s="182" t="n"/>
      <c r="I17" s="156">
        <f>'12. Income Statement (2)'!Q17</f>
        <v/>
      </c>
      <c r="J17" s="159" t="n"/>
      <c r="K17" s="182" t="n"/>
      <c r="L17" s="156">
        <f>'15. Income Statement (3)'!Q17</f>
        <v/>
      </c>
      <c r="M17" s="159" t="n"/>
      <c r="N17" s="182" t="n"/>
      <c r="O17" s="182" t="n"/>
      <c r="P17" s="208" t="n"/>
      <c r="Q17" s="208" t="n"/>
      <c r="R17" s="208" t="n"/>
      <c r="S17" s="208" t="n"/>
    </row>
    <row r="18" outlineLevel="1" ht="12.75" customHeight="1" s="131">
      <c r="A18" s="137" t="n"/>
      <c r="B18" s="137">
        <f>'8. Income Statement'!B18</f>
        <v/>
      </c>
      <c r="C18" s="137" t="n"/>
      <c r="D18" s="145" t="n"/>
      <c r="E18" s="182" t="n"/>
      <c r="F18" s="156">
        <f>'8. Income Statement'!Q18</f>
        <v/>
      </c>
      <c r="G18" s="159" t="n"/>
      <c r="H18" s="182" t="n"/>
      <c r="I18" s="156">
        <f>'12. Income Statement (2)'!Q18</f>
        <v/>
      </c>
      <c r="J18" s="159" t="n"/>
      <c r="K18" s="182" t="n"/>
      <c r="L18" s="156">
        <f>'15. Income Statement (3)'!Q18</f>
        <v/>
      </c>
      <c r="M18" s="159" t="n"/>
      <c r="N18" s="182" t="n"/>
      <c r="O18" s="182" t="n"/>
      <c r="P18" s="208" t="n"/>
      <c r="Q18" s="208" t="n"/>
      <c r="R18" s="208" t="n"/>
      <c r="S18" s="208" t="n"/>
    </row>
    <row r="19" outlineLevel="1" ht="12.75" customHeight="1" s="131">
      <c r="A19" s="137" t="n"/>
      <c r="B19" s="137">
        <f>'8. Income Statement'!B19</f>
        <v/>
      </c>
      <c r="C19" s="137" t="n"/>
      <c r="D19" s="145" t="n"/>
      <c r="E19" s="156" t="n"/>
      <c r="F19" s="162">
        <f>'8. Income Statement'!Q19</f>
        <v/>
      </c>
      <c r="G19" s="224" t="n"/>
      <c r="H19" s="156" t="n"/>
      <c r="I19" s="162">
        <f>'12. Income Statement (2)'!Q19</f>
        <v/>
      </c>
      <c r="J19" s="224" t="n"/>
      <c r="K19" s="156" t="n"/>
      <c r="L19" s="162">
        <f>'15. Income Statement (3)'!Q19</f>
        <v/>
      </c>
      <c r="M19" s="224" t="n"/>
      <c r="N19" s="156" t="n"/>
      <c r="O19" s="156" t="n"/>
      <c r="P19" s="207" t="n"/>
      <c r="Q19" s="207" t="n"/>
      <c r="R19" s="207" t="n"/>
      <c r="S19" s="207" t="n"/>
    </row>
    <row r="20" ht="12.75" customHeight="1" s="131">
      <c r="A20" s="137">
        <f>'8. Income Statement'!A20</f>
        <v/>
      </c>
      <c r="B20" s="137" t="n"/>
      <c r="C20" s="137" t="n"/>
      <c r="D20" s="145" t="n"/>
      <c r="E20" s="156" t="n"/>
      <c r="F20" s="156">
        <f>SUM(F16:F19)</f>
        <v/>
      </c>
      <c r="G20" s="159">
        <f>IF(F20=0,0,F20/F13)</f>
        <v/>
      </c>
      <c r="H20" s="156" t="n"/>
      <c r="I20" s="156">
        <f>SUM(I16:I19)</f>
        <v/>
      </c>
      <c r="J20" s="159">
        <f>IF(I20=0,0,I20/I13)</f>
        <v/>
      </c>
      <c r="K20" s="156" t="n"/>
      <c r="L20" s="156">
        <f>SUM(L16:L19)</f>
        <v/>
      </c>
      <c r="M20" s="159">
        <f>IF(L20=0,0,L20/L13)</f>
        <v/>
      </c>
      <c r="N20" s="156" t="n"/>
      <c r="O20" s="156" t="n"/>
      <c r="P20" s="207" t="n"/>
      <c r="Q20" s="207" t="n"/>
      <c r="R20" s="207" t="n"/>
      <c r="S20" s="207" t="n"/>
    </row>
    <row r="21" ht="12.75" customHeight="1" s="131">
      <c r="A21" s="137" t="n"/>
      <c r="B21" s="137" t="n"/>
      <c r="C21" s="137" t="n"/>
      <c r="D21" s="145" t="n"/>
      <c r="E21" s="182" t="n"/>
      <c r="F21" s="182" t="n"/>
      <c r="G21" s="159" t="n"/>
      <c r="H21" s="182" t="n"/>
      <c r="I21" s="182" t="n"/>
      <c r="J21" s="159" t="n"/>
      <c r="K21" s="182" t="n"/>
      <c r="L21" s="182" t="n"/>
      <c r="M21" s="159" t="n"/>
      <c r="N21" s="182" t="n"/>
      <c r="O21" s="182" t="n"/>
      <c r="P21" s="208" t="n"/>
      <c r="Q21" s="208" t="n"/>
      <c r="R21" s="208" t="n"/>
      <c r="S21" s="208" t="n"/>
    </row>
    <row r="22" ht="12.75" customHeight="1" s="131">
      <c r="A22" s="137">
        <f>'8. Income Statement'!A22</f>
        <v/>
      </c>
      <c r="B22" s="137" t="n"/>
      <c r="C22" s="137" t="n"/>
      <c r="D22" s="145" t="n"/>
      <c r="E22" s="182" t="n"/>
      <c r="F22" s="218">
        <f>'8. Income Statement'!Q22</f>
        <v/>
      </c>
      <c r="G22" s="159">
        <f>IF(F22=0,0,F22/F13)</f>
        <v/>
      </c>
      <c r="H22" s="182" t="n"/>
      <c r="I22" s="218">
        <f>'12. Income Statement (2)'!Q22</f>
        <v/>
      </c>
      <c r="J22" s="159">
        <f>IF(I22=0,0,I22/I13)</f>
        <v/>
      </c>
      <c r="K22" s="182" t="n"/>
      <c r="L22" s="218">
        <f>'15. Income Statement (3)'!Q22</f>
        <v/>
      </c>
      <c r="M22" s="159">
        <f>IF(L22=0,0,L22/L13)</f>
        <v/>
      </c>
      <c r="N22" s="182" t="n"/>
      <c r="O22" s="182" t="n"/>
      <c r="P22" s="208" t="n"/>
      <c r="Q22" s="208" t="n"/>
      <c r="R22" s="208" t="n"/>
      <c r="S22" s="208" t="n"/>
    </row>
    <row r="23" ht="12.75" customHeight="1" s="131">
      <c r="A23" s="137" t="n"/>
      <c r="B23" s="137" t="n"/>
      <c r="C23" s="137" t="n"/>
      <c r="D23" s="145" t="n"/>
      <c r="E23" s="182" t="n"/>
      <c r="F23" s="182" t="n"/>
      <c r="G23" s="159" t="n"/>
      <c r="H23" s="182" t="n"/>
      <c r="I23" s="182" t="n"/>
      <c r="J23" s="159" t="n"/>
      <c r="K23" s="182" t="n"/>
      <c r="L23" s="182" t="n"/>
      <c r="M23" s="159" t="n"/>
      <c r="N23" s="182" t="n"/>
      <c r="O23" s="182" t="n"/>
      <c r="P23" s="208" t="n"/>
      <c r="Q23" s="208" t="n"/>
      <c r="R23" s="208" t="n"/>
      <c r="S23" s="208" t="n"/>
    </row>
    <row r="24" hidden="1" outlineLevel="1" ht="12.75" customHeight="1" s="131">
      <c r="A24" s="137">
        <f>'8. Income Statement'!A24</f>
        <v/>
      </c>
      <c r="B24" s="137" t="n"/>
      <c r="C24" s="137" t="n"/>
      <c r="D24" s="145" t="n"/>
      <c r="E24" s="156" t="n"/>
      <c r="F24" s="156" t="n"/>
      <c r="G24" s="159" t="n"/>
      <c r="H24" s="156" t="n"/>
      <c r="I24" s="156" t="n"/>
      <c r="J24" s="159" t="n"/>
      <c r="K24" s="156" t="n"/>
      <c r="L24" s="156" t="n"/>
      <c r="M24" s="159" t="n"/>
      <c r="N24" s="156" t="n"/>
      <c r="O24" s="156" t="n"/>
      <c r="P24" s="207" t="n"/>
      <c r="Q24" s="207" t="n"/>
      <c r="R24" s="207" t="n"/>
      <c r="S24" s="207" t="n"/>
    </row>
    <row r="25" hidden="1" outlineLevel="1" ht="12.75" customHeight="1" s="131">
      <c r="A25" s="137" t="n"/>
      <c r="B25" s="137">
        <f>'8. Income Statement'!B25</f>
        <v/>
      </c>
      <c r="C25" s="137" t="n"/>
      <c r="D25" s="145" t="n"/>
      <c r="E25" s="156" t="n"/>
      <c r="F25" s="156">
        <f>'8. Income Statement'!Q25</f>
        <v/>
      </c>
      <c r="G25" s="159" t="n"/>
      <c r="H25" s="156" t="n"/>
      <c r="I25" s="156">
        <f>'12. Income Statement (2)'!Q25</f>
        <v/>
      </c>
      <c r="J25" s="159" t="n"/>
      <c r="K25" s="156" t="n"/>
      <c r="L25" s="156">
        <f>'15. Income Statement (3)'!Q25</f>
        <v/>
      </c>
      <c r="M25" s="159" t="n"/>
      <c r="N25" s="156" t="n"/>
      <c r="O25" s="156" t="n"/>
      <c r="P25" s="207" t="n"/>
      <c r="Q25" s="207" t="n"/>
      <c r="R25" s="207" t="n"/>
      <c r="S25" s="207" t="n"/>
    </row>
    <row r="26" hidden="1" outlineLevel="1" ht="12.75" customHeight="1" s="131">
      <c r="A26" s="137" t="n"/>
      <c r="B26" s="137">
        <f>'8. Income Statement'!B26</f>
        <v/>
      </c>
      <c r="C26" s="137" t="n"/>
      <c r="D26" s="145" t="n"/>
      <c r="E26" s="182" t="n"/>
      <c r="F26" s="156">
        <f>'8. Income Statement'!Q26</f>
        <v/>
      </c>
      <c r="G26" s="159" t="n"/>
      <c r="H26" s="182" t="n"/>
      <c r="I26" s="156">
        <f>'12. Income Statement (2)'!Q26</f>
        <v/>
      </c>
      <c r="J26" s="159" t="n"/>
      <c r="K26" s="182" t="n"/>
      <c r="L26" s="156">
        <f>'15. Income Statement (3)'!Q26</f>
        <v/>
      </c>
      <c r="M26" s="159" t="n"/>
      <c r="N26" s="182" t="n"/>
      <c r="O26" s="182" t="n"/>
      <c r="P26" s="208" t="n"/>
      <c r="Q26" s="208" t="n"/>
      <c r="R26" s="208" t="n"/>
      <c r="S26" s="208" t="n"/>
    </row>
    <row r="27" hidden="1" outlineLevel="1" ht="12.75" customHeight="1" s="131">
      <c r="A27" s="137" t="n"/>
      <c r="B27" s="137">
        <f>'8. Income Statement'!B27</f>
        <v/>
      </c>
      <c r="C27" s="137" t="n"/>
      <c r="D27" s="145" t="n"/>
      <c r="E27" s="145" t="n"/>
      <c r="F27" s="156">
        <f>'8. Income Statement'!Q27</f>
        <v/>
      </c>
      <c r="G27" s="159" t="n"/>
      <c r="H27" s="145" t="n"/>
      <c r="I27" s="156">
        <f>'12. Income Statement (2)'!Q27</f>
        <v/>
      </c>
      <c r="J27" s="159" t="n"/>
      <c r="K27" s="145" t="n"/>
      <c r="L27" s="156">
        <f>'15. Income Statement (3)'!Q27</f>
        <v/>
      </c>
      <c r="M27" s="159" t="n"/>
      <c r="N27" s="145" t="n"/>
      <c r="O27" s="145" t="n"/>
      <c r="P27" s="167" t="n"/>
      <c r="Q27" s="167" t="n"/>
      <c r="R27" s="167" t="n"/>
      <c r="S27" s="167" t="n"/>
    </row>
    <row r="28" hidden="1" outlineLevel="1" ht="12.75" customHeight="1" s="131">
      <c r="A28" s="137" t="n"/>
      <c r="B28" s="137">
        <f>'8. Income Statement'!B28</f>
        <v/>
      </c>
      <c r="C28" s="137" t="n"/>
      <c r="D28" s="145" t="n"/>
      <c r="E28" s="145" t="n"/>
      <c r="F28" s="156">
        <f>'8. Income Statement'!Q28</f>
        <v/>
      </c>
      <c r="G28" s="159" t="n"/>
      <c r="H28" s="145" t="n"/>
      <c r="I28" s="156">
        <f>'12. Income Statement (2)'!Q28</f>
        <v/>
      </c>
      <c r="J28" s="159" t="n"/>
      <c r="K28" s="145" t="n"/>
      <c r="L28" s="156">
        <f>'15. Income Statement (3)'!Q28</f>
        <v/>
      </c>
      <c r="M28" s="159" t="n"/>
      <c r="N28" s="145" t="n"/>
      <c r="O28" s="145" t="n"/>
      <c r="P28" s="167" t="n"/>
      <c r="Q28" s="167" t="n"/>
      <c r="R28" s="167" t="n"/>
      <c r="S28" s="167" t="n"/>
    </row>
    <row r="29" hidden="1" outlineLevel="1" ht="12.75" customHeight="1" s="131">
      <c r="A29" s="137" t="n"/>
      <c r="B29" s="137">
        <f>'8. Income Statement'!B29</f>
        <v/>
      </c>
      <c r="C29" s="137" t="n"/>
      <c r="D29" s="145" t="n"/>
      <c r="E29" s="145" t="n"/>
      <c r="F29" s="156">
        <f>'8. Income Statement'!Q29</f>
        <v/>
      </c>
      <c r="G29" s="159" t="n"/>
      <c r="H29" s="145" t="n"/>
      <c r="I29" s="156">
        <f>'12. Income Statement (2)'!Q29</f>
        <v/>
      </c>
      <c r="J29" s="159" t="n"/>
      <c r="K29" s="145" t="n"/>
      <c r="L29" s="156">
        <f>'15. Income Statement (3)'!Q29</f>
        <v/>
      </c>
      <c r="M29" s="159" t="n"/>
      <c r="N29" s="145" t="n"/>
      <c r="O29" s="145" t="n"/>
      <c r="P29" s="167" t="n"/>
      <c r="Q29" s="167" t="n"/>
      <c r="R29" s="167" t="n"/>
      <c r="S29" s="167" t="n"/>
    </row>
    <row r="30" hidden="1" outlineLevel="1" ht="12.75" customHeight="1" s="131">
      <c r="A30" s="137" t="n"/>
      <c r="B30" s="137">
        <f>'8. Income Statement'!B30</f>
        <v/>
      </c>
      <c r="C30" s="137" t="n"/>
      <c r="D30" s="145" t="n"/>
      <c r="E30" s="145" t="n"/>
      <c r="F30" s="162">
        <f>'8. Income Statement'!Q30</f>
        <v/>
      </c>
      <c r="G30" s="159" t="n"/>
      <c r="H30" s="145" t="n"/>
      <c r="I30" s="162">
        <f>'12. Income Statement (2)'!Q30</f>
        <v/>
      </c>
      <c r="J30" s="159" t="n"/>
      <c r="K30" s="145" t="n"/>
      <c r="L30" s="162">
        <f>'15. Income Statement (3)'!Q30</f>
        <v/>
      </c>
      <c r="M30" s="159" t="n"/>
      <c r="N30" s="145" t="n"/>
      <c r="O30" s="145" t="n"/>
      <c r="P30" s="167" t="n"/>
      <c r="Q30" s="167" t="n"/>
      <c r="R30" s="167" t="n"/>
      <c r="S30" s="167" t="n"/>
    </row>
    <row r="31" ht="12.75" customHeight="1" s="131">
      <c r="A31" s="137">
        <f>'8. Income Statement'!A31</f>
        <v/>
      </c>
      <c r="B31" s="137" t="n"/>
      <c r="C31" s="137" t="n"/>
      <c r="D31" s="145" t="n"/>
      <c r="E31" s="145" t="n"/>
      <c r="F31" s="182">
        <f>SUM(F25:F30)</f>
        <v/>
      </c>
      <c r="G31" s="159">
        <f>IF(F31=0,0,F31/F13)</f>
        <v/>
      </c>
      <c r="H31" s="145" t="n"/>
      <c r="I31" s="182">
        <f>SUM(I25:I30)</f>
        <v/>
      </c>
      <c r="J31" s="159">
        <f>IF(I31=0,0,I31/I13)</f>
        <v/>
      </c>
      <c r="K31" s="145" t="n"/>
      <c r="L31" s="182">
        <f>SUM(L25:L30)</f>
        <v/>
      </c>
      <c r="M31" s="159">
        <f>IF(L31=0,0,L31/L13)</f>
        <v/>
      </c>
      <c r="N31" s="145" t="n"/>
      <c r="O31" s="145" t="n"/>
      <c r="P31" s="167" t="n"/>
      <c r="Q31" s="167" t="n"/>
      <c r="R31" s="167" t="n"/>
      <c r="S31" s="167" t="n"/>
    </row>
    <row r="32" ht="12.75" customHeight="1" s="131">
      <c r="A32" s="137" t="n"/>
      <c r="B32" s="137" t="n"/>
      <c r="C32" s="137" t="n"/>
      <c r="D32" s="145" t="n"/>
      <c r="E32" s="145" t="n"/>
      <c r="F32" s="145" t="n"/>
      <c r="G32" s="159" t="n"/>
      <c r="H32" s="145" t="n"/>
      <c r="I32" s="145" t="n"/>
      <c r="J32" s="159" t="n"/>
      <c r="K32" s="145" t="n"/>
      <c r="L32" s="145" t="n"/>
      <c r="M32" s="159" t="n"/>
      <c r="N32" s="145" t="n"/>
      <c r="O32" s="145" t="n"/>
      <c r="P32" s="167" t="n"/>
      <c r="Q32" s="167" t="n"/>
      <c r="R32" s="167" t="n"/>
      <c r="S32" s="167" t="n"/>
    </row>
    <row r="33" outlineLevel="1" ht="12.75" customHeight="1" s="131">
      <c r="A33" s="137">
        <f>'8. Income Statement'!A33</f>
        <v/>
      </c>
      <c r="B33" s="137" t="n"/>
      <c r="C33" s="137" t="n"/>
      <c r="D33" s="145" t="n"/>
      <c r="E33" s="145" t="n"/>
      <c r="F33" s="145" t="n"/>
      <c r="G33" s="159" t="n"/>
      <c r="H33" s="145" t="n"/>
      <c r="I33" s="145" t="n"/>
      <c r="J33" s="159" t="n"/>
      <c r="K33" s="145" t="n"/>
      <c r="L33" s="145" t="n"/>
      <c r="M33" s="159" t="n"/>
      <c r="N33" s="145" t="n"/>
      <c r="O33" s="145" t="n"/>
      <c r="P33" s="167" t="n"/>
      <c r="Q33" s="167" t="n"/>
      <c r="R33" s="167" t="n"/>
      <c r="S33" s="167" t="n"/>
    </row>
    <row r="34" outlineLevel="1" ht="12.75" customHeight="1" s="131">
      <c r="A34" s="137" t="n"/>
      <c r="B34" s="137">
        <f>'8. Income Statement'!B34</f>
        <v/>
      </c>
      <c r="C34" s="137" t="n"/>
      <c r="D34" s="145" t="n"/>
      <c r="E34" s="145" t="n"/>
      <c r="F34" s="156">
        <f>'8. Income Statement'!Q34</f>
        <v/>
      </c>
      <c r="G34" s="159" t="n"/>
      <c r="H34" s="145" t="n"/>
      <c r="I34" s="156">
        <f>'12. Income Statement (2)'!Q34</f>
        <v/>
      </c>
      <c r="J34" s="159" t="n"/>
      <c r="K34" s="145" t="n"/>
      <c r="L34" s="156">
        <f>'15. Income Statement (3)'!Q34</f>
        <v/>
      </c>
      <c r="M34" s="159" t="n"/>
      <c r="N34" s="145" t="n"/>
      <c r="O34" s="145" t="n"/>
      <c r="P34" s="167" t="n"/>
      <c r="Q34" s="167" t="n"/>
      <c r="R34" s="167" t="n"/>
      <c r="S34" s="167" t="n"/>
    </row>
    <row r="35" outlineLevel="1" ht="12.75" customHeight="1" s="131">
      <c r="A35" s="137" t="n"/>
      <c r="B35" s="137">
        <f>'8. Income Statement'!B35</f>
        <v/>
      </c>
      <c r="C35" s="137" t="n"/>
      <c r="D35" s="145" t="n"/>
      <c r="E35" s="156" t="n"/>
      <c r="F35" s="156">
        <f>'8. Income Statement'!Q35</f>
        <v/>
      </c>
      <c r="G35" s="159" t="n"/>
      <c r="H35" s="156" t="n"/>
      <c r="I35" s="156">
        <f>'12. Income Statement (2)'!Q35</f>
        <v/>
      </c>
      <c r="J35" s="159" t="n"/>
      <c r="K35" s="156" t="n"/>
      <c r="L35" s="156">
        <f>'15. Income Statement (3)'!Q35</f>
        <v/>
      </c>
      <c r="M35" s="159" t="n"/>
      <c r="N35" s="156" t="n"/>
      <c r="O35" s="156" t="n"/>
      <c r="P35" s="207" t="n"/>
      <c r="Q35" s="207" t="n"/>
      <c r="R35" s="207" t="n"/>
      <c r="S35" s="207" t="n"/>
    </row>
    <row r="36" outlineLevel="1" ht="12.75" customHeight="1" s="131">
      <c r="A36" s="137" t="n"/>
      <c r="B36" s="137">
        <f>'8. Income Statement'!B36</f>
        <v/>
      </c>
      <c r="C36" s="137" t="n"/>
      <c r="D36" s="145" t="n"/>
      <c r="E36" s="182" t="n"/>
      <c r="F36" s="156">
        <f>'8. Income Statement'!Q36</f>
        <v/>
      </c>
      <c r="G36" s="159" t="n"/>
      <c r="H36" s="182" t="n"/>
      <c r="I36" s="156">
        <f>'12. Income Statement (2)'!Q36</f>
        <v/>
      </c>
      <c r="J36" s="159" t="n"/>
      <c r="K36" s="182" t="n"/>
      <c r="L36" s="156">
        <f>'15. Income Statement (3)'!Q36</f>
        <v/>
      </c>
      <c r="M36" s="159" t="n"/>
      <c r="N36" s="182" t="n"/>
      <c r="O36" s="182" t="n"/>
      <c r="P36" s="208" t="n"/>
      <c r="Q36" s="208" t="n"/>
      <c r="R36" s="208" t="n"/>
      <c r="S36" s="167" t="n"/>
    </row>
    <row r="37" outlineLevel="1" ht="12.75" customHeight="1" s="131">
      <c r="A37" s="137" t="n"/>
      <c r="B37" s="137">
        <f>'8. Income Statement'!B37</f>
        <v/>
      </c>
      <c r="C37" s="137" t="n"/>
      <c r="D37" s="145" t="n"/>
      <c r="E37" s="145" t="n"/>
      <c r="F37" s="156">
        <f>'8. Income Statement'!Q37</f>
        <v/>
      </c>
      <c r="G37" s="159" t="n"/>
      <c r="H37" s="145" t="n"/>
      <c r="I37" s="156">
        <f>'12. Income Statement (2)'!Q37</f>
        <v/>
      </c>
      <c r="J37" s="159" t="n"/>
      <c r="K37" s="145" t="n"/>
      <c r="L37" s="156">
        <f>'15. Income Statement (3)'!Q37</f>
        <v/>
      </c>
      <c r="M37" s="159" t="n"/>
      <c r="N37" s="145" t="n"/>
      <c r="O37" s="145" t="n"/>
      <c r="P37" s="167" t="n"/>
      <c r="Q37" s="167" t="n"/>
      <c r="R37" s="167" t="n"/>
      <c r="S37" s="167" t="n"/>
    </row>
    <row r="38" outlineLevel="1" ht="12.75" customHeight="1" s="131">
      <c r="A38" s="137" t="n"/>
      <c r="B38" s="137">
        <f>'8. Income Statement'!B38</f>
        <v/>
      </c>
      <c r="C38" s="137" t="n"/>
      <c r="D38" s="145" t="n"/>
      <c r="E38" s="145" t="n"/>
      <c r="F38" s="156">
        <f>'8. Income Statement'!Q38</f>
        <v/>
      </c>
      <c r="G38" s="159" t="n"/>
      <c r="H38" s="145" t="n"/>
      <c r="I38" s="156">
        <f>'12. Income Statement (2)'!Q38</f>
        <v/>
      </c>
      <c r="J38" s="159" t="n"/>
      <c r="K38" s="145" t="n"/>
      <c r="L38" s="156">
        <f>'15. Income Statement (3)'!Q38</f>
        <v/>
      </c>
      <c r="M38" s="159" t="n"/>
      <c r="N38" s="145" t="n"/>
      <c r="O38" s="145" t="n"/>
      <c r="P38" s="167" t="n"/>
      <c r="Q38" s="167" t="n"/>
      <c r="R38" s="167" t="n"/>
      <c r="S38" s="167" t="n"/>
    </row>
    <row r="39" outlineLevel="1" ht="12.75" customHeight="1" s="131">
      <c r="A39" s="137" t="n"/>
      <c r="B39" s="137">
        <f>'8. Income Statement'!B39</f>
        <v/>
      </c>
      <c r="C39" s="137" t="n"/>
      <c r="D39" s="145" t="n"/>
      <c r="E39" s="145" t="n"/>
      <c r="F39" s="156">
        <f>'8. Income Statement'!Q39</f>
        <v/>
      </c>
      <c r="G39" s="159" t="n"/>
      <c r="H39" s="145" t="n"/>
      <c r="I39" s="156">
        <f>'12. Income Statement (2)'!Q39</f>
        <v/>
      </c>
      <c r="J39" s="159" t="n"/>
      <c r="K39" s="145" t="n"/>
      <c r="L39" s="156">
        <f>'15. Income Statement (3)'!Q39</f>
        <v/>
      </c>
      <c r="M39" s="159" t="n"/>
      <c r="N39" s="145" t="n"/>
      <c r="O39" s="145" t="n"/>
      <c r="P39" s="167" t="n"/>
      <c r="Q39" s="167" t="n"/>
      <c r="R39" s="167" t="n"/>
      <c r="S39" s="167" t="n"/>
    </row>
    <row r="40" outlineLevel="1" ht="12.75" customHeight="1" s="131">
      <c r="A40" s="137" t="n"/>
      <c r="B40" s="137">
        <f>'8. Income Statement'!B40</f>
        <v/>
      </c>
      <c r="C40" s="137" t="n"/>
      <c r="D40" s="145" t="n"/>
      <c r="E40" s="145" t="n"/>
      <c r="F40" s="156">
        <f>'8. Income Statement'!Q40</f>
        <v/>
      </c>
      <c r="G40" s="159" t="n"/>
      <c r="H40" s="145" t="n"/>
      <c r="I40" s="156">
        <f>'12. Income Statement (2)'!Q40</f>
        <v/>
      </c>
      <c r="J40" s="159" t="n"/>
      <c r="K40" s="145" t="n"/>
      <c r="L40" s="156">
        <f>'15. Income Statement (3)'!Q40</f>
        <v/>
      </c>
      <c r="M40" s="159" t="n"/>
      <c r="N40" s="145" t="n"/>
      <c r="O40" s="145" t="n"/>
      <c r="P40" s="167" t="n"/>
      <c r="Q40" s="167" t="n"/>
      <c r="R40" s="167" t="n"/>
      <c r="S40" s="167" t="n"/>
    </row>
    <row r="41" outlineLevel="1" ht="12.75" customHeight="1" s="131">
      <c r="A41" s="137" t="n"/>
      <c r="B41" s="137">
        <f>'8. Income Statement'!B41</f>
        <v/>
      </c>
      <c r="C41" s="137" t="n"/>
      <c r="D41" s="145" t="n"/>
      <c r="E41" s="145" t="n"/>
      <c r="F41" s="156">
        <f>'8. Income Statement'!Q41</f>
        <v/>
      </c>
      <c r="G41" s="159" t="n"/>
      <c r="H41" s="145" t="n"/>
      <c r="I41" s="156">
        <f>'12. Income Statement (2)'!Q41</f>
        <v/>
      </c>
      <c r="J41" s="159" t="n"/>
      <c r="K41" s="145" t="n"/>
      <c r="L41" s="156">
        <f>'15. Income Statement (3)'!Q41</f>
        <v/>
      </c>
      <c r="M41" s="159" t="n"/>
      <c r="N41" s="145" t="n"/>
      <c r="O41" s="145" t="n"/>
      <c r="P41" s="167" t="n"/>
      <c r="Q41" s="167" t="n"/>
      <c r="R41" s="167" t="n"/>
      <c r="S41" s="167" t="n"/>
    </row>
    <row r="42" outlineLevel="1" ht="12.75" customHeight="1" s="131">
      <c r="A42" s="137" t="n"/>
      <c r="B42" s="137">
        <f>'8. Income Statement'!B42</f>
        <v/>
      </c>
      <c r="C42" s="137" t="n"/>
      <c r="D42" s="145" t="n"/>
      <c r="E42" s="145" t="n"/>
      <c r="F42" s="156">
        <f>'8. Income Statement'!Q42</f>
        <v/>
      </c>
      <c r="G42" s="159" t="n"/>
      <c r="H42" s="145" t="n"/>
      <c r="I42" s="156">
        <f>'12. Income Statement (2)'!Q42</f>
        <v/>
      </c>
      <c r="J42" s="159" t="n"/>
      <c r="K42" s="145" t="n"/>
      <c r="L42" s="156">
        <f>'15. Income Statement (3)'!Q42</f>
        <v/>
      </c>
      <c r="M42" s="159" t="n"/>
      <c r="N42" s="145" t="n"/>
      <c r="O42" s="145" t="n"/>
      <c r="P42" s="167" t="n"/>
      <c r="Q42" s="167" t="n"/>
      <c r="R42" s="167" t="n"/>
      <c r="S42" s="167" t="n"/>
    </row>
    <row r="43" outlineLevel="1" ht="12.75" customHeight="1" s="131">
      <c r="A43" s="137" t="n"/>
      <c r="B43" s="137">
        <f>'8. Income Statement'!B43</f>
        <v/>
      </c>
      <c r="C43" s="137" t="n"/>
      <c r="D43" s="145" t="n"/>
      <c r="E43" s="145" t="n"/>
      <c r="F43" s="156">
        <f>'8. Income Statement'!Q43</f>
        <v/>
      </c>
      <c r="G43" s="159" t="n"/>
      <c r="H43" s="145" t="n"/>
      <c r="I43" s="156">
        <f>'12. Income Statement (2)'!Q43</f>
        <v/>
      </c>
      <c r="J43" s="159" t="n"/>
      <c r="K43" s="145" t="n"/>
      <c r="L43" s="156">
        <f>'15. Income Statement (3)'!Q43</f>
        <v/>
      </c>
      <c r="M43" s="159" t="n"/>
      <c r="N43" s="145" t="n"/>
      <c r="O43" s="145" t="n"/>
      <c r="P43" s="167" t="n"/>
      <c r="Q43" s="167" t="n"/>
      <c r="R43" s="167" t="n"/>
      <c r="S43" s="167" t="n"/>
    </row>
    <row r="44" outlineLevel="1" ht="12.75" customHeight="1" s="131">
      <c r="A44" s="137" t="n"/>
      <c r="B44" s="137">
        <f>'8. Income Statement'!B44</f>
        <v/>
      </c>
      <c r="C44" s="137" t="n"/>
      <c r="D44" s="145" t="n"/>
      <c r="E44" s="145" t="n"/>
      <c r="F44" s="156">
        <f>'8. Income Statement'!Q44</f>
        <v/>
      </c>
      <c r="G44" s="159" t="n"/>
      <c r="H44" s="145" t="n"/>
      <c r="I44" s="156">
        <f>'12. Income Statement (2)'!Q44</f>
        <v/>
      </c>
      <c r="J44" s="159" t="n"/>
      <c r="K44" s="145" t="n"/>
      <c r="L44" s="156">
        <f>'15. Income Statement (3)'!Q44</f>
        <v/>
      </c>
      <c r="M44" s="159" t="n"/>
      <c r="N44" s="145" t="n"/>
      <c r="O44" s="145" t="n"/>
      <c r="P44" s="167" t="n"/>
      <c r="Q44" s="167" t="n"/>
      <c r="R44" s="167" t="n"/>
      <c r="S44" s="167" t="n"/>
    </row>
    <row r="45" outlineLevel="1" ht="12.75" customHeight="1" s="131">
      <c r="A45" s="137" t="n"/>
      <c r="B45" s="137">
        <f>'8. Income Statement'!B45</f>
        <v/>
      </c>
      <c r="C45" s="137" t="n"/>
      <c r="D45" s="145" t="n"/>
      <c r="E45" s="145" t="n"/>
      <c r="F45" s="156">
        <f>'8. Income Statement'!Q45</f>
        <v/>
      </c>
      <c r="G45" s="159" t="n"/>
      <c r="H45" s="145" t="n"/>
      <c r="I45" s="156">
        <f>'12. Income Statement (2)'!Q45</f>
        <v/>
      </c>
      <c r="J45" s="159" t="n"/>
      <c r="K45" s="145" t="n"/>
      <c r="L45" s="156">
        <f>'15. Income Statement (3)'!Q45</f>
        <v/>
      </c>
      <c r="M45" s="159" t="n"/>
      <c r="N45" s="145" t="n"/>
      <c r="O45" s="145" t="n"/>
    </row>
    <row r="46" outlineLevel="1" ht="12.75" customHeight="1" s="131">
      <c r="A46" s="137" t="n"/>
      <c r="B46" s="137">
        <f>'8. Income Statement'!B46</f>
        <v/>
      </c>
      <c r="C46" s="137" t="n"/>
      <c r="D46" s="145" t="n"/>
      <c r="E46" s="145" t="n"/>
      <c r="F46" s="156">
        <f>'8. Income Statement'!Q46</f>
        <v/>
      </c>
      <c r="G46" s="159" t="n"/>
      <c r="H46" s="145" t="n"/>
      <c r="I46" s="156">
        <f>'12. Income Statement (2)'!Q46</f>
        <v/>
      </c>
      <c r="J46" s="159" t="n"/>
      <c r="K46" s="145" t="n"/>
      <c r="L46" s="156">
        <f>'15. Income Statement (3)'!Q46</f>
        <v/>
      </c>
      <c r="M46" s="159" t="n"/>
      <c r="N46" s="145" t="n"/>
      <c r="O46" s="145" t="n"/>
    </row>
    <row r="47" outlineLevel="1" ht="12.75" customHeight="1" s="131">
      <c r="A47" s="137" t="n"/>
      <c r="B47" s="137">
        <f>'8. Income Statement'!B47</f>
        <v/>
      </c>
      <c r="C47" s="137" t="n"/>
      <c r="D47" s="145" t="n"/>
      <c r="E47" s="145" t="n"/>
      <c r="F47" s="156">
        <f>'8. Income Statement'!Q47</f>
        <v/>
      </c>
      <c r="G47" s="159" t="n"/>
      <c r="H47" s="145" t="n"/>
      <c r="I47" s="156">
        <f>'12. Income Statement (2)'!Q47</f>
        <v/>
      </c>
      <c r="J47" s="159" t="n"/>
      <c r="K47" s="145" t="n"/>
      <c r="L47" s="156">
        <f>'15. Income Statement (3)'!Q47</f>
        <v/>
      </c>
      <c r="M47" s="159" t="n"/>
      <c r="N47" s="145" t="n"/>
      <c r="O47" s="145" t="n"/>
    </row>
    <row r="48" outlineLevel="1" ht="12.75" customHeight="1" s="131">
      <c r="A48" s="137" t="n"/>
      <c r="B48" s="137">
        <f>'8. Income Statement'!B48</f>
        <v/>
      </c>
      <c r="C48" s="137" t="n"/>
      <c r="D48" s="145" t="n"/>
      <c r="E48" s="145" t="n"/>
      <c r="F48" s="156">
        <f>'8. Income Statement'!Q48</f>
        <v/>
      </c>
      <c r="G48" s="159" t="n"/>
      <c r="H48" s="145" t="n"/>
      <c r="I48" s="156">
        <f>'12. Income Statement (2)'!Q48</f>
        <v/>
      </c>
      <c r="J48" s="159" t="n"/>
      <c r="K48" s="145" t="n"/>
      <c r="L48" s="156">
        <f>'15. Income Statement (3)'!Q48</f>
        <v/>
      </c>
      <c r="M48" s="159" t="n"/>
      <c r="N48" s="145" t="n"/>
      <c r="O48" s="145" t="n"/>
    </row>
    <row r="49" outlineLevel="1" ht="12.75" customHeight="1" s="131">
      <c r="A49" s="137" t="n"/>
      <c r="B49" s="137">
        <f>'8. Income Statement'!B49</f>
        <v/>
      </c>
      <c r="C49" s="137" t="n"/>
      <c r="D49" s="145" t="n"/>
      <c r="E49" s="145" t="n"/>
      <c r="F49" s="156">
        <f>'8. Income Statement'!Q49</f>
        <v/>
      </c>
      <c r="G49" s="159" t="n"/>
      <c r="H49" s="145" t="n"/>
      <c r="I49" s="156">
        <f>'12. Income Statement (2)'!Q49</f>
        <v/>
      </c>
      <c r="J49" s="159" t="n"/>
      <c r="K49" s="145" t="n"/>
      <c r="L49" s="156">
        <f>'15. Income Statement (3)'!Q49</f>
        <v/>
      </c>
      <c r="M49" s="159" t="n"/>
      <c r="N49" s="145" t="n"/>
      <c r="O49" s="145" t="n"/>
    </row>
    <row r="50" outlineLevel="1" ht="12.75" customHeight="1" s="131">
      <c r="A50" s="137" t="n"/>
      <c r="B50" s="137">
        <f>'8. Income Statement'!B50</f>
        <v/>
      </c>
      <c r="C50" s="137" t="n"/>
      <c r="D50" s="145" t="n"/>
      <c r="E50" s="145" t="n"/>
      <c r="F50" s="156">
        <f>'8. Income Statement'!Q50</f>
        <v/>
      </c>
      <c r="G50" s="159" t="n"/>
      <c r="H50" s="145" t="n"/>
      <c r="I50" s="156">
        <f>'12. Income Statement (2)'!Q50</f>
        <v/>
      </c>
      <c r="J50" s="159" t="n"/>
      <c r="K50" s="145" t="n"/>
      <c r="L50" s="156">
        <f>'15. Income Statement (3)'!Q50</f>
        <v/>
      </c>
      <c r="M50" s="159" t="n"/>
      <c r="N50" s="145" t="n"/>
      <c r="O50" s="145" t="n"/>
    </row>
    <row r="51" outlineLevel="1" ht="12.75" customHeight="1" s="131">
      <c r="A51" s="137" t="n"/>
      <c r="B51" s="137">
        <f>'8. Income Statement'!B51</f>
        <v/>
      </c>
      <c r="C51" s="137" t="n"/>
      <c r="D51" s="145" t="n"/>
      <c r="E51" s="145" t="n"/>
      <c r="F51" s="156">
        <f>'8. Income Statement'!Q51</f>
        <v/>
      </c>
      <c r="G51" s="159" t="n"/>
      <c r="H51" s="145" t="n"/>
      <c r="I51" s="156">
        <f>'12. Income Statement (2)'!Q51</f>
        <v/>
      </c>
      <c r="J51" s="159" t="n"/>
      <c r="K51" s="145" t="n"/>
      <c r="L51" s="156">
        <f>'15. Income Statement (3)'!Q51</f>
        <v/>
      </c>
      <c r="M51" s="159" t="n"/>
      <c r="N51" s="145" t="n"/>
      <c r="O51" s="145" t="n"/>
    </row>
    <row r="52" outlineLevel="1" ht="12.75" customHeight="1" s="131">
      <c r="A52" s="137" t="n"/>
      <c r="B52" s="137">
        <f>'8. Income Statement'!B52</f>
        <v/>
      </c>
      <c r="C52" s="137" t="n"/>
      <c r="D52" s="145" t="n"/>
      <c r="E52" s="145" t="n"/>
      <c r="F52" s="156">
        <f>'8. Income Statement'!Q52</f>
        <v/>
      </c>
      <c r="G52" s="159" t="n"/>
      <c r="H52" s="145" t="n"/>
      <c r="I52" s="156">
        <f>'12. Income Statement (2)'!Q52</f>
        <v/>
      </c>
      <c r="J52" s="159" t="n"/>
      <c r="K52" s="145" t="n"/>
      <c r="L52" s="156">
        <f>'15. Income Statement (3)'!Q52</f>
        <v/>
      </c>
      <c r="M52" s="159" t="n"/>
      <c r="N52" s="145" t="n"/>
      <c r="O52" s="145" t="n"/>
    </row>
    <row r="53" outlineLevel="1" ht="12.75" customHeight="1" s="131">
      <c r="A53" s="137" t="n"/>
      <c r="B53" s="137">
        <f>'8. Income Statement'!B53</f>
        <v/>
      </c>
      <c r="C53" s="137" t="n"/>
      <c r="D53" s="145" t="n"/>
      <c r="E53" s="145" t="n"/>
      <c r="F53" s="162">
        <f>'8. Income Statement'!Q53</f>
        <v/>
      </c>
      <c r="G53" s="159" t="n"/>
      <c r="H53" s="145" t="n"/>
      <c r="I53" s="162">
        <f>'12. Income Statement (2)'!Q53</f>
        <v/>
      </c>
      <c r="J53" s="159" t="n"/>
      <c r="K53" s="145" t="n"/>
      <c r="L53" s="162">
        <f>'15. Income Statement (3)'!Q53</f>
        <v/>
      </c>
      <c r="M53" s="159" t="n"/>
      <c r="N53" s="145" t="n"/>
      <c r="O53" s="145" t="n"/>
    </row>
    <row r="54" ht="12.75" customHeight="1" s="131">
      <c r="A54" s="137">
        <f>'8. Income Statement'!A54</f>
        <v/>
      </c>
      <c r="B54" s="137" t="n"/>
      <c r="C54" s="137" t="n"/>
      <c r="D54" s="145" t="n"/>
      <c r="E54" s="145" t="n"/>
      <c r="F54" s="182">
        <f>SUM(F34:F53)</f>
        <v/>
      </c>
      <c r="G54" s="159">
        <f>IF(F54=0,0,F54/F13)</f>
        <v/>
      </c>
      <c r="H54" s="145" t="n"/>
      <c r="I54" s="182">
        <f>SUM(I34:I53)</f>
        <v/>
      </c>
      <c r="J54" s="159">
        <f>IF(I54=0,0,I54/I13)</f>
        <v/>
      </c>
      <c r="K54" s="145" t="n"/>
      <c r="L54" s="182">
        <f>SUM(L34:L53)</f>
        <v/>
      </c>
      <c r="M54" s="159">
        <f>IF(L54=0,0,L54/L13)</f>
        <v/>
      </c>
      <c r="N54" s="145" t="n"/>
      <c r="O54" s="145" t="n"/>
    </row>
    <row r="55" ht="12.75" customHeight="1" s="131">
      <c r="A55" s="137" t="n"/>
      <c r="B55" s="137" t="n"/>
      <c r="C55" s="137" t="n"/>
      <c r="D55" s="145" t="n"/>
      <c r="E55" s="145" t="n"/>
      <c r="F55" s="145" t="n"/>
      <c r="G55" s="159" t="n"/>
      <c r="H55" s="145" t="n"/>
      <c r="I55" s="145" t="n"/>
      <c r="J55" s="159" t="n"/>
      <c r="K55" s="145" t="n"/>
      <c r="L55" s="145" t="n"/>
      <c r="M55" s="159" t="n"/>
      <c r="N55" s="145" t="n"/>
      <c r="O55" s="145" t="n"/>
      <c r="P55" s="130" t="n"/>
      <c r="Q55" s="130" t="n"/>
      <c r="R55" s="130" t="n"/>
      <c r="S55" s="130" t="n"/>
    </row>
    <row r="56" hidden="1" outlineLevel="1" ht="12.75" customHeight="1" s="131">
      <c r="A56" s="137">
        <f>'8. Income Statement'!A56</f>
        <v/>
      </c>
      <c r="B56" s="137" t="n"/>
      <c r="C56" s="137" t="n"/>
      <c r="D56" s="145" t="n"/>
      <c r="E56" s="145" t="n"/>
      <c r="F56" s="145" t="n"/>
      <c r="G56" s="159" t="n"/>
      <c r="H56" s="145" t="n"/>
      <c r="I56" s="145" t="n"/>
      <c r="J56" s="159" t="n"/>
      <c r="K56" s="145" t="n"/>
      <c r="L56" s="145" t="n"/>
      <c r="M56" s="159" t="n"/>
      <c r="N56" s="145" t="n"/>
      <c r="O56" s="145" t="n"/>
      <c r="P56" s="130" t="n"/>
      <c r="Q56" s="130" t="n"/>
      <c r="R56" s="130" t="n"/>
      <c r="S56" s="130" t="n"/>
    </row>
    <row r="57" hidden="1" outlineLevel="1" ht="12.75" customHeight="1" s="131">
      <c r="A57" s="137" t="n"/>
      <c r="B57" s="137" t="inlineStr">
        <is>
          <t>Amortized Start-up Expenses</t>
        </is>
      </c>
      <c r="C57" s="137" t="n"/>
      <c r="D57" s="145" t="n"/>
      <c r="E57" s="145" t="n"/>
      <c r="F57" s="182">
        <f>'8. Income Statement'!Q57</f>
        <v/>
      </c>
      <c r="G57" s="225" t="n"/>
      <c r="H57" s="182" t="n"/>
      <c r="I57" s="182">
        <f>'12. Income Statement (2)'!Q57</f>
        <v/>
      </c>
      <c r="J57" s="225" t="n"/>
      <c r="K57" s="182" t="n"/>
      <c r="L57" s="182">
        <f>'15. Income Statement (3)'!Q57</f>
        <v/>
      </c>
      <c r="M57" s="159" t="n"/>
      <c r="N57" s="145" t="n"/>
      <c r="O57" s="145" t="n"/>
      <c r="P57" s="130" t="n"/>
      <c r="Q57" s="130" t="n"/>
      <c r="R57" s="130" t="n"/>
      <c r="S57" s="130" t="n"/>
    </row>
    <row r="58" hidden="1" outlineLevel="1" ht="12.75" customHeight="1" s="131">
      <c r="A58" s="137" t="n"/>
      <c r="B58" s="137">
        <f>'8. Income Statement'!B58</f>
        <v/>
      </c>
      <c r="C58" s="137" t="n"/>
      <c r="D58" s="145" t="n"/>
      <c r="E58" s="145" t="n"/>
      <c r="F58" s="156">
        <f>'8. Income Statement'!Q58</f>
        <v/>
      </c>
      <c r="G58" s="159" t="n"/>
      <c r="H58" s="145" t="n"/>
      <c r="I58" s="156">
        <f>'12. Income Statement (2)'!Q58</f>
        <v/>
      </c>
      <c r="J58" s="159" t="n"/>
      <c r="K58" s="145" t="n"/>
      <c r="L58" s="156">
        <f>'15. Income Statement (3)'!Q58</f>
        <v/>
      </c>
      <c r="M58" s="159" t="n"/>
      <c r="N58" s="145" t="n"/>
      <c r="O58" s="145" t="n"/>
      <c r="P58" s="130" t="n"/>
      <c r="Q58" s="130" t="n"/>
      <c r="R58" s="130" t="n"/>
      <c r="S58" s="130" t="n"/>
    </row>
    <row r="59" hidden="1" outlineLevel="1" ht="12.75" customHeight="1" s="131">
      <c r="A59" s="137" t="n"/>
      <c r="B59" s="137">
        <f>'8. Income Statement'!B59</f>
        <v/>
      </c>
      <c r="C59" s="137" t="n"/>
      <c r="D59" s="145" t="n"/>
      <c r="E59" s="145" t="n"/>
      <c r="F59" s="156" t="n"/>
      <c r="G59" s="159" t="n"/>
      <c r="H59" s="145" t="n"/>
      <c r="I59" s="156" t="n"/>
      <c r="J59" s="159" t="n"/>
      <c r="K59" s="145" t="n"/>
      <c r="L59" s="156" t="n"/>
      <c r="M59" s="159" t="n"/>
      <c r="N59" s="145" t="n"/>
      <c r="O59" s="145" t="n"/>
      <c r="P59" s="130" t="n"/>
      <c r="Q59" s="130" t="n"/>
      <c r="R59" s="130" t="n"/>
      <c r="S59" s="130" t="n"/>
    </row>
    <row r="60" hidden="1" outlineLevel="1" ht="12.75" customHeight="1" s="131">
      <c r="A60" s="137" t="n"/>
      <c r="B60" s="137" t="n"/>
      <c r="C60" s="137">
        <f>'8. Income Statement'!C60</f>
        <v/>
      </c>
      <c r="D60" s="145" t="n"/>
      <c r="E60" s="145" t="n"/>
      <c r="F60" s="156">
        <f>'8. Income Statement'!Q60</f>
        <v/>
      </c>
      <c r="G60" s="159" t="n"/>
      <c r="H60" s="145" t="n"/>
      <c r="I60" s="156">
        <f>'12. Income Statement (2)'!Q60</f>
        <v/>
      </c>
      <c r="J60" s="159" t="n"/>
      <c r="K60" s="145" t="n"/>
      <c r="L60" s="156">
        <f>'15. Income Statement (3)'!Q60</f>
        <v/>
      </c>
      <c r="M60" s="159" t="n"/>
      <c r="N60" s="145" t="n"/>
      <c r="O60" s="145" t="n"/>
      <c r="P60" s="130" t="n"/>
      <c r="Q60" s="130" t="n"/>
      <c r="R60" s="130" t="n"/>
      <c r="S60" s="130" t="n"/>
    </row>
    <row r="61" hidden="1" outlineLevel="1" ht="12.75" customHeight="1" s="131">
      <c r="A61" s="137" t="n"/>
      <c r="B61" s="137" t="n"/>
      <c r="C61" s="137">
        <f>'8. Income Statement'!C61</f>
        <v/>
      </c>
      <c r="D61" s="145" t="n"/>
      <c r="E61" s="145" t="n"/>
      <c r="F61" s="156">
        <f>'8. Income Statement'!Q61</f>
        <v/>
      </c>
      <c r="G61" s="159" t="n"/>
      <c r="H61" s="145" t="n"/>
      <c r="I61" s="156">
        <f>'12. Income Statement (2)'!Q61</f>
        <v/>
      </c>
      <c r="J61" s="159" t="n"/>
      <c r="K61" s="145" t="n"/>
      <c r="L61" s="156">
        <f>'15. Income Statement (3)'!Q61</f>
        <v/>
      </c>
      <c r="M61" s="159" t="n"/>
      <c r="N61" s="145" t="n"/>
      <c r="O61" s="145" t="n"/>
      <c r="P61" s="130" t="n"/>
      <c r="Q61" s="130" t="n"/>
      <c r="R61" s="130" t="n"/>
      <c r="S61" s="130" t="n"/>
    </row>
    <row r="62" hidden="1" outlineLevel="1" ht="12.75" customHeight="1" s="131">
      <c r="A62" s="137" t="n"/>
      <c r="B62" s="137" t="n"/>
      <c r="C62" s="137">
        <f>'8. Income Statement'!C62</f>
        <v/>
      </c>
      <c r="D62" s="145" t="n"/>
      <c r="E62" s="145" t="n"/>
      <c r="F62" s="156">
        <f>'8. Income Statement'!Q62</f>
        <v/>
      </c>
      <c r="G62" s="159" t="n"/>
      <c r="H62" s="145" t="n"/>
      <c r="I62" s="156">
        <f>'12. Income Statement (2)'!Q62</f>
        <v/>
      </c>
      <c r="J62" s="159" t="n"/>
      <c r="K62" s="145" t="n"/>
      <c r="L62" s="156">
        <f>'15. Income Statement (3)'!Q62</f>
        <v/>
      </c>
      <c r="M62" s="159" t="n"/>
      <c r="N62" s="145" t="n"/>
      <c r="O62" s="145" t="n"/>
      <c r="P62" s="130" t="n"/>
      <c r="Q62" s="130" t="n"/>
      <c r="R62" s="130" t="n"/>
      <c r="S62" s="130" t="n"/>
    </row>
    <row r="63" hidden="1" outlineLevel="1" ht="12.75" customHeight="1" s="131">
      <c r="A63" s="137" t="n"/>
      <c r="B63" s="137">
        <f>'8. Income Statement'!B63</f>
        <v/>
      </c>
      <c r="C63" s="137" t="n"/>
      <c r="D63" s="145" t="n"/>
      <c r="E63" s="145" t="n"/>
      <c r="F63" s="162">
        <f>'8. Income Statement'!Q63</f>
        <v/>
      </c>
      <c r="G63" s="159" t="n"/>
      <c r="H63" s="145" t="n"/>
      <c r="I63" s="162">
        <f>'12. Income Statement (2)'!Q63</f>
        <v/>
      </c>
      <c r="J63" s="159" t="n"/>
      <c r="K63" s="145" t="n"/>
      <c r="L63" s="162">
        <f>'15. Income Statement (3)'!Q63</f>
        <v/>
      </c>
      <c r="M63" s="159" t="n"/>
      <c r="N63" s="145" t="n"/>
      <c r="O63" s="145" t="n"/>
      <c r="P63" s="130" t="n"/>
      <c r="Q63" s="130" t="n"/>
      <c r="R63" s="130" t="n"/>
      <c r="S63" s="130" t="n"/>
    </row>
    <row r="64" ht="12.75" customHeight="1" s="131">
      <c r="A64" s="137">
        <f>'8. Income Statement'!A64</f>
        <v/>
      </c>
      <c r="B64" s="137" t="n"/>
      <c r="C64" s="137" t="n"/>
      <c r="D64" s="145" t="n"/>
      <c r="E64" s="145" t="n"/>
      <c r="F64" s="182">
        <f>SUM(F57:F63)</f>
        <v/>
      </c>
      <c r="G64" s="159">
        <f>IF(F64=0,0,F64/F13)</f>
        <v/>
      </c>
      <c r="H64" s="145" t="n"/>
      <c r="I64" s="182">
        <f>SUM(I57:I63)</f>
        <v/>
      </c>
      <c r="J64" s="159">
        <f>IF(I64=0,0,I64/I13)</f>
        <v/>
      </c>
      <c r="K64" s="145" t="n"/>
      <c r="L64" s="182">
        <f>SUM(L57:L63)</f>
        <v/>
      </c>
      <c r="M64" s="159">
        <f>IF(L64=0,0,L64/L13)</f>
        <v/>
      </c>
      <c r="N64" s="145" t="n"/>
      <c r="O64" s="145" t="n"/>
      <c r="P64" s="130" t="n"/>
      <c r="Q64" s="130" t="n"/>
      <c r="R64" s="130" t="n"/>
      <c r="S64" s="130" t="n"/>
    </row>
    <row r="65" ht="12.75" customHeight="1" s="131">
      <c r="A65" s="137" t="n"/>
      <c r="B65" s="137" t="n"/>
      <c r="C65" s="137" t="n"/>
      <c r="D65" s="145" t="n"/>
      <c r="E65" s="145" t="n"/>
      <c r="F65" s="183" t="n"/>
      <c r="G65" s="159" t="n"/>
      <c r="H65" s="145" t="n"/>
      <c r="I65" s="183" t="n"/>
      <c r="J65" s="159" t="n"/>
      <c r="K65" s="145" t="n"/>
      <c r="L65" s="183" t="n"/>
      <c r="M65" s="159" t="n"/>
      <c r="N65" s="145" t="n"/>
      <c r="O65" s="145" t="n"/>
      <c r="P65" s="130" t="n"/>
      <c r="Q65" s="130" t="n"/>
      <c r="R65" s="130" t="n"/>
      <c r="S65" s="130" t="n"/>
    </row>
    <row r="66" ht="15.95" customHeight="1" s="131">
      <c r="A66" s="137">
        <f>'8. Income Statement'!A66</f>
        <v/>
      </c>
      <c r="B66" s="137" t="n"/>
      <c r="C66" s="137" t="n"/>
      <c r="D66" s="145" t="n"/>
      <c r="E66" s="145" t="n"/>
      <c r="F66" s="219">
        <f>'8. Income Statement'!Q66</f>
        <v/>
      </c>
      <c r="G66" s="159">
        <f>IF(F66=0,0,F66/F13)</f>
        <v/>
      </c>
      <c r="H66" s="145" t="n"/>
      <c r="I66" s="219">
        <f>'12. Income Statement (2)'!Q66</f>
        <v/>
      </c>
      <c r="J66" s="159">
        <f>IF(I66=0,0,I66/I13)</f>
        <v/>
      </c>
      <c r="K66" s="145" t="n"/>
      <c r="L66" s="219">
        <f>'15. Income Statement (3)'!Q66</f>
        <v/>
      </c>
      <c r="M66" s="159">
        <f>IF(L66=0,0,L66/L13)</f>
        <v/>
      </c>
      <c r="N66" s="145" t="n"/>
      <c r="O66" s="145" t="n"/>
      <c r="P66" s="130" t="n"/>
      <c r="Q66" s="130" t="n"/>
      <c r="R66" s="130" t="n"/>
      <c r="S66" s="130" t="n"/>
    </row>
    <row r="67" ht="12.75" customHeight="1" s="131">
      <c r="A67" s="137" t="n"/>
      <c r="B67" s="137" t="n"/>
      <c r="C67" s="137" t="n"/>
      <c r="D67" s="145" t="n"/>
      <c r="E67" s="145" t="n"/>
      <c r="F67" s="145" t="n"/>
      <c r="G67" s="145" t="n"/>
      <c r="H67" s="145" t="n"/>
      <c r="I67" s="145" t="n"/>
      <c r="J67" s="145" t="n"/>
      <c r="K67" s="145" t="n"/>
      <c r="L67" s="145" t="n"/>
      <c r="M67" s="145" t="n"/>
      <c r="N67" s="145" t="n"/>
      <c r="O67" s="145" t="n"/>
      <c r="P67" s="130" t="n"/>
      <c r="Q67" s="130" t="n"/>
      <c r="R67" s="130" t="n"/>
      <c r="S67" s="130" t="n"/>
    </row>
    <row r="68" ht="12.75" customHeight="1" s="131">
      <c r="A68" s="137" t="n"/>
      <c r="B68" s="137" t="n"/>
      <c r="C68" s="137" t="n"/>
      <c r="D68" s="145" t="n"/>
      <c r="E68" s="145" t="n"/>
      <c r="F68" s="145" t="n"/>
      <c r="G68" s="145" t="n"/>
      <c r="H68" s="145" t="n"/>
      <c r="I68" s="145" t="n"/>
      <c r="J68" s="145" t="n"/>
      <c r="K68" s="145" t="n"/>
      <c r="L68" s="145" t="n"/>
      <c r="M68" s="145" t="n"/>
      <c r="N68" s="145" t="n"/>
      <c r="O68" s="145" t="n"/>
    </row>
    <row r="69" ht="12.75" customHeight="1" s="131">
      <c r="A69" s="137" t="n"/>
      <c r="B69" s="137" t="n"/>
      <c r="C69" s="137" t="n"/>
      <c r="D69" s="145" t="n"/>
      <c r="E69" s="145" t="n"/>
      <c r="F69" s="145" t="n"/>
      <c r="G69" s="145" t="n"/>
      <c r="H69" s="145" t="n"/>
      <c r="I69" s="145" t="n"/>
      <c r="J69" s="145" t="n"/>
      <c r="K69" s="145" t="n"/>
      <c r="L69" s="145" t="n"/>
      <c r="M69" s="145" t="n"/>
      <c r="N69" s="145" t="n"/>
      <c r="O69" s="145" t="n"/>
    </row>
    <row r="70" ht="12.75" customHeight="1" s="131">
      <c r="A70" s="137" t="n"/>
      <c r="B70" s="137" t="n"/>
      <c r="C70" s="137" t="n"/>
      <c r="D70" s="145" t="n"/>
      <c r="E70" s="145" t="n"/>
      <c r="F70" s="145" t="n"/>
      <c r="G70" s="145" t="n"/>
      <c r="H70" s="145" t="n"/>
      <c r="I70" s="145" t="n"/>
      <c r="J70" s="145" t="n"/>
      <c r="K70" s="145" t="n"/>
      <c r="L70" s="145" t="n"/>
      <c r="M70" s="145" t="n"/>
      <c r="N70" s="145" t="n"/>
      <c r="O70" s="145" t="n"/>
    </row>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row r="9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Forecast'!H15</f>
        <v/>
      </c>
      <c r="F9" s="156">
        <f>'4. Projected Sales Forecast'!$E$9*'4. Projected Sales Forecast'!I15</f>
        <v/>
      </c>
      <c r="G9" s="156">
        <f>'4. Projected Sales Forecast'!$E$9*'4. Projected Sales Forecast'!J15</f>
        <v/>
      </c>
      <c r="H9" s="156">
        <f>'4. Projected Sales Forecast'!$E$9*'4. Projected Sales Forecast'!K15</f>
        <v/>
      </c>
      <c r="I9" s="156">
        <f>'4. Projected Sales Forecast'!$E$9*'4. Projected Sales Forecast'!L15</f>
        <v/>
      </c>
      <c r="J9" s="156">
        <f>'4. Projected Sales Forecast'!$E$9*'4. Projected Sales Forecast'!M15</f>
        <v/>
      </c>
      <c r="K9" s="156">
        <f>'4. Projected Sales Forecast'!$E$9*'4. Projected Sales Forecast'!N15</f>
        <v/>
      </c>
      <c r="L9" s="156">
        <f>'4. Projected Sales Forecast'!$E$9*'4. Projected Sales Forecast'!O15</f>
        <v/>
      </c>
      <c r="M9" s="156">
        <f>'4. Projected Sales Forecast'!$E$9*'4. Projected Sales Forecast'!P15</f>
        <v/>
      </c>
      <c r="N9" s="156">
        <f>'4. Projected Sales Forecast'!$E$9*'4. Projected Sales Forecast'!Q15</f>
        <v/>
      </c>
      <c r="O9" s="156">
        <f>'4. Projected Sales Forecast'!$E$9*'4. Projected Sales Forecast'!R15</f>
        <v/>
      </c>
      <c r="P9" s="156">
        <f>'4. Projected Sales Forecast'!$E$9*'4. Projected Sales Forecast'!S15</f>
        <v/>
      </c>
      <c r="Q9" s="182">
        <f>SUM(E9:P9)</f>
        <v/>
      </c>
    </row>
    <row r="10" outlineLevel="1" ht="12.75" customHeight="1" s="131">
      <c r="A10" s="137" t="n"/>
      <c r="B10" s="137">
        <f>'4. Projected Sales Forecast'!A30</f>
        <v/>
      </c>
      <c r="C10" s="137" t="n"/>
      <c r="D10" s="145" t="n"/>
      <c r="E10" s="156">
        <f>'4. Projected Sales Forecast'!$E$31*'4. Projected Sales Forecast'!H37</f>
        <v/>
      </c>
      <c r="F10" s="156">
        <f>'4. Projected Sales Forecast'!$E$31*'4. Projected Sales Forecast'!I37</f>
        <v/>
      </c>
      <c r="G10" s="156">
        <f>'4. Projected Sales Forecast'!$E$31*'4. Projected Sales Forecast'!J37</f>
        <v/>
      </c>
      <c r="H10" s="156">
        <f>'4. Projected Sales Forecast'!$E$31*'4. Projected Sales Forecast'!K37</f>
        <v/>
      </c>
      <c r="I10" s="156">
        <f>'4. Projected Sales Forecast'!$E$31*'4. Projected Sales Forecast'!L37</f>
        <v/>
      </c>
      <c r="J10" s="156">
        <f>'4. Projected Sales Forecast'!$E$31*'4. Projected Sales Forecast'!M37</f>
        <v/>
      </c>
      <c r="K10" s="156">
        <f>'4. Projected Sales Forecast'!$E$31*'4. Projected Sales Forecast'!N37</f>
        <v/>
      </c>
      <c r="L10" s="156">
        <f>'4. Projected Sales Forecast'!$E$31*'4. Projected Sales Forecast'!O37</f>
        <v/>
      </c>
      <c r="M10" s="156">
        <f>'4. Projected Sales Forecast'!$E$31*'4. Projected Sales Forecast'!P37</f>
        <v/>
      </c>
      <c r="N10" s="156">
        <f>'4. Projected Sales Forecast'!$E$31*'4. Projected Sales Forecast'!Q37</f>
        <v/>
      </c>
      <c r="O10" s="156">
        <f>'4. Projected Sales Forecast'!$E$31*'4. Projected Sales Forecast'!R37</f>
        <v/>
      </c>
      <c r="P10" s="156">
        <f>'4. Projected Sales Forecast'!$E$31*'4. Projected Sales Forecast'!S37</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(2)'!H15,"")</f>
        <v/>
      </c>
      <c r="F11" s="156">
        <f>IF('5. Projected Sales Forecast (2)'!$E$9&gt;0,'5. Projected Sales Forecast (2)'!$E$9*'5. Projected Sales Forecast (2)'!I15,"")</f>
        <v/>
      </c>
      <c r="G11" s="156">
        <f>IF('5. Projected Sales Forecast (2)'!$E$9&gt;0,'5. Projected Sales Forecast (2)'!$E$9*'5. Projected Sales Forecast (2)'!J15,"")</f>
        <v/>
      </c>
      <c r="H11" s="156">
        <f>IF('5. Projected Sales Forecast (2)'!$E$9&gt;0,'5. Projected Sales Forecast (2)'!$E$9*'5. Projected Sales Forecast (2)'!K8,"")</f>
        <v/>
      </c>
      <c r="I11" s="156">
        <f>IF('5. Projected Sales Forecast (2)'!$E$9&gt;0,'5. Projected Sales Forecast (2)'!$E$9*'5. Projected Sales Forecast (2)'!L15,"")</f>
        <v/>
      </c>
      <c r="J11" s="156">
        <f>IF('5. Projected Sales Forecast (2)'!$E$9&gt;0,'5. Projected Sales Forecast (2)'!$E$9*'5. Projected Sales Forecast (2)'!M15,"")</f>
        <v/>
      </c>
      <c r="K11" s="156">
        <f>IF('5. Projected Sales Forecast (2)'!$E$9&gt;0,'5. Projected Sales Forecast (2)'!$E$9*'5. Projected Sales Forecast (2)'!N15,"")</f>
        <v/>
      </c>
      <c r="L11" s="156">
        <f>IF('5. Projected Sales Forecast (2)'!$E$9&gt;0,'5. Projected Sales Forecast (2)'!$E$9*'5. Projected Sales Forecast (2)'!O15,"")</f>
        <v/>
      </c>
      <c r="M11" s="156">
        <f>IF('5. Projected Sales Forecast (2)'!$E$9&gt;0,'5. Projected Sales Forecast (2)'!$E$9*'5. Projected Sales Forecast (2)'!P15,"")</f>
        <v/>
      </c>
      <c r="N11" s="156">
        <f>IF('5. Projected Sales Forecast (2)'!$E$9&gt;0,'5. Projected Sales Forecast (2)'!$E$9*'5. Projected Sales Forecast (2)'!Q15,"")</f>
        <v/>
      </c>
      <c r="O11" s="156">
        <f>IF('5. Projected Sales Forecast (2)'!$E$9&gt;0,'5. Projected Sales Forecast (2)'!$E$9*'5. Projected Sales Forecast (2)'!R8,"")</f>
        <v/>
      </c>
      <c r="P11" s="156">
        <f>IF('5. Projected Sales Forecast (2)'!$E$9&gt;0,'5. Projected Sales Forecast (2)'!$E$9*'5. Projected Sales Forecast (2)'!S15,"")</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(2)'!H37,"")</f>
        <v/>
      </c>
      <c r="F12" s="162">
        <f>IF('5. Projected Sales Forecast (2)'!$E$31&gt;0,'5. Projected Sales Forecast (2)'!$E$31*'5. Projected Sales Forecast (2)'!I37,"")</f>
        <v/>
      </c>
      <c r="G12" s="162">
        <f>IF('5. Projected Sales Forecast (2)'!$E$31&gt;0,'5. Projected Sales Forecast (2)'!$E$31*'5. Projected Sales Forecast (2)'!H36,"")</f>
        <v/>
      </c>
      <c r="H12" s="162">
        <f>IF('5. Projected Sales Forecast (2)'!$E$31&gt;0,'5. Projected Sales Forecast (2)'!$E$31*'5. Projected Sales Forecast (2)'!K37,"")</f>
        <v/>
      </c>
      <c r="I12" s="162">
        <f>IF('5. Projected Sales Forecast (2)'!$E$31&gt;0,'5. Projected Sales Forecast (2)'!$E$31*'5. Projected Sales Forecast (2)'!L37,"")</f>
        <v/>
      </c>
      <c r="J12" s="162">
        <f>IF('5. Projected Sales Forecast (2)'!$E$31&gt;0,'5. Projected Sales Forecast (2)'!$E$31*'5. Projected Sales Forecast (2)'!M37,"")</f>
        <v/>
      </c>
      <c r="K12" s="162">
        <f>IF('5. Projected Sales Forecast (2)'!$E$31&gt;0,'5. Projected Sales Forecast (2)'!$E$31*'5. Projected Sales Forecast (2)'!N37,"")</f>
        <v/>
      </c>
      <c r="L12" s="162">
        <f>IF('5. Projected Sales Forecast (2)'!$E$31&gt;0,'5. Projected Sales Forecast (2)'!$E$31*'5. Projected Sales Forecast (2)'!O37,"")</f>
        <v/>
      </c>
      <c r="M12" s="162">
        <f>IF('5. Projected Sales Forecast (2)'!$E$31&gt;0,'5. Projected Sales Forecast (2)'!$E$31*'5. Projected Sales Forecast (2)'!P37,"")</f>
        <v/>
      </c>
      <c r="N12" s="162">
        <f>IF('5. Projected Sales Forecast (2)'!$E$31&gt;0,'5. Projected Sales Forecast (2)'!$E$31*'5. Projected Sales Forecast (2)'!Q37,"")</f>
        <v/>
      </c>
      <c r="O12" s="162">
        <f>IF('5. Projected Sales Forecast (2)'!$E$31&gt;0,'5. Projected Sales Forecast (2)'!$E$31*'5. Projected Sales Forecast (2)'!R37,"")</f>
        <v/>
      </c>
      <c r="P12" s="162">
        <f>IF('5. Projected Sales Forecast (2)'!$E$31&gt;0,'5. Projected Sales Forecast (2)'!$E$31*'5. Projected Sales Forecast (2)'!S37,"")</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Forecast'!H15</f>
        <v/>
      </c>
      <c r="F16" s="156">
        <f>'4. Projected Sales Forecast'!$E$10*'4. Projected Sales Forecast'!I15</f>
        <v/>
      </c>
      <c r="G16" s="156">
        <f>'4. Projected Sales Forecast'!$E$10*'4. Projected Sales Forecast'!J15</f>
        <v/>
      </c>
      <c r="H16" s="156">
        <f>'4. Projected Sales Forecast'!$E$10*'4. Projected Sales Forecast'!K15</f>
        <v/>
      </c>
      <c r="I16" s="156">
        <f>'4. Projected Sales Forecast'!$E$10*'4. Projected Sales Forecast'!L15</f>
        <v/>
      </c>
      <c r="J16" s="156">
        <f>'4. Projected Sales Forecast'!$E$10*'4. Projected Sales Forecast'!M15</f>
        <v/>
      </c>
      <c r="K16" s="156">
        <f>'4. Projected Sales Forecast'!$E$10*'4. Projected Sales Forecast'!N15</f>
        <v/>
      </c>
      <c r="L16" s="156">
        <f>'4. Projected Sales Forecast'!$E$10*'4. Projected Sales Forecast'!O15</f>
        <v/>
      </c>
      <c r="M16" s="156">
        <f>'4. Projected Sales Forecast'!$E$10*'4. Projected Sales Forecast'!P15</f>
        <v/>
      </c>
      <c r="N16" s="156">
        <f>'4. Projected Sales Forecast'!$E$10*'4. Projected Sales Forecast'!Q15</f>
        <v/>
      </c>
      <c r="O16" s="156">
        <f>'4. Projected Sales Forecast'!$E$10*'4. Projected Sales Forecast'!R15</f>
        <v/>
      </c>
      <c r="P16" s="156">
        <f>'4. Projected Sales Forecast'!$E$10*'4. Projected Sales Forecast'!S15</f>
        <v/>
      </c>
      <c r="Q16" s="156">
        <f>SUM(E16:P16)</f>
        <v/>
      </c>
    </row>
    <row r="17" outlineLevel="1" ht="12.75" customHeight="1" s="131">
      <c r="A17" s="137" t="n"/>
      <c r="B17" s="137">
        <f>B10</f>
        <v/>
      </c>
      <c r="C17" s="137" t="n"/>
      <c r="D17" s="145" t="n"/>
      <c r="E17" s="182">
        <f>'4. Projected Sales Forecast'!$E$32*'4. Projected Sales Forecast'!H37</f>
        <v/>
      </c>
      <c r="F17" s="182">
        <f>'4. Projected Sales Forecast'!$E$32*'4. Projected Sales Forecast'!I37</f>
        <v/>
      </c>
      <c r="G17" s="182">
        <f>'4. Projected Sales Forecast'!$E$32*'4. Projected Sales Forecast'!J37</f>
        <v/>
      </c>
      <c r="H17" s="182">
        <f>'4. Projected Sales Forecast'!$E$32*'4. Projected Sales Forecast'!K37</f>
        <v/>
      </c>
      <c r="I17" s="182">
        <f>'4. Projected Sales Forecast'!$E$32*'4. Projected Sales Forecast'!L37</f>
        <v/>
      </c>
      <c r="J17" s="182">
        <f>'4. Projected Sales Forecast'!$E$32*'4. Projected Sales Forecast'!M37</f>
        <v/>
      </c>
      <c r="K17" s="182">
        <f>'4. Projected Sales Forecast'!$E$32*'4. Projected Sales Forecast'!N37</f>
        <v/>
      </c>
      <c r="L17" s="182">
        <f>'4. Projected Sales Forecast'!$E$32*'4. Projected Sales Forecast'!O37</f>
        <v/>
      </c>
      <c r="M17" s="182">
        <f>'4. Projected Sales Forecast'!$E$32*'4. Projected Sales Forecast'!P37</f>
        <v/>
      </c>
      <c r="N17" s="182">
        <f>'4. Projected Sales Forecast'!$E$32*'4. Projected Sales Forecast'!Q37</f>
        <v/>
      </c>
      <c r="O17" s="182">
        <f>'4. Projected Sales Forecast'!$E$32*'4. Projected Sales Forecast'!R37</f>
        <v/>
      </c>
      <c r="P17" s="182">
        <f>'4. Projected Sales Forecast'!$E$32*'4. Projected Sales Forecast'!S37</f>
        <v/>
      </c>
      <c r="Q17" s="156">
        <f>SUM(E17:P17)</f>
        <v/>
      </c>
    </row>
    <row r="18" outlineLevel="1" ht="12.75" customHeight="1" s="131">
      <c r="A18" s="137" t="n"/>
      <c r="B18" s="137">
        <f>B11</f>
        <v/>
      </c>
      <c r="C18" s="137" t="n"/>
      <c r="D18" s="145" t="n"/>
      <c r="E18" s="182">
        <f>IF('5. Projected Sales Forecast (2)'!$E$10&gt;0,'5. Projected Sales Forecast (2)'!$E$10*'5. Projected Sales Forecast (2)'!H15,"")</f>
        <v/>
      </c>
      <c r="F18" s="182">
        <f>IF('5. Projected Sales Forecast (2)'!$E$10&gt;0,'5. Projected Sales Forecast (2)'!$E$10*'5. Projected Sales Forecast (2)'!I15,"")</f>
        <v/>
      </c>
      <c r="G18" s="182">
        <f>IF('5. Projected Sales Forecast (2)'!$E$10&gt;0,'5. Projected Sales Forecast (2)'!$E$10*'5. Projected Sales Forecast (2)'!J15,"")</f>
        <v/>
      </c>
      <c r="H18" s="182">
        <f>IF('5. Projected Sales Forecast (2)'!$E$10&gt;0,'5. Projected Sales Forecast (2)'!$E$10*'5. Projected Sales Forecast (2)'!K15,"")</f>
        <v/>
      </c>
      <c r="I18" s="182">
        <f>IF('5. Projected Sales Forecast (2)'!$E$10&gt;0,'5. Projected Sales Forecast (2)'!$E$10*'5. Projected Sales Forecast (2)'!L15,"")</f>
        <v/>
      </c>
      <c r="J18" s="182">
        <f>IF('5. Projected Sales Forecast (2)'!$E$10&gt;0,'5. Projected Sales Forecast (2)'!$E$10*'5. Projected Sales Forecast (2)'!M15,"")</f>
        <v/>
      </c>
      <c r="K18" s="182">
        <f>IF('5. Projected Sales Forecast (2)'!$E$10&gt;0,'5. Projected Sales Forecast (2)'!$E$10*'5. Projected Sales Forecast (2)'!N15,"")</f>
        <v/>
      </c>
      <c r="L18" s="182">
        <f>IF('5. Projected Sales Forecast (2)'!$E$10&gt;0,'5. Projected Sales Forecast (2)'!$E$10*'5. Projected Sales Forecast (2)'!O15,"")</f>
        <v/>
      </c>
      <c r="M18" s="182">
        <f>IF('5. Projected Sales Forecast (2)'!$E$10&gt;0,'5. Projected Sales Forecast (2)'!$E$10*'5. Projected Sales Forecast (2)'!P15,"")</f>
        <v/>
      </c>
      <c r="N18" s="182">
        <f>IF('5. Projected Sales Forecast (2)'!$E$10&gt;0,'5. Projected Sales Forecast (2)'!$E$10*'5. Projected Sales Forecast (2)'!Q15,"")</f>
        <v/>
      </c>
      <c r="O18" s="182">
        <f>IF('5. Projected Sales Forecast (2)'!$E$10&gt;0,'5. Projected Sales Forecast (2)'!$E$10*'5. Projected Sales Forecast (2)'!R15,"")</f>
        <v/>
      </c>
      <c r="P18" s="182">
        <f>IF('5. Projected Sales Forecast (2)'!$E$10&gt;0,'5. Projected Sales Forecast (2)'!$E$10*'5. Projected Sales Forecast (2)'!S15,"")</f>
        <v/>
      </c>
      <c r="Q18" s="156">
        <f>SUM(E18:P18)</f>
        <v/>
      </c>
    </row>
    <row r="19" outlineLevel="1" ht="12.75" customHeight="1" s="131">
      <c r="A19" s="137" t="n"/>
      <c r="B19" s="137">
        <f>B12</f>
        <v/>
      </c>
      <c r="C19" s="137" t="n"/>
      <c r="D19" s="145" t="n"/>
      <c r="E19" s="162">
        <f>IF('5. Projected Sales Forecast (2)'!$E$32&gt;0,'5. Projected Sales Forecast (2)'!$E$32*'5. Projected Sales Forecast (2)'!H37,"")</f>
        <v/>
      </c>
      <c r="F19" s="162">
        <f>IF('5. Projected Sales Forecast (2)'!$E$32&gt;0,'5. Projected Sales Forecast (2)'!$E$32*'5. Projected Sales Forecast (2)'!I37,"")</f>
        <v/>
      </c>
      <c r="G19" s="162">
        <f>IF('5. Projected Sales Forecast (2)'!$E$32&gt;0,'5. Projected Sales Forecast (2)'!$E$32*'5. Projected Sales Forecast (2)'!J37,"")</f>
        <v/>
      </c>
      <c r="H19" s="162">
        <f>IF('5. Projected Sales Forecast (2)'!$E$32&gt;0,'5. Projected Sales Forecast (2)'!$E$32*'5. Projected Sales Forecast (2)'!K37,"")</f>
        <v/>
      </c>
      <c r="I19" s="162">
        <f>IF('5. Projected Sales Forecast (2)'!$E$32&gt;0,'5. Projected Sales Forecast (2)'!$E$32*'5. Projected Sales Forecast (2)'!L37,"")</f>
        <v/>
      </c>
      <c r="J19" s="162">
        <f>IF('5. Projected Sales Forecast (2)'!$E$32&gt;0,'5. Projected Sales Forecast (2)'!$E$32*'5. Projected Sales Forecast (2)'!M37,"")</f>
        <v/>
      </c>
      <c r="K19" s="162">
        <f>IF('5. Projected Sales Forecast (2)'!$E$32&gt;0,'5. Projected Sales Forecast (2)'!$E$32*'5. Projected Sales Forecast (2)'!N37,"")</f>
        <v/>
      </c>
      <c r="L19" s="162">
        <f>IF('5. Projected Sales Forecast (2)'!$E$32&gt;0,'5. Projected Sales Forecast (2)'!$E$32*'5. Projected Sales Forecast (2)'!O37,"")</f>
        <v/>
      </c>
      <c r="M19" s="162">
        <f>IF('5. Projected Sales Forecast (2)'!$E$32&gt;0,'5. Projected Sales Forecast (2)'!$E$32*'5. Projected Sales Forecast (2)'!P37,"")</f>
        <v/>
      </c>
      <c r="N19" s="162">
        <f>IF('5. Projected Sales Forecast (2)'!$E$32&gt;0,'5. Projected Sales Forecast (2)'!$E$32*'5. Projected Sales Forecast (2)'!Q37,"")</f>
        <v/>
      </c>
      <c r="O19" s="162">
        <f>IF('5. Projected Sales Forecast (2)'!$E$32&gt;0,'5. Projected Sales Forecast (2)'!$E$32*'5. Projected Sales Forecast (2)'!R37,"")</f>
        <v/>
      </c>
      <c r="P19" s="162">
        <f>IF('5. Projected Sales Forecast (2)'!$E$32&gt;0,'5. Projected Sales Forecast (2)'!$E$32*'5. Projected Sales Forecast (2)'!S37,"")</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Wages'!N11/12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Wages'!N12/12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Wages'!N14/12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Wages'!N17/12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Wages'!N20/12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Wages'!N32/12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Expenses'!J11/12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Expenses'!J12/12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Expenses'!J13/12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Expenses'!J14/12</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Expenses'!J15/12</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Expenses'!J16/12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Expenses'!J17/12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Expenses'!J18/12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Expenses'!J19/12</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Expenses'!J20/12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Expenses'!J21/12</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Expenses'!J22/12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Expenses'!J23/12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Expenses'!J24/12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Expenses'!J25/12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Expenses'!J26/12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Expenses'!J27/12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Expenses'!J28/12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Expenses'!J29/12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Expenses'!J30/12</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Receipts-Disbursements'!$G$28&gt;1,'6. Cash Receipts-Disbursements'!$K$28,0)</f>
        <v/>
      </c>
      <c r="F57" s="156">
        <f>IF('6. Cash Receipts-Disbursements'!$G$28&gt;1,'6. Cash Receipts-Disbursements'!$K$28,0)</f>
        <v/>
      </c>
      <c r="G57" s="156">
        <f>IF('6. Cash Receipts-Disbursements'!$G$28&gt;1,'6. Cash Receipts-Disbursements'!$K$28,0)</f>
        <v/>
      </c>
      <c r="H57" s="156">
        <f>IF('6. Cash Receipts-Disbursements'!$G$28&gt;1,'6. Cash Receipts-Disbursements'!$K$28,0)</f>
        <v/>
      </c>
      <c r="I57" s="156">
        <f>IF('6. Cash Receipts-Disbursements'!$G$28&gt;1,'6. Cash Receipts-Disbursements'!$K$28,0)</f>
        <v/>
      </c>
      <c r="J57" s="156">
        <f>IF('6. Cash Receipts-Disbursements'!$G$28&gt;1,'6. Cash Receipts-Disbursements'!$K$28,0)</f>
        <v/>
      </c>
      <c r="K57" s="156">
        <f>IF('6. Cash Receipts-Disbursements'!$G$28&gt;1,'6. Cash Receipts-Disbursements'!$K$28,0)</f>
        <v/>
      </c>
      <c r="L57" s="156">
        <f>IF('6. Cash Receipts-Disbursements'!$G$28&gt;1,'6. Cash Receipts-Disbursements'!$K$28,0)</f>
        <v/>
      </c>
      <c r="M57" s="156">
        <f>IF('6. Cash Receipts-Disbursements'!$G$28&gt;1,'6. Cash Receipts-Disbursements'!$K$28,0)</f>
        <v/>
      </c>
      <c r="N57" s="156">
        <f>IF('6. Cash Receipts-Disbursements'!$G$28&gt;1,'6. Cash Receipts-Disbursements'!$K$28,0)</f>
        <v/>
      </c>
      <c r="O57" s="156">
        <f>IF('6. Cash Receipts-Disbursements'!$G$28&gt;1,'6. Cash Receipts-Disbursements'!$K$28,0)</f>
        <v/>
      </c>
      <c r="P57" s="156">
        <f>IF('6. Cash Receipts-Disbursements'!$G$28&gt;1,'6.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Schedule'!G19</f>
        <v/>
      </c>
      <c r="F60" s="156">
        <f>'20. Amoritization Schedule'!H19</f>
        <v/>
      </c>
      <c r="G60" s="156">
        <f>'20. Amoritization Schedule'!I19</f>
        <v/>
      </c>
      <c r="H60" s="156">
        <f>'20. Amoritization Schedule'!J19</f>
        <v/>
      </c>
      <c r="I60" s="156">
        <f>'20. Amoritization Schedule'!K19</f>
        <v/>
      </c>
      <c r="J60" s="156">
        <f>'20. Amoritization Schedule'!L19</f>
        <v/>
      </c>
      <c r="K60" s="156">
        <f>'20. Amoritization Schedule'!M19</f>
        <v/>
      </c>
      <c r="L60" s="156">
        <f>'20. Amoritization Schedule'!N19</f>
        <v/>
      </c>
      <c r="M60" s="156">
        <f>'20. Amoritization Schedule'!O19</f>
        <v/>
      </c>
      <c r="N60" s="156">
        <f>'20. Amoritization Schedule'!P19</f>
        <v/>
      </c>
      <c r="O60" s="156">
        <f>'20. Amoritization Schedule'!Q19</f>
        <v/>
      </c>
      <c r="P60" s="156">
        <f>'20. Amoritization Schedule'!R19</f>
        <v/>
      </c>
      <c r="Q60" s="156">
        <f>SUM(E60:P60)</f>
        <v/>
      </c>
    </row>
    <row r="61" hidden="1" outlineLevel="1" ht="12.75" customHeight="1" s="131">
      <c r="A61" s="137" t="n"/>
      <c r="B61" s="137" t="n"/>
      <c r="C61" s="137" t="inlineStr">
        <is>
          <t>Commercial Mortgage</t>
        </is>
      </c>
      <c r="D61" s="145" t="n"/>
      <c r="E61" s="156">
        <f>'20. Amoritization Schedule'!G39</f>
        <v/>
      </c>
      <c r="F61" s="156">
        <f>'20. Amoritization Schedule'!H39</f>
        <v/>
      </c>
      <c r="G61" s="156">
        <f>'20. Amoritization Schedule'!I39</f>
        <v/>
      </c>
      <c r="H61" s="156">
        <f>'20. Amoritization Schedule'!J39</f>
        <v/>
      </c>
      <c r="I61" s="156">
        <f>'20. Amoritization Schedule'!K39</f>
        <v/>
      </c>
      <c r="J61" s="156">
        <f>'20. Amoritization Schedule'!L39</f>
        <v/>
      </c>
      <c r="K61" s="156">
        <f>'20. Amoritization Schedule'!M39</f>
        <v/>
      </c>
      <c r="L61" s="156">
        <f>'20. Amoritization Schedule'!N39</f>
        <v/>
      </c>
      <c r="M61" s="156">
        <f>'20. Amoritization Schedule'!O39</f>
        <v/>
      </c>
      <c r="N61" s="156">
        <f>'20. Amoritization Schedule'!P39</f>
        <v/>
      </c>
      <c r="O61" s="156">
        <f>'20. Amoritization Schedule'!Q39</f>
        <v/>
      </c>
      <c r="P61" s="156">
        <f>'20. Amoritization Schedule'!R39</f>
        <v/>
      </c>
      <c r="Q61" s="156">
        <f>SUM(E61:P61)</f>
        <v/>
      </c>
    </row>
    <row r="62" hidden="1" outlineLevel="1" ht="12.75" customHeight="1" s="131">
      <c r="A62" s="137" t="n"/>
      <c r="B62" s="137" t="n"/>
      <c r="C62" s="137" t="inlineStr">
        <is>
          <t>Line of Credit</t>
        </is>
      </c>
      <c r="D62" s="145" t="n"/>
      <c r="E62" s="156">
        <f>'13. Cash Flow Statement (2)'!E26</f>
        <v/>
      </c>
      <c r="F62" s="156">
        <f>E62</f>
        <v/>
      </c>
      <c r="G62" s="156">
        <f>'13. Cash Flow Statement (2)'!G26</f>
        <v/>
      </c>
      <c r="H62" s="156">
        <f>'13. Cash Flow Statement (2)'!H26</f>
        <v/>
      </c>
      <c r="I62" s="156">
        <f>'13. Cash Flow Statement (2)'!I26</f>
        <v/>
      </c>
      <c r="J62" s="156">
        <f>I62</f>
        <v/>
      </c>
      <c r="K62" s="156">
        <f>'13. Cash Flow Statement (2)'!K26</f>
        <v/>
      </c>
      <c r="L62" s="156">
        <f>'13. Cash Flow Statement (2)'!L26</f>
        <v/>
      </c>
      <c r="M62" s="156">
        <f>'13. Cash Flow Statement (2)'!M26</f>
        <v/>
      </c>
      <c r="N62" s="156">
        <f>'13. Cash Flow Statement (2)'!N26</f>
        <v/>
      </c>
      <c r="O62" s="156">
        <f>'13. Cash Flow Statement (2)'!O26</f>
        <v/>
      </c>
      <c r="P62" s="156">
        <f>'13. Cash Flow Statement (2)'!P26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Receipts-Disbursements'!$G$25,'12. Income Statement (2)'!F70*'6. Cash Receipts-Disbursements'!$G$25),IF('12. Income Statement (2)'!E71&gt;0,-('12. Income Statement (2)'!E71*'6. Cash Receipts-Disbursements'!$G$25),0))</f>
        <v/>
      </c>
      <c r="G63" s="162">
        <f>IF(G71&gt;0,IF(F71&lt;0,(G70-ABS(F71))*'6. Cash Receipts-Disbursements'!$G$25,'12. Income Statement (2)'!G70*'6. Cash Receipts-Disbursements'!$G$25),IF('12. Income Statement (2)'!F71&gt;0,-('12. Income Statement (2)'!F71*'6. Cash Receipts-Disbursements'!$G$25),0))</f>
        <v/>
      </c>
      <c r="H63" s="162">
        <f>IF(H71&gt;0,IF(G71&lt;0,(H70-ABS(G71))*'6. Cash Receipts-Disbursements'!$G$25,'12. Income Statement (2)'!H70*'6. Cash Receipts-Disbursements'!$G$25),IF('12. Income Statement (2)'!G71&gt;0,-('12. Income Statement (2)'!G71*'6. Cash Receipts-Disbursements'!$G$25),0))</f>
        <v/>
      </c>
      <c r="I63" s="162">
        <f>IF(I71&gt;0,IF(H71&lt;0,(I70-ABS(H71))*'6. Cash Receipts-Disbursements'!$G$25,'12. Income Statement (2)'!I70*'6. Cash Receipts-Disbursements'!$G$25),IF('12. Income Statement (2)'!H71&gt;0,-('12. Income Statement (2)'!H71*'6. Cash Receipts-Disbursements'!$G$25),0))</f>
        <v/>
      </c>
      <c r="J63" s="162">
        <f>IF(J71&gt;0,IF(I71&lt;0,(J70-ABS(I71))*'6. Cash Receipts-Disbursements'!$G$25,'12. Income Statement (2)'!J70*'6. Cash Receipts-Disbursements'!$G$25),IF('12. Income Statement (2)'!I71&gt;0,-('12. Income Statement (2)'!I71*'6. Cash Receipts-Disbursements'!$G$25),0))</f>
        <v/>
      </c>
      <c r="K63" s="162">
        <f>IF(K71&gt;0,IF(J71&lt;0,(K70-ABS(J71))*'6. Cash Receipts-Disbursements'!$G$25,'12. Income Statement (2)'!K70*'6. Cash Receipts-Disbursements'!$G$25),IF('12. Income Statement (2)'!J71&gt;0,-('12. Income Statement (2)'!J71*'6. Cash Receipts-Disbursements'!$G$25),0))</f>
        <v/>
      </c>
      <c r="L63" s="162">
        <f>IF(L71&gt;0,IF(K71&lt;0,(L70-ABS(K71))*'6. Cash Receipts-Disbursements'!$G$25,'12. Income Statement (2)'!L70*'6. Cash Receipts-Disbursements'!$G$25),IF('12. Income Statement (2)'!K71&gt;0,-('12. Income Statement (2)'!K71*'6. Cash Receipts-Disbursements'!$G$25),0))</f>
        <v/>
      </c>
      <c r="M63" s="162">
        <f>IF(M71&gt;0,IF(L71&lt;0,(M70-ABS(L71))*'6. Cash Receipts-Disbursements'!$G$25,'12. Income Statement (2)'!M70*'6. Cash Receipts-Disbursements'!$G$25),IF('12. Income Statement (2)'!L71&gt;0,-('12. Income Statement (2)'!L71*'6. Cash Receipts-Disbursements'!$G$25),0))</f>
        <v/>
      </c>
      <c r="N63" s="162">
        <f>IF(N71&gt;0,IF(M71&lt;0,(N70-ABS(M71))*'6. Cash Receipts-Disbursements'!$G$25,'12. Income Statement (2)'!N70*'6. Cash Receipts-Disbursements'!$G$25),IF('12. Income Statement (2)'!M71&gt;0,-('12. Income Statement (2)'!M71*'6. Cash Receipts-Disbursements'!$G$25),0))</f>
        <v/>
      </c>
      <c r="O63" s="162">
        <f>IF(O71&gt;0,IF(N71&lt;0,(O70-ABS(N71))*'6. Cash Receipts-Disbursements'!$G$25,'12. Income Statement (2)'!O70*'6. Cash Receipts-Disbursements'!$G$25),IF('12. Income Statement (2)'!N71&gt;0,-('12. Income Statement (2)'!N71*'6. Cash Receipts-Disbursements'!$G$25),0))</f>
        <v/>
      </c>
      <c r="P63" s="162">
        <f>IF(P71&gt;0,IF(O71&lt;0,(P70-ABS(O71))*'6. Cash Receipts-Disbursements'!$G$25,'12. Income Statement (2)'!P70*'6. Cash Receipts-Disbursements'!$G$25),IF('12. Income Statement (2)'!O71&gt;0,-('12. Income Statement (2)'!O71*'6.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f>SUM(E70:P70)</f>
        <v/>
      </c>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f>SUM(E71:P71)</f>
        <v/>
      </c>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'9. Cash Flow Statement'!P37</f>
        <v/>
      </c>
      <c r="F8" s="156">
        <f>E37</f>
        <v/>
      </c>
      <c r="G8" s="156">
        <f>F37</f>
        <v/>
      </c>
      <c r="H8" s="156">
        <f>G8</f>
        <v/>
      </c>
      <c r="I8" s="156">
        <f>H37</f>
        <v/>
      </c>
      <c r="J8" s="156">
        <f>I37</f>
        <v/>
      </c>
      <c r="K8" s="156">
        <f>J37</f>
        <v/>
      </c>
      <c r="L8" s="156">
        <f>K37</f>
        <v/>
      </c>
      <c r="M8" s="156">
        <f>L37</f>
        <v/>
      </c>
      <c r="N8" s="156">
        <f>M37</f>
        <v/>
      </c>
      <c r="O8" s="156">
        <f>N37</f>
        <v/>
      </c>
      <c r="P8" s="156">
        <f>O37</f>
        <v/>
      </c>
      <c r="Q8" s="156">
        <f>SUM(E8:P8)</f>
        <v/>
      </c>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'12. Income Statement (2)'!E13*'6. Cash Receipts-Disbursements'!$G$8</f>
        <v/>
      </c>
      <c r="F11" s="156">
        <f>'12. Income Statement (2)'!F13*'6. Cash Receipts-Disbursements'!$G$8</f>
        <v/>
      </c>
      <c r="G11" s="156">
        <f>'12. Income Statement (2)'!G13*'6. Cash Receipts-Disbursements'!$G$8</f>
        <v/>
      </c>
      <c r="H11" s="156">
        <f>'12. Income Statement (2)'!H13*'6. Cash Receipts-Disbursements'!$G$8</f>
        <v/>
      </c>
      <c r="I11" s="156">
        <f>'12. Income Statement (2)'!I13*'6. Cash Receipts-Disbursements'!$G$8</f>
        <v/>
      </c>
      <c r="J11" s="156">
        <f>'12. Income Statement (2)'!J13*'6. Cash Receipts-Disbursements'!$G$8</f>
        <v/>
      </c>
      <c r="K11" s="156">
        <f>'12. Income Statement (2)'!K13*'6. Cash Receipts-Disbursements'!$G$8</f>
        <v/>
      </c>
      <c r="L11" s="156">
        <f>'12. Income Statement (2)'!L13*'6. Cash Receipts-Disbursements'!$G$8</f>
        <v/>
      </c>
      <c r="M11" s="156">
        <f>'12. Income Statement (2)'!M13*'6. Cash Receipts-Disbursements'!$G$8</f>
        <v/>
      </c>
      <c r="N11" s="156">
        <f>'12. Income Statement (2)'!N13*'6. Cash Receipts-Disbursements'!$G$8</f>
        <v/>
      </c>
      <c r="O11" s="156">
        <f>'12. Income Statement (2)'!O13*'6. Cash Receipts-Disbursements'!$G$8</f>
        <v/>
      </c>
      <c r="P11" s="156">
        <f>'12. Income Statement (2)'!P13*'6. Cash Receipts-Disbursements'!$G$8</f>
        <v/>
      </c>
      <c r="Q11" s="156">
        <f>SUM(E11:P11)</f>
        <v/>
      </c>
    </row>
    <row r="12" ht="12.75" customHeight="1" s="131">
      <c r="A12" s="137" t="n"/>
      <c r="B12" s="137" t="inlineStr">
        <is>
          <t>Accounts Receivable</t>
        </is>
      </c>
      <c r="C12" s="137" t="n"/>
      <c r="D12" s="145" t="n"/>
      <c r="E12" s="162">
        <f>('8. Income Statement'!O13*'6. Cash Receipts-Disbursements'!G10)+('8. Income Statement'!P13*'6. Cash Receipts-Disbursements'!G9)</f>
        <v/>
      </c>
      <c r="F12" s="162">
        <f>('12. Income Statement (2)'!E13*'6. Cash Receipts-Disbursements'!$G$9)</f>
        <v/>
      </c>
      <c r="G12" s="162">
        <f>('12. Income Statement (2)'!E13*'6. Cash Receipts-Disbursements'!$G$10)+('12. Income Statement (2)'!F13*'6. Cash Receipts-Disbursements'!$G$9)</f>
        <v/>
      </c>
      <c r="H12" s="162">
        <f>('12. Income Statement (2)'!F13*'6. Cash Receipts-Disbursements'!$G$10)+('12. Income Statement (2)'!G13*'6. Cash Receipts-Disbursements'!$G$9)</f>
        <v/>
      </c>
      <c r="I12" s="162">
        <f>('12. Income Statement (2)'!G13*'6. Cash Receipts-Disbursements'!$G$10)+('12. Income Statement (2)'!H13*'6. Cash Receipts-Disbursements'!$G$9)</f>
        <v/>
      </c>
      <c r="J12" s="162">
        <f>('12. Income Statement (2)'!H13*'6. Cash Receipts-Disbursements'!$G$10)+('12. Income Statement (2)'!I13*'6. Cash Receipts-Disbursements'!$G$9)</f>
        <v/>
      </c>
      <c r="K12" s="162">
        <f>('12. Income Statement (2)'!I13*'6. Cash Receipts-Disbursements'!$G$10)+('12. Income Statement (2)'!J13*'6. Cash Receipts-Disbursements'!$G$9)</f>
        <v/>
      </c>
      <c r="L12" s="162">
        <f>('12. Income Statement (2)'!J13*'6. Cash Receipts-Disbursements'!$G$10)+('12. Income Statement (2)'!K13*'6. Cash Receipts-Disbursements'!$G$9)</f>
        <v/>
      </c>
      <c r="M12" s="162">
        <f>('12. Income Statement (2)'!K13*'6. Cash Receipts-Disbursements'!$G$10)+('12. Income Statement (2)'!L13*'6. Cash Receipts-Disbursements'!$G$9)</f>
        <v/>
      </c>
      <c r="N12" s="162">
        <f>('12. Income Statement (2)'!M13*'6. Cash Receipts-Disbursements'!$G$9)+('12. Income Statement (2)'!L13*'6. Cash Receipts-Disbursements'!$G$10)</f>
        <v/>
      </c>
      <c r="O12" s="162">
        <f>('12. Income Statement (2)'!M13*'6. Cash Receipts-Disbursements'!$G$10)+('12. Income Statement (2)'!N13*'6. Cash Receipts-Disbursements'!$G$9)</f>
        <v/>
      </c>
      <c r="P12" s="162">
        <f>('12. Income Statement (2)'!N13*'6. Cash Receipts-Disbursements'!$G$10)+('12. Income Statement (2)'!O13*'6. Cash Receipts-Disbursements'!$G$9)</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Receipts-Disbursements'!G15*'12. Income Statement (2)'!E20)+('6. Cash Receipts-Disbursements'!G16*'8. Income Statement'!P20)+('6. Cash Receipts-Disbursements'!G17*'8. Income Statement'!O13)</f>
        <v/>
      </c>
      <c r="F19" s="156">
        <f>('6. Cash Receipts-Disbursements'!$G$15*'12. Income Statement (2)'!F20)</f>
        <v/>
      </c>
      <c r="G19" s="156">
        <f>('6. Cash Receipts-Disbursements'!$G$15*'12. Income Statement (2)'!G20)+('6. Cash Receipts-Disbursements'!$G$16*'12. Income Statement (2)'!F20)+('6. Cash Receipts-Disbursements'!$G$17*'12. Income Statement (2)'!E20)</f>
        <v/>
      </c>
      <c r="H19" s="156">
        <f>('6. Cash Receipts-Disbursements'!$G$15*'12. Income Statement (2)'!H20)</f>
        <v/>
      </c>
      <c r="I19" s="156">
        <f>('6. Cash Receipts-Disbursements'!$G$15*'12. Income Statement (2)'!I20)+('6. Cash Receipts-Disbursements'!$G$16*'12. Income Statement (2)'!H20)+('6. Cash Receipts-Disbursements'!$G$17*'12. Income Statement (2)'!G20)</f>
        <v/>
      </c>
      <c r="J19" s="156">
        <f>('6. Cash Receipts-Disbursements'!$G$15*'12. Income Statement (2)'!J20)+('6. Cash Receipts-Disbursements'!$G$16*'12. Income Statement (2)'!I20)+('6. Cash Receipts-Disbursements'!$G$17*'12. Income Statement (2)'!H20)</f>
        <v/>
      </c>
      <c r="K19" s="156">
        <f>('6. Cash Receipts-Disbursements'!$G$15*'12. Income Statement (2)'!K20)+('6. Cash Receipts-Disbursements'!$G$16*'12. Income Statement (2)'!J20)+('6. Cash Receipts-Disbursements'!$G$17*'12. Income Statement (2)'!I20)</f>
        <v/>
      </c>
      <c r="L19" s="156">
        <f>('6. Cash Receipts-Disbursements'!$G$15*'12. Income Statement (2)'!L20)+('6. Cash Receipts-Disbursements'!$G$16*'12. Income Statement (2)'!K20)+('6. Cash Receipts-Disbursements'!$G$17*'12. Income Statement (2)'!J20)</f>
        <v/>
      </c>
      <c r="M19" s="156">
        <f>('6. Cash Receipts-Disbursements'!$G$15*'12. Income Statement (2)'!M20)+('6. Cash Receipts-Disbursements'!$G$16*'12. Income Statement (2)'!L20)+('6. Cash Receipts-Disbursements'!$G$17*'12. Income Statement (2)'!K20)</f>
        <v/>
      </c>
      <c r="N19" s="156">
        <f>('6. Cash Receipts-Disbursements'!$G$15*'12. Income Statement (2)'!N20)+('6. Cash Receipts-Disbursements'!$G$16*'12. Income Statement (2)'!M20)+('6. Cash Receipts-Disbursements'!$G$17*'12. Income Statement (2)'!L20)</f>
        <v/>
      </c>
      <c r="O19" s="156">
        <f>('6. Cash Receipts-Disbursements'!$G$15*'12. Income Statement (2)'!O20)+('6. Cash Receipts-Disbursements'!$G$16*'12. Income Statement (2)'!N20)+('6. Cash Receipts-Disbursements'!$G$17*'12. Income Statement (2)'!M20)</f>
        <v/>
      </c>
      <c r="P19" s="156">
        <f>('6. Cash Receipts-Disbursements'!$G$15*'12. Income Statement (2)'!P20)+('6. Cash Receipts-Disbursements'!$G$16*'12. Income Statement (2)'!O20)+('6. Cash Receipts-Disbursements'!$G$17*'12. Income Statement (2)'!N20)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'12. Income Statement (2)'!E31</f>
        <v/>
      </c>
      <c r="F21" s="156">
        <f>'12. Income Statement (2)'!F31</f>
        <v/>
      </c>
      <c r="G21" s="156">
        <f>'12. Income Statement (2)'!G31</f>
        <v/>
      </c>
      <c r="H21" s="156">
        <f>'12. Income Statement (2)'!H31</f>
        <v/>
      </c>
      <c r="I21" s="156">
        <f>'12. Income Statement (2)'!I31</f>
        <v/>
      </c>
      <c r="J21" s="156">
        <f>'12. Income Statement (2)'!J31</f>
        <v/>
      </c>
      <c r="K21" s="156">
        <f>'12. Income Statement (2)'!K31</f>
        <v/>
      </c>
      <c r="L21" s="156">
        <f>'12. Income Statement (2)'!L31</f>
        <v/>
      </c>
      <c r="M21" s="156">
        <f>'12. Income Statement (2)'!M31</f>
        <v/>
      </c>
      <c r="N21" s="156">
        <f>'12. Income Statement (2)'!N31</f>
        <v/>
      </c>
      <c r="O21" s="156">
        <f>'12. Income Statement (2)'!O31</f>
        <v/>
      </c>
      <c r="P21" s="156">
        <f>'12. Income Statement (2)'!P31</f>
        <v/>
      </c>
      <c r="Q21" s="156">
        <f>SUM(E21:P21)</f>
        <v/>
      </c>
    </row>
    <row r="22" ht="12.75" customHeight="1" s="131">
      <c r="A22" s="137" t="n"/>
      <c r="B22" s="137" t="n"/>
      <c r="C22" s="137">
        <f>'8. Income Statement'!A33</f>
        <v/>
      </c>
      <c r="D22" s="145" t="n"/>
      <c r="E22" s="156">
        <f>'12. Income Statement (2)'!E54</f>
        <v/>
      </c>
      <c r="F22" s="156">
        <f>'12. Income Statement (2)'!F54</f>
        <v/>
      </c>
      <c r="G22" s="156">
        <f>'12. Income Statement (2)'!G54</f>
        <v/>
      </c>
      <c r="H22" s="156">
        <f>'12. Income Statement (2)'!H54</f>
        <v/>
      </c>
      <c r="I22" s="156">
        <f>'12. Income Statement (2)'!I54</f>
        <v/>
      </c>
      <c r="J22" s="156">
        <f>'12. Income Statement (2)'!J54</f>
        <v/>
      </c>
      <c r="K22" s="156">
        <f>'12. Income Statement (2)'!K54</f>
        <v/>
      </c>
      <c r="L22" s="156">
        <f>'12. Income Statement (2)'!L54</f>
        <v/>
      </c>
      <c r="M22" s="156">
        <f>'12. Income Statement (2)'!M54</f>
        <v/>
      </c>
      <c r="N22" s="156">
        <f>'12. Income Statement (2)'!N54</f>
        <v/>
      </c>
      <c r="O22" s="156">
        <f>'12. Income Statement (2)'!O54</f>
        <v/>
      </c>
      <c r="P22" s="156">
        <f>'12. Income Statement (2)'!P54</f>
        <v/>
      </c>
      <c r="Q22" s="156">
        <f>SUM(E22:P22)</f>
        <v/>
      </c>
    </row>
    <row r="23" ht="12.75" customHeight="1" s="131">
      <c r="A23" s="137" t="n"/>
      <c r="B23" s="137" t="n"/>
      <c r="C23" s="137" t="inlineStr">
        <is>
          <t>Taxes</t>
        </is>
      </c>
      <c r="D23" s="145" t="n"/>
      <c r="E23" s="156" t="n">
        <v>0</v>
      </c>
      <c r="F23" s="156" t="n">
        <v>0</v>
      </c>
      <c r="G23" s="156">
        <f>SUM('12. Income Statement (2)'!E63:G63)</f>
        <v/>
      </c>
      <c r="H23" s="156" t="n">
        <v>0</v>
      </c>
      <c r="I23" s="156" t="n">
        <v>0</v>
      </c>
      <c r="J23" s="156">
        <f>SUM('12. Income Statement (2)'!H63:J63)</f>
        <v/>
      </c>
      <c r="K23" s="156" t="n">
        <v>0</v>
      </c>
      <c r="L23" s="156" t="n">
        <v>0</v>
      </c>
      <c r="M23" s="156">
        <f>SUM('12. Income Statement (2)'!K63:M63)</f>
        <v/>
      </c>
      <c r="N23" s="156" t="n">
        <v>0</v>
      </c>
      <c r="O23" s="156" t="n">
        <v>0</v>
      </c>
      <c r="P23" s="156">
        <f>SUM('12. Income Statement (2)'!N63:P63)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Receipts-Disbursements'!G22/12*'9. Cash Flow Statement'!P40</f>
        <v/>
      </c>
      <c r="F26" s="156">
        <f>'6. Cash Receipts-Disbursements'!G22/12*'13. Cash Flow Statement (2)'!E40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t="n"/>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Receipts-Disbursements'!$G$21-'13. Cash Flow Statement (2)'!E33,0)</f>
        <v/>
      </c>
      <c r="F35" s="156">
        <f>IF((F33-'6. Cash Receipts-Disbursements'!$G$21)&lt;0,'6. Cash Receipts-Disbursements'!$G$21-'13. Cash Flow Statement (2)'!F33,0)</f>
        <v/>
      </c>
      <c r="G35" s="156">
        <f>IF((G33-'6. Cash Receipts-Disbursements'!$G$21)&lt;0,'6. Cash Receipts-Disbursements'!$G$21-'13. Cash Flow Statement (2)'!G33,0)</f>
        <v/>
      </c>
      <c r="H35" s="156">
        <f>IF((H33-'6. Cash Receipts-Disbursements'!$G$21)&lt;0,'6. Cash Receipts-Disbursements'!$G$21-'13. Cash Flow Statement (2)'!H33,0)</f>
        <v/>
      </c>
      <c r="I35" s="156">
        <f>IF((I33-'6. Cash Receipts-Disbursements'!$G$21)&lt;0,'6. Cash Receipts-Disbursements'!$G$21-'13. Cash Flow Statement (2)'!I33,0)</f>
        <v/>
      </c>
      <c r="J35" s="156">
        <f>IF((J33-'6. Cash Receipts-Disbursements'!$G$21)&lt;0,'6. Cash Receipts-Disbursements'!$G$21-'13. Cash Flow Statement (2)'!J33,0)</f>
        <v/>
      </c>
      <c r="K35" s="156">
        <f>IF((K33-'6. Cash Receipts-Disbursements'!$G$21)&lt;0,'6. Cash Receipts-Disbursements'!$G$21-'13. Cash Flow Statement (2)'!K33,0)</f>
        <v/>
      </c>
      <c r="L35" s="156">
        <f>IF((L33-'6. Cash Receipts-Disbursements'!$G$21)&lt;0,'6. Cash Receipts-Disbursements'!$G$21-'13. Cash Flow Statement (2)'!L33,0)</f>
        <v/>
      </c>
      <c r="M35" s="156">
        <f>IF((M33-'6. Cash Receipts-Disbursements'!$G$21)&lt;0,'6. Cash Receipts-Disbursements'!$G$21-'13. Cash Flow Statement (2)'!M33,0)</f>
        <v/>
      </c>
      <c r="N35" s="156">
        <f>IF((N33-'6. Cash Receipts-Disbursements'!$G$21)&lt;0,'6. Cash Receipts-Disbursements'!$G$21-'13. Cash Flow Statement (2)'!N33,0)</f>
        <v/>
      </c>
      <c r="O35" s="156">
        <f>IF((O33-'6. Cash Receipts-Disbursements'!$G$21)&lt;0,'6. Cash Receipts-Disbursements'!$G$21-'13. Cash Flow Statement (2)'!O33,0)</f>
        <v/>
      </c>
      <c r="P35" s="156">
        <f>IF((P33-'6. Cash Receipts-Disbursements'!$G$21)&lt;0,'6. Cash Receipts-Disbursements'!$G$21-'13. Cash Flow Statement (2)'!P33,0)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f>SUM(E37:P37)</f>
        <v/>
      </c>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E35+'9. Cash Flow Statement'!P40-'13. Cash Flow Statement (2)'!E27</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One</t>
        </is>
      </c>
      <c r="G6" s="171" t="n"/>
      <c r="H6" s="140" t="n"/>
      <c r="I6" s="172" t="inlineStr">
        <is>
          <t>End of Year Two</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'10. Balance Sheet'!I10</f>
        <v/>
      </c>
      <c r="G10" s="156" t="n"/>
      <c r="H10" s="156" t="n"/>
      <c r="I10" s="156">
        <f>'13. Cash Flow Statement (2)'!P37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'10. Balance Sheet'!I11</f>
        <v/>
      </c>
      <c r="G11" s="156" t="n"/>
      <c r="H11" s="156" t="n"/>
      <c r="I11" s="156">
        <f>F11+'12. Income Statement (2)'!Q13-'13. Cash Flow Statement (2)'!Q13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'10. Balance Sheet'!I12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'10. Balance Sheet'!I13</f>
        <v/>
      </c>
      <c r="G13" s="156" t="n"/>
      <c r="H13" s="156" t="n"/>
      <c r="I13" s="156">
        <f>IF(F13='7. Beginning Balance Sheet'!F13,'7. Beginning Balance Sheet'!F13,'14. Balance Sheet (2)'!F13-'6.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'10. Balance Sheet'!I14</f>
        <v/>
      </c>
      <c r="G14" s="156" t="n"/>
      <c r="H14" s="156" t="n"/>
      <c r="I14" s="162">
        <f>IF(F14='7. Beginning Balance Sheet'!F14,'7. Beginning Balance Sheet'!F14,'14. Balance Sheet (2)'!F14-'6.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'10. Balance Sheet'!I18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'10. Balance Sheet'!I19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'10. Balance Sheet'!I20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'10. Balance Sheet'!I21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'10. Balance Sheet'!I22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'10. Balance Sheet'!I23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'10. Balance Sheet'!I24</f>
        <v/>
      </c>
      <c r="G24" s="156" t="n"/>
      <c r="H24" s="156" t="n"/>
      <c r="I24" s="162">
        <f>F24+'13. Cash Flow Statement (2)'!Q17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'10. Balance Sheet'!I27</f>
        <v/>
      </c>
      <c r="G27" s="156" t="n"/>
      <c r="H27" s="156" t="n"/>
      <c r="I27" s="156">
        <f>F27+'12. Income Statement (2)'!Q58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'10. Balance Sheet'!I35</f>
        <v/>
      </c>
      <c r="G35" s="156" t="n"/>
      <c r="H35" s="156" t="n"/>
      <c r="I35" s="156">
        <f>F35+'12. Income Statement (2)'!Q20-'13. Cash Flow Statement (2)'!Q19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'10. Balance Sheet'!I36</f>
        <v/>
      </c>
      <c r="G36" s="156" t="n"/>
      <c r="H36" s="156" t="n"/>
      <c r="I36" s="156">
        <f>'20. Amoritization Schedule'!R21+'7.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'10. Balance Sheet'!I37</f>
        <v/>
      </c>
      <c r="G37" s="156" t="n"/>
      <c r="H37" s="156" t="n"/>
      <c r="I37" s="156">
        <f>'20. Amoritization Schedule'!R41+'7.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'10. Balance Sheet'!I38</f>
        <v/>
      </c>
      <c r="G38" s="156" t="n"/>
      <c r="H38" s="156" t="n"/>
      <c r="I38" s="162">
        <f>'13. Cash Flow Statement (2)'!P40+'7.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'10. Balance Sheet'!I42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'10. Balance Sheet'!I43</f>
        <v/>
      </c>
      <c r="G43" s="156" t="n"/>
      <c r="H43" s="156" t="n"/>
      <c r="I43" s="156">
        <f>F43+'12. Income Statement (2)'!Q66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'10. Balance Sheet'!I44</f>
        <v/>
      </c>
      <c r="G44" s="156" t="n"/>
      <c r="H44" s="156" t="n"/>
      <c r="I44" s="162">
        <f>F44+'13. Cash Flow Statement (2)'!Q28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Forecast'!H16</f>
        <v/>
      </c>
      <c r="F9" s="156">
        <f>'4. Projected Sales Forecast'!$E$9*'4. Projected Sales Forecast'!I16</f>
        <v/>
      </c>
      <c r="G9" s="156">
        <f>'4. Projected Sales Forecast'!$E$9*'4. Projected Sales Forecast'!J16</f>
        <v/>
      </c>
      <c r="H9" s="156">
        <f>'4. Projected Sales Forecast'!$E$9*'4. Projected Sales Forecast'!K16</f>
        <v/>
      </c>
      <c r="I9" s="156">
        <f>'4. Projected Sales Forecast'!$E$9*'4. Projected Sales Forecast'!L16</f>
        <v/>
      </c>
      <c r="J9" s="156">
        <f>'4. Projected Sales Forecast'!$E$9*'4. Projected Sales Forecast'!M10</f>
        <v/>
      </c>
      <c r="K9" s="156">
        <f>'4. Projected Sales Forecast'!$E$9*'4. Projected Sales Forecast'!N16</f>
        <v/>
      </c>
      <c r="L9" s="156">
        <f>'4. Projected Sales Forecast'!$E$9*'4. Projected Sales Forecast'!O16</f>
        <v/>
      </c>
      <c r="M9" s="156">
        <f>'4. Projected Sales Forecast'!$E$9*'4. Projected Sales Forecast'!P16</f>
        <v/>
      </c>
      <c r="N9" s="156">
        <f>'4. Projected Sales Forecast'!$E$9*'4. Projected Sales Forecast'!Q16</f>
        <v/>
      </c>
      <c r="O9" s="156">
        <f>'4. Projected Sales Forecast'!$E$9*'4. Projected Sales Forecast'!R16</f>
        <v/>
      </c>
      <c r="P9" s="156">
        <f>'4. Projected Sales Forecast'!$E$9*'4. Projected Sales Forecast'!S16</f>
        <v/>
      </c>
      <c r="Q9" s="182">
        <f>SUM(E9:P9)</f>
        <v/>
      </c>
    </row>
    <row r="10" outlineLevel="1" ht="12.75" customHeight="1" s="131">
      <c r="A10" s="137" t="n"/>
      <c r="B10" s="137" t="n"/>
      <c r="C10" s="137" t="n"/>
      <c r="D10" s="145" t="n"/>
      <c r="E10" s="156">
        <f>'4. Projected Sales Forecast'!$E$31*'4. Projected Sales Forecast'!H38</f>
        <v/>
      </c>
      <c r="F10" s="156">
        <f>'4. Projected Sales Forecast'!$E$31*'4. Projected Sales Forecast'!I38</f>
        <v/>
      </c>
      <c r="G10" s="156">
        <f>'4. Projected Sales Forecast'!$E$31*'4. Projected Sales Forecast'!J38</f>
        <v/>
      </c>
      <c r="H10" s="156">
        <f>'4. Projected Sales Forecast'!$E$31*'4. Projected Sales Forecast'!K38</f>
        <v/>
      </c>
      <c r="I10" s="156">
        <f>'4. Projected Sales Forecast'!$E$31*'4. Projected Sales Forecast'!L38</f>
        <v/>
      </c>
      <c r="J10" s="156">
        <f>'4. Projected Sales Forecast'!$E$31*'4. Projected Sales Forecast'!M38</f>
        <v/>
      </c>
      <c r="K10" s="156">
        <f>'4. Projected Sales Forecast'!$E$31*'4. Projected Sales Forecast'!N38</f>
        <v/>
      </c>
      <c r="L10" s="156">
        <f>'4. Projected Sales Forecast'!$E$31*'4. Projected Sales Forecast'!O38</f>
        <v/>
      </c>
      <c r="M10" s="156">
        <f>'4. Projected Sales Forecast'!$E$31*'4. Projected Sales Forecast'!P38</f>
        <v/>
      </c>
      <c r="N10" s="156">
        <f>'4. Projected Sales Forecast'!$E$31*'4. Projected Sales Forecast'!Q38</f>
        <v/>
      </c>
      <c r="O10" s="156">
        <f>'4. Projected Sales Forecast'!$E$31*'4. Projected Sales Forecast'!R38</f>
        <v/>
      </c>
      <c r="P10" s="156">
        <f>'4. Projected Sales Forecast'!$E$31*'4. Projected Sales Forecast'!S38</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(2)'!H16,"")</f>
        <v/>
      </c>
      <c r="F11" s="156">
        <f>IF('5. Projected Sales Forecast (2)'!$E$9&gt;0,'5. Projected Sales Forecast (2)'!$E$9*'5. Projected Sales Forecast (2)'!I16,"")</f>
        <v/>
      </c>
      <c r="G11" s="156">
        <f>IF('5. Projected Sales Forecast (2)'!$E$9&gt;0,'5. Projected Sales Forecast (2)'!$E$9*'5. Projected Sales Forecast (2)'!J16,"")</f>
        <v/>
      </c>
      <c r="H11" s="156">
        <f>IF('5. Projected Sales Forecast (2)'!$E$9&gt;0,'5. Projected Sales Forecast (2)'!$E$9*'5. Projected Sales Forecast (2)'!K16,"")</f>
        <v/>
      </c>
      <c r="I11" s="156">
        <f>IF('5. Projected Sales Forecast (2)'!$E$9&gt;0,'5. Projected Sales Forecast (2)'!$E$9*'5. Projected Sales Forecast (2)'!L16,"")</f>
        <v/>
      </c>
      <c r="J11" s="156">
        <f>IF('5. Projected Sales Forecast (2)'!$E$9&gt;0,'5. Projected Sales Forecast (2)'!$E$9*'5. Projected Sales Forecast (2)'!M16,"")</f>
        <v/>
      </c>
      <c r="K11" s="156">
        <f>IF('5. Projected Sales Forecast (2)'!$E$9&gt;0,'5. Projected Sales Forecast (2)'!$E$9*'5. Projected Sales Forecast (2)'!N16,"")</f>
        <v/>
      </c>
      <c r="L11" s="156">
        <f>IF('5. Projected Sales Forecast (2)'!$E$9&gt;0,'5. Projected Sales Forecast (2)'!$E$9*'5. Projected Sales Forecast (2)'!O16,"")</f>
        <v/>
      </c>
      <c r="M11" s="156">
        <f>IF('5. Projected Sales Forecast (2)'!$E$9&gt;0,'5. Projected Sales Forecast (2)'!$E$9*'5. Projected Sales Forecast (2)'!P16,"")</f>
        <v/>
      </c>
      <c r="N11" s="156">
        <f>IF('5. Projected Sales Forecast (2)'!$E$9&gt;0,'5. Projected Sales Forecast (2)'!$E$9*'5. Projected Sales Forecast (2)'!Q16,"")</f>
        <v/>
      </c>
      <c r="O11" s="156">
        <f>IF('5. Projected Sales Forecast (2)'!$E$9&gt;0,'5. Projected Sales Forecast (2)'!$E$9*'5. Projected Sales Forecast (2)'!R16,"")</f>
        <v/>
      </c>
      <c r="P11" s="156">
        <f>IF('5. Projected Sales Forecast (2)'!$E$9&gt;0,'5. Projected Sales Forecast (2)'!$E$9*'5. Projected Sales Forecast (2)'!S16,"")</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(2)'!H38,"")</f>
        <v/>
      </c>
      <c r="F12" s="162">
        <f>IF('5. Projected Sales Forecast (2)'!$E$31&gt;0,'5. Projected Sales Forecast (2)'!$E$31*'5. Projected Sales Forecast (2)'!I38,"")</f>
        <v/>
      </c>
      <c r="G12" s="162">
        <f>IF('5. Projected Sales Forecast (2)'!$E$31&gt;0,'5. Projected Sales Forecast (2)'!$E$31*'5. Projected Sales Forecast (2)'!J38,"")</f>
        <v/>
      </c>
      <c r="H12" s="162">
        <f>IF('5. Projected Sales Forecast (2)'!$E$31&gt;0,'5. Projected Sales Forecast (2)'!$E$31*'5. Projected Sales Forecast (2)'!K38,"")</f>
        <v/>
      </c>
      <c r="I12" s="162">
        <f>IF('5. Projected Sales Forecast (2)'!$E$31&gt;0,'5. Projected Sales Forecast (2)'!$E$31*'5. Projected Sales Forecast (2)'!L38,"")</f>
        <v/>
      </c>
      <c r="J12" s="162">
        <f>IF('5. Projected Sales Forecast (2)'!$E$31&gt;0,'5. Projected Sales Forecast (2)'!$E$31*'5. Projected Sales Forecast (2)'!M38,"")</f>
        <v/>
      </c>
      <c r="K12" s="162">
        <f>IF('5. Projected Sales Forecast (2)'!$E$31&gt;0,'5. Projected Sales Forecast (2)'!$E$31*'5. Projected Sales Forecast (2)'!L36,"")</f>
        <v/>
      </c>
      <c r="L12" s="162">
        <f>IF('5. Projected Sales Forecast (2)'!$E$31&gt;0,'5. Projected Sales Forecast (2)'!$E$31*'5. Projected Sales Forecast (2)'!O38,"")</f>
        <v/>
      </c>
      <c r="M12" s="162">
        <f>IF('5. Projected Sales Forecast (2)'!$E$31&gt;0,'5. Projected Sales Forecast (2)'!$E$31*'5. Projected Sales Forecast (2)'!P38,"")</f>
        <v/>
      </c>
      <c r="N12" s="162">
        <f>IF('5. Projected Sales Forecast (2)'!$E$31&gt;0,'5. Projected Sales Forecast (2)'!$E$31*'5. Projected Sales Forecast (2)'!Q38,"")</f>
        <v/>
      </c>
      <c r="O12" s="162">
        <f>IF('5. Projected Sales Forecast (2)'!$E$31&gt;0,'5. Projected Sales Forecast (2)'!$E$31*'5. Projected Sales Forecast (2)'!R38,"")</f>
        <v/>
      </c>
      <c r="P12" s="162">
        <f>IF('5. Projected Sales Forecast (2)'!$E$31&gt;0,'5. Projected Sales Forecast (2)'!$E$31*'5. Projected Sales Forecast (2)'!S38,"")</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Forecast'!H16</f>
        <v/>
      </c>
      <c r="F16" s="156">
        <f>'4. Projected Sales Forecast'!$E$10*'4. Projected Sales Forecast'!I16</f>
        <v/>
      </c>
      <c r="G16" s="156">
        <f>'4. Projected Sales Forecast'!$E$10*'4. Projected Sales Forecast'!J16</f>
        <v/>
      </c>
      <c r="H16" s="156">
        <f>'4. Projected Sales Forecast'!$E$10*'4. Projected Sales Forecast'!K16</f>
        <v/>
      </c>
      <c r="I16" s="156">
        <f>'4. Projected Sales Forecast'!$E$10*'4. Projected Sales Forecast'!L16</f>
        <v/>
      </c>
      <c r="J16" s="156">
        <f>'4. Projected Sales Forecast'!$E$10*'4. Projected Sales Forecast'!M16</f>
        <v/>
      </c>
      <c r="K16" s="156">
        <f>'4. Projected Sales Forecast'!$E$10*'4. Projected Sales Forecast'!N16</f>
        <v/>
      </c>
      <c r="L16" s="156">
        <f>'4. Projected Sales Forecast'!$E$10*'4. Projected Sales Forecast'!O16</f>
        <v/>
      </c>
      <c r="M16" s="156">
        <f>'4. Projected Sales Forecast'!$E$10*'4. Projected Sales Forecast'!P16</f>
        <v/>
      </c>
      <c r="N16" s="156">
        <f>'4. Projected Sales Forecast'!$E$10*'4. Projected Sales Forecast'!Q16</f>
        <v/>
      </c>
      <c r="O16" s="156">
        <f>'4. Projected Sales Forecast'!$E$10*'4. Projected Sales Forecast'!R16</f>
        <v/>
      </c>
      <c r="P16" s="156">
        <f>'4. Projected Sales Forecast'!$E$10*'4. Projected Sales Forecast'!S16</f>
        <v/>
      </c>
      <c r="Q16" s="156">
        <f>SUM(E16:P16)</f>
        <v/>
      </c>
    </row>
    <row r="17" outlineLevel="1" ht="12.75" customHeight="1" s="131">
      <c r="A17" s="137" t="n"/>
      <c r="B17" s="137">
        <f>B10</f>
        <v/>
      </c>
      <c r="C17" s="137" t="n"/>
      <c r="D17" s="145" t="n"/>
      <c r="E17" s="182">
        <f>'4. Projected Sales Forecast'!$E$32*'4. Projected Sales Forecast'!H38</f>
        <v/>
      </c>
      <c r="F17" s="182">
        <f>'4. Projected Sales Forecast'!$E$32*'4. Projected Sales Forecast'!I38</f>
        <v/>
      </c>
      <c r="G17" s="182">
        <f>'4. Projected Sales Forecast'!$E$32*'4. Projected Sales Forecast'!J38</f>
        <v/>
      </c>
      <c r="H17" s="182">
        <f>'4. Projected Sales Forecast'!$E$32*'4. Projected Sales Forecast'!K38</f>
        <v/>
      </c>
      <c r="I17" s="182">
        <f>'4. Projected Sales Forecast'!$E$32*'4. Projected Sales Forecast'!L38</f>
        <v/>
      </c>
      <c r="J17" s="182">
        <f>'4. Projected Sales Forecast'!$E$32*'4. Projected Sales Forecast'!M38</f>
        <v/>
      </c>
      <c r="K17" s="182">
        <f>'4. Projected Sales Forecast'!$E$32*'4. Projected Sales Forecast'!N38</f>
        <v/>
      </c>
      <c r="L17" s="182">
        <f>'4. Projected Sales Forecast'!$E$32*'4. Projected Sales Forecast'!O38</f>
        <v/>
      </c>
      <c r="M17" s="182">
        <f>'4. Projected Sales Forecast'!$E$32*'4. Projected Sales Forecast'!P38</f>
        <v/>
      </c>
      <c r="N17" s="182">
        <f>'4. Projected Sales Forecast'!$E$32*'4. Projected Sales Forecast'!Q38</f>
        <v/>
      </c>
      <c r="O17" s="182">
        <f>'4. Projected Sales Forecast'!$E$32*'4. Projected Sales Forecast'!R38</f>
        <v/>
      </c>
      <c r="P17" s="182">
        <f>'4. Projected Sales Forecast'!$E$32*'4. Projected Sales Forecast'!S38</f>
        <v/>
      </c>
      <c r="Q17" s="156">
        <f>SUM(E17:P17)</f>
        <v/>
      </c>
    </row>
    <row r="18" outlineLevel="1" ht="12.75" customHeight="1" s="131">
      <c r="A18" s="137" t="n"/>
      <c r="B18" s="137">
        <f>B11</f>
        <v/>
      </c>
      <c r="C18" s="137" t="n"/>
      <c r="D18" s="145" t="n"/>
      <c r="E18" s="182">
        <f>IF('5. Projected Sales Forecast (2)'!$E$10&gt;0,'5. Projected Sales Forecast (2)'!$E$10*'5. Projected Sales Forecast (2)'!H16,"")</f>
        <v/>
      </c>
      <c r="F18" s="182">
        <f>IF('5. Projected Sales Forecast (2)'!$E$10&gt;0,'5. Projected Sales Forecast (2)'!$E$10*'5. Projected Sales Forecast (2)'!I16,"")</f>
        <v/>
      </c>
      <c r="G18" s="182">
        <f>IF('5. Projected Sales Forecast (2)'!$E$10&gt;0,'5. Projected Sales Forecast (2)'!$E$10*'5. Projected Sales Forecast (2)'!J16,"")</f>
        <v/>
      </c>
      <c r="H18" s="182">
        <f>IF('5. Projected Sales Forecast (2)'!$E$10&gt;0,'5. Projected Sales Forecast (2)'!$E$10*'5. Projected Sales Forecast (2)'!K16,"")</f>
        <v/>
      </c>
      <c r="I18" s="182">
        <f>IF('5. Projected Sales Forecast (2)'!$E$10&gt;0,'5. Projected Sales Forecast (2)'!$E$10*'5. Projected Sales Forecast (2)'!L16,"")</f>
        <v/>
      </c>
      <c r="J18" s="182">
        <f>IF('5. Projected Sales Forecast (2)'!$E$10&gt;0,'5. Projected Sales Forecast (2)'!$E$10*'5. Projected Sales Forecast (2)'!M16,"")</f>
        <v/>
      </c>
      <c r="K18" s="182">
        <f>IF('5. Projected Sales Forecast (2)'!$E$10&gt;0,'5. Projected Sales Forecast (2)'!$E$10*'5. Projected Sales Forecast (2)'!N16,"")</f>
        <v/>
      </c>
      <c r="L18" s="182">
        <f>IF('5. Projected Sales Forecast (2)'!$E$10&gt;0,'5. Projected Sales Forecast (2)'!$E$10*'5. Projected Sales Forecast (2)'!O16,"")</f>
        <v/>
      </c>
      <c r="M18" s="182">
        <f>IF('5. Projected Sales Forecast (2)'!$E$10&gt;0,'5. Projected Sales Forecast (2)'!$E$10*'5. Projected Sales Forecast (2)'!P16,"")</f>
        <v/>
      </c>
      <c r="N18" s="182">
        <f>IF('5. Projected Sales Forecast (2)'!$E$10&gt;0,'5. Projected Sales Forecast (2)'!$E$10*'5. Projected Sales Forecast (2)'!Q16,"")</f>
        <v/>
      </c>
      <c r="O18" s="182">
        <f>IF('5. Projected Sales Forecast (2)'!$E$10&gt;0,'5. Projected Sales Forecast (2)'!$E$10*'5. Projected Sales Forecast (2)'!R16,"")</f>
        <v/>
      </c>
      <c r="P18" s="182">
        <f>IF('5. Projected Sales Forecast (2)'!$E$10&gt;0,'5. Projected Sales Forecast (2)'!$E$10*'5. Projected Sales Forecast (2)'!S16,"")</f>
        <v/>
      </c>
      <c r="Q18" s="156">
        <f>SUM(E18:P18)</f>
        <v/>
      </c>
    </row>
    <row r="19" outlineLevel="1" ht="12.75" customHeight="1" s="131">
      <c r="A19" s="137" t="n"/>
      <c r="B19" s="137">
        <f>B12</f>
        <v/>
      </c>
      <c r="C19" s="137" t="n"/>
      <c r="D19" s="145" t="n"/>
      <c r="E19" s="162">
        <f>IF('5. Projected Sales Forecast (2)'!$E$32&gt;0,'5. Projected Sales Forecast (2)'!$E$32*'5. Projected Sales Forecast (2)'!H38,"")</f>
        <v/>
      </c>
      <c r="F19" s="162">
        <f>IF('5. Projected Sales Forecast (2)'!$E$32&gt;0,'5. Projected Sales Forecast (2)'!$E$32*'5. Projected Sales Forecast (2)'!I38,"")</f>
        <v/>
      </c>
      <c r="G19" s="162">
        <f>IF('5. Projected Sales Forecast (2)'!$E$32&gt;0,'5. Projected Sales Forecast (2)'!$E$32*'5. Projected Sales Forecast (2)'!J38,"")</f>
        <v/>
      </c>
      <c r="H19" s="162">
        <f>IF('5. Projected Sales Forecast (2)'!$E$32&gt;0,'5. Projected Sales Forecast (2)'!$E$32*'5. Projected Sales Forecast (2)'!K38,"")</f>
        <v/>
      </c>
      <c r="I19" s="162">
        <f>IF('5. Projected Sales Forecast (2)'!$E$32&gt;0,'5. Projected Sales Forecast (2)'!$E$32*'5. Projected Sales Forecast (2)'!L38,"")</f>
        <v/>
      </c>
      <c r="J19" s="162">
        <f>IF('5. Projected Sales Forecast (2)'!$E$32&gt;0,'5. Projected Sales Forecast (2)'!$E$32*'5. Projected Sales Forecast (2)'!M38,"")</f>
        <v/>
      </c>
      <c r="K19" s="162">
        <f>IF('5. Projected Sales Forecast (2)'!$E$32&gt;0,'5. Projected Sales Forecast (2)'!$E$32*'5. Projected Sales Forecast (2)'!N38,"")</f>
        <v/>
      </c>
      <c r="L19" s="162">
        <f>IF('5. Projected Sales Forecast (2)'!$E$32&gt;0,'5. Projected Sales Forecast (2)'!$E$32*'5. Projected Sales Forecast (2)'!O38,"")</f>
        <v/>
      </c>
      <c r="M19" s="162">
        <f>IF('5. Projected Sales Forecast (2)'!$E$32&gt;0,'5. Projected Sales Forecast (2)'!$E$32*'5. Projected Sales Forecast (2)'!P38,"")</f>
        <v/>
      </c>
      <c r="N19" s="162">
        <f>IF('5. Projected Sales Forecast (2)'!$E$32&gt;0,'5. Projected Sales Forecast (2)'!$E$32*'5. Projected Sales Forecast (2)'!Q38,"")</f>
        <v/>
      </c>
      <c r="O19" s="162">
        <f>IF('5. Projected Sales Forecast (2)'!$E$32&gt;0,'5. Projected Sales Forecast (2)'!$E$32*'5. Projected Sales Forecast (2)'!R38,"")</f>
        <v/>
      </c>
      <c r="P19" s="162">
        <f>IF('5. Projected Sales Forecast (2)'!$E$32&gt;0,'5. Projected Sales Forecast (2)'!$E$32*'5. Projected Sales Forecast (2)'!S38,"")</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Wages'!O11/12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Wages'!O12/12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Wages'!O14/12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Wages'!O17/12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Wages'!O20/12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Wages'!O32/12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Expenses'!K11/12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Expenses'!K12/12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Expenses'!K13/12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Expenses'!K14/12</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Expenses'!K15/12</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Expenses'!K16/12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Expenses'!K17/12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Expenses'!K18/12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Expenses'!K19/12</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Expenses'!K20/12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Expenses'!K21/12</f>
        <v/>
      </c>
      <c r="F44" s="156">
        <f>E44</f>
        <v/>
      </c>
      <c r="G44" s="156">
        <f>F44</f>
        <v/>
      </c>
      <c r="H44" s="156">
        <f>G44</f>
        <v/>
      </c>
      <c r="I44" s="156">
        <f>H44</f>
        <v/>
      </c>
      <c r="J44" s="156">
        <f>SUM(J34:J43)</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Expenses'!K22/12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Expenses'!K23/12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Expenses'!K24/12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Expenses'!K25/12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Expenses'!K26/12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Expenses'!K27/12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Expenses'!K28/12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t="n"/>
      <c r="C52" s="137" t="n"/>
      <c r="D52" s="145" t="n"/>
      <c r="E52" s="156">
        <f>'3. Fixed Operating Expenses'!K29/12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Expenses'!K30/12</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Receipts-Disbursements'!$G$28&gt;2,'6. Cash Receipts-Disbursements'!$K$28,0)</f>
        <v/>
      </c>
      <c r="F57" s="156">
        <f>IF('6. Cash Receipts-Disbursements'!$G$28&gt;2,'6. Cash Receipts-Disbursements'!$K$28,0)</f>
        <v/>
      </c>
      <c r="G57" s="156">
        <f>IF('6. Cash Receipts-Disbursements'!$G$28&gt;2,'6. Cash Receipts-Disbursements'!$K$28,0)</f>
        <v/>
      </c>
      <c r="H57" s="156">
        <f>IF('6. Cash Receipts-Disbursements'!$G$28&gt;2,'6. Cash Receipts-Disbursements'!$K$28,0)</f>
        <v/>
      </c>
      <c r="I57" s="156">
        <f>IF('6. Cash Receipts-Disbursements'!$G$28&gt;2,'6. Cash Receipts-Disbursements'!$K$28,0)</f>
        <v/>
      </c>
      <c r="J57" s="156">
        <f>IF('6. Cash Receipts-Disbursements'!$G$28&gt;2,'6. Cash Receipts-Disbursements'!$K$28,0)</f>
        <v/>
      </c>
      <c r="K57" s="156">
        <f>IF('6. Cash Receipts-Disbursements'!$G$28&gt;2,'6. Cash Receipts-Disbursements'!$K$28,0)</f>
        <v/>
      </c>
      <c r="L57" s="156">
        <f>IF('6. Cash Receipts-Disbursements'!$G$28&gt;2,'6. Cash Receipts-Disbursements'!$K$28,0)</f>
        <v/>
      </c>
      <c r="M57" s="156">
        <f>IF('6. Cash Receipts-Disbursements'!$G$28&gt;2,'6. Cash Receipts-Disbursements'!$K$28,0)</f>
        <v/>
      </c>
      <c r="N57" s="156">
        <f>IF('6. Cash Receipts-Disbursements'!$G$28&gt;2,'6. Cash Receipts-Disbursements'!$K$28,0)</f>
        <v/>
      </c>
      <c r="O57" s="156">
        <f>IF('6. Cash Receipts-Disbursements'!$G$28&gt;2,'6. Cash Receipts-Disbursements'!$K$28,0)</f>
        <v/>
      </c>
      <c r="P57" s="156">
        <f>IF('6. Cash Receipts-Disbursements'!$G$28&gt;2,'6.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Schedule'!G23</f>
        <v/>
      </c>
      <c r="F60" s="156">
        <f>'20. Amoritization Schedule'!H23</f>
        <v/>
      </c>
      <c r="G60" s="156">
        <f>'20. Amoritization Schedule'!I23</f>
        <v/>
      </c>
      <c r="H60" s="156">
        <f>'20. Amoritization Schedule'!J23</f>
        <v/>
      </c>
      <c r="I60" s="156">
        <f>'20. Amoritization Schedule'!K23</f>
        <v/>
      </c>
      <c r="J60" s="156">
        <f>'20. Amoritization Schedule'!L23</f>
        <v/>
      </c>
      <c r="K60" s="156">
        <f>'20. Amoritization Schedule'!M23</f>
        <v/>
      </c>
      <c r="L60" s="156">
        <f>K60</f>
        <v/>
      </c>
      <c r="M60" s="156">
        <f>'20. Amoritization Schedule'!O23</f>
        <v/>
      </c>
      <c r="N60" s="156">
        <f>'20. Amoritization Schedule'!P23</f>
        <v/>
      </c>
      <c r="O60" s="156">
        <f>'20. Amoritization Schedule'!Q23</f>
        <v/>
      </c>
      <c r="P60" s="156">
        <f>'20. Amoritization Schedule'!R23</f>
        <v/>
      </c>
      <c r="Q60" s="156">
        <f>SUM(E60:P60)</f>
        <v/>
      </c>
    </row>
    <row r="61" hidden="1" outlineLevel="1" ht="12.75" customHeight="1" s="131">
      <c r="A61" s="137" t="n"/>
      <c r="B61" s="137" t="n"/>
      <c r="C61" s="137" t="inlineStr">
        <is>
          <t>Commercial Mortgage</t>
        </is>
      </c>
      <c r="D61" s="145" t="n"/>
      <c r="E61" s="156">
        <f>'20. Amoritization Schedule'!G43</f>
        <v/>
      </c>
      <c r="F61" s="156">
        <f>'20. Amoritization Schedule'!H43</f>
        <v/>
      </c>
      <c r="G61" s="156">
        <f>'20. Amoritization Schedule'!I43</f>
        <v/>
      </c>
      <c r="H61" s="156">
        <f>'20. Amoritization Schedule'!J43</f>
        <v/>
      </c>
      <c r="I61" s="156">
        <f>'20. Amoritization Schedule'!K43</f>
        <v/>
      </c>
      <c r="J61" s="156">
        <f>'20. Amoritization Schedule'!L43</f>
        <v/>
      </c>
      <c r="K61" s="156">
        <f>'20. Amoritization Schedule'!M43</f>
        <v/>
      </c>
      <c r="L61" s="156">
        <f>'20. Amoritization Schedule'!N43</f>
        <v/>
      </c>
      <c r="M61" s="156">
        <f>'20. Amoritization Schedule'!O43</f>
        <v/>
      </c>
      <c r="N61" s="156">
        <f>'20. Amoritization Schedule'!P43</f>
        <v/>
      </c>
      <c r="O61" s="156">
        <f>'20. Amoritization Schedule'!Q43</f>
        <v/>
      </c>
      <c r="P61" s="156">
        <f>'20. Amoritization Schedule'!R43</f>
        <v/>
      </c>
      <c r="Q61" s="156">
        <f>SUM(E61:P61)</f>
        <v/>
      </c>
    </row>
    <row r="62" hidden="1" outlineLevel="1" ht="12.75" customHeight="1" s="131">
      <c r="A62" s="137" t="n"/>
      <c r="B62" s="137" t="n"/>
      <c r="C62" s="137" t="inlineStr">
        <is>
          <t>Line of Credit</t>
        </is>
      </c>
      <c r="D62" s="145" t="n"/>
      <c r="E62" s="156">
        <f>'16. Cash Flow Statement (3)'!E26</f>
        <v/>
      </c>
      <c r="F62" s="156">
        <f>'16. Cash Flow Statement (3)'!F26</f>
        <v/>
      </c>
      <c r="G62" s="156">
        <f>'16. Cash Flow Statement (3)'!G26</f>
        <v/>
      </c>
      <c r="H62" s="156">
        <f>'16. Cash Flow Statement (3)'!H26</f>
        <v/>
      </c>
      <c r="I62" s="156">
        <f>'16. Cash Flow Statement (3)'!I26</f>
        <v/>
      </c>
      <c r="J62" s="156">
        <f>'16. Cash Flow Statement (3)'!J26</f>
        <v/>
      </c>
      <c r="K62" s="156">
        <f>J62</f>
        <v/>
      </c>
      <c r="L62" s="156">
        <f>'16. Cash Flow Statement (3)'!L26</f>
        <v/>
      </c>
      <c r="M62" s="156">
        <f>'16. Cash Flow Statement (3)'!M26</f>
        <v/>
      </c>
      <c r="N62" s="156">
        <f>'16. Cash Flow Statement (3)'!N26</f>
        <v/>
      </c>
      <c r="O62" s="156">
        <f>'16. Cash Flow Statement (3)'!O26</f>
        <v/>
      </c>
      <c r="P62" s="156">
        <f>'16. Cash Flow Statement (3)'!P26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Receipts-Disbursements'!$G$25,'15. Income Statement (3)'!F70*'6. Cash Receipts-Disbursements'!$G$25),IF('15. Income Statement (3)'!E71&gt;0,-('15. Income Statement (3)'!E71*'6. Cash Receipts-Disbursements'!$G$25),0))</f>
        <v/>
      </c>
      <c r="G63" s="162">
        <f>IF(G71&gt;0,IF(F71&lt;0,(G70-ABS(F71))*'6. Cash Receipts-Disbursements'!$G$25,'15. Income Statement (3)'!G70*'6. Cash Receipts-Disbursements'!$G$25),IF('15. Income Statement (3)'!F71&gt;0,-('15. Income Statement (3)'!F71*'6. Cash Receipts-Disbursements'!$G$25),0))</f>
        <v/>
      </c>
      <c r="H63" s="162">
        <f>IF(H71&gt;0,IF(G71&lt;0,(H70-ABS(G71))*'6. Cash Receipts-Disbursements'!$G$25,'15. Income Statement (3)'!H70*'6. Cash Receipts-Disbursements'!$G$25),IF('15. Income Statement (3)'!G71&gt;0,-('15. Income Statement (3)'!G71*'6. Cash Receipts-Disbursements'!$G$25),0))</f>
        <v/>
      </c>
      <c r="I63" s="162">
        <f>IF(I71&gt;0,IF(H71&lt;0,(I70-ABS(H71))*'6. Cash Receipts-Disbursements'!$G$25,'15. Income Statement (3)'!I70*'6. Cash Receipts-Disbursements'!$G$25),IF('15. Income Statement (3)'!H71&gt;0,-('15. Income Statement (3)'!H71*'6. Cash Receipts-Disbursements'!$G$25),0))</f>
        <v/>
      </c>
      <c r="J63" s="162">
        <f>IF(J71&gt;0,IF(I71&lt;0,(J70-ABS(I71))*'6. Cash Receipts-Disbursements'!$G$25,'15. Income Statement (3)'!J70*'6. Cash Receipts-Disbursements'!$G$25),IF('15. Income Statement (3)'!I71&gt;0,-('15. Income Statement (3)'!I71*'6. Cash Receipts-Disbursements'!$G$25),0))</f>
        <v/>
      </c>
      <c r="K63" s="162">
        <f>IF(K71&gt;0,IF(J71&lt;0,(K70-ABS(J71))*'6. Cash Receipts-Disbursements'!$G$25,'15. Income Statement (3)'!K70*'6. Cash Receipts-Disbursements'!$G$25),IF('15. Income Statement (3)'!J71&gt;0,-('15. Income Statement (3)'!J71*'6. Cash Receipts-Disbursements'!$G$25),0))</f>
        <v/>
      </c>
      <c r="L63" s="162">
        <f>IF(L71&gt;0,IF(K71&lt;0,(L70-ABS(K71))*'6. Cash Receipts-Disbursements'!$G$25,'15. Income Statement (3)'!L70*'6. Cash Receipts-Disbursements'!$G$25),IF('15. Income Statement (3)'!K71&gt;0,-('15. Income Statement (3)'!K71*'6. Cash Receipts-Disbursements'!$G$25),0))</f>
        <v/>
      </c>
      <c r="M63" s="162">
        <f>IF(M71&gt;0,IF(L71&lt;0,(M70-ABS(L71))*'6. Cash Receipts-Disbursements'!$G$25,'15. Income Statement (3)'!M70*'6. Cash Receipts-Disbursements'!$G$25),IF('15. Income Statement (3)'!L71&gt;0,-('15. Income Statement (3)'!L71*'6. Cash Receipts-Disbursements'!$G$25),0))</f>
        <v/>
      </c>
      <c r="N63" s="162">
        <f>IF(N71&gt;0,IF(M71&lt;0,(N70-ABS(M71))*'6. Cash Receipts-Disbursements'!$G$25,'15. Income Statement (3)'!N70*'6. Cash Receipts-Disbursements'!$G$25),IF('15. Income Statement (3)'!M71&gt;0,-('15. Income Statement (3)'!M71*'6. Cash Receipts-Disbursements'!$G$25),0))</f>
        <v/>
      </c>
      <c r="O63" s="162">
        <f>IF(O71&gt;0,IF(N71&lt;0,(O70-ABS(N71))*'6. Cash Receipts-Disbursements'!$G$25,'15. Income Statement (3)'!O70*'6. Cash Receipts-Disbursements'!$G$25),IF('15. Income Statement (3)'!N71&gt;0,-('15. Income Statement (3)'!N71*'6. Cash Receipts-Disbursements'!$G$25),0))</f>
        <v/>
      </c>
      <c r="P63" s="162">
        <f>IF(P71&gt;0,IF(O71&lt;0,(P70-ABS(O71))*'6. Cash Receipts-Disbursements'!$G$25,'15. Income Statement (3)'!P70*'6. Cash Receipts-Disbursements'!$G$25),IF('15. Income Statement (3)'!O71&gt;0,-('15. Income Statement (3)'!O71*'6.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G70</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f>SUM(E70:P70)</f>
        <v/>
      </c>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f>SUM(E71:P71)</f>
        <v/>
      </c>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'13. Cash Flow Statement (2)'!P37</f>
        <v/>
      </c>
      <c r="F8" s="156">
        <f>E37</f>
        <v/>
      </c>
      <c r="G8" s="156">
        <f>F37</f>
        <v/>
      </c>
      <c r="H8" s="156">
        <f>G37</f>
        <v/>
      </c>
      <c r="I8" s="156">
        <f>H37</f>
        <v/>
      </c>
      <c r="J8" s="156">
        <f>I37</f>
        <v/>
      </c>
      <c r="K8" s="156">
        <f>J37</f>
        <v/>
      </c>
      <c r="L8" s="156">
        <f>K8</f>
        <v/>
      </c>
      <c r="M8" s="156">
        <f>L37</f>
        <v/>
      </c>
      <c r="N8" s="156">
        <f>M37</f>
        <v/>
      </c>
      <c r="O8" s="156">
        <f>N37</f>
        <v/>
      </c>
      <c r="P8" s="156">
        <f>O37</f>
        <v/>
      </c>
      <c r="Q8" s="156">
        <f>SUM(E8:P8)</f>
        <v/>
      </c>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'15. Income Statement (3)'!E13*'6. Cash Receipts-Disbursements'!$G$8</f>
        <v/>
      </c>
      <c r="F11" s="156">
        <f>'15. Income Statement (3)'!F13*'6. Cash Receipts-Disbursements'!$G$8</f>
        <v/>
      </c>
      <c r="G11" s="156">
        <f>'15. Income Statement (3)'!G13*'6. Cash Receipts-Disbursements'!$G$8</f>
        <v/>
      </c>
      <c r="H11" s="156">
        <f>'15. Income Statement (3)'!H13*'6. Cash Receipts-Disbursements'!$G$8</f>
        <v/>
      </c>
      <c r="I11" s="156">
        <f>'15. Income Statement (3)'!I13*'6. Cash Receipts-Disbursements'!$G$8</f>
        <v/>
      </c>
      <c r="J11" s="156">
        <f>'15. Income Statement (3)'!J13*'6. Cash Receipts-Disbursements'!$G$8</f>
        <v/>
      </c>
      <c r="K11" s="156">
        <f>'15. Income Statement (3)'!K13*'6. Cash Receipts-Disbursements'!$G$8</f>
        <v/>
      </c>
      <c r="L11" s="156">
        <f>'15. Income Statement (3)'!L13*'6. Cash Receipts-Disbursements'!$G$8</f>
        <v/>
      </c>
      <c r="M11" s="156">
        <f>'15. Income Statement (3)'!M13*'6. Cash Receipts-Disbursements'!$G$8</f>
        <v/>
      </c>
      <c r="N11" s="156">
        <f>'15. Income Statement (3)'!N13*'6. Cash Receipts-Disbursements'!$G$8</f>
        <v/>
      </c>
      <c r="O11" s="156">
        <f>'15. Income Statement (3)'!O13*'6. Cash Receipts-Disbursements'!$G$8</f>
        <v/>
      </c>
      <c r="P11" s="156">
        <f>'15. Income Statement (3)'!P13*'6. Cash Receipts-Disbursements'!$G$8</f>
        <v/>
      </c>
      <c r="Q11" s="156">
        <f>SUM(E11:P11)</f>
        <v/>
      </c>
    </row>
    <row r="12" ht="12.75" customHeight="1" s="131">
      <c r="A12" s="137" t="n"/>
      <c r="B12" s="137" t="inlineStr">
        <is>
          <t>Accounts Receivable</t>
        </is>
      </c>
      <c r="C12" s="137" t="n"/>
      <c r="D12" s="145" t="n"/>
      <c r="E12" s="162">
        <f>('15. Income Statement (3)'!P13*'6. Cash Receipts-Disbursements'!$G$10)</f>
        <v/>
      </c>
      <c r="F12" s="162">
        <f>('12. Income Statement (2)'!P13*'6. Cash Receipts-Disbursements'!G10)+('15. Income Statement (3)'!E13*'6. Cash Receipts-Disbursements'!G9)</f>
        <v/>
      </c>
      <c r="G12" s="162">
        <f>('15. Income Statement (3)'!E13*'6. Cash Receipts-Disbursements'!$G$10)+('15. Income Statement (3)'!F13*'6. Cash Receipts-Disbursements'!$G$9)</f>
        <v/>
      </c>
      <c r="H12" s="162">
        <f>('15. Income Statement (3)'!F13*'6. Cash Receipts-Disbursements'!$G$10)+('15. Income Statement (3)'!G13*'6. Cash Receipts-Disbursements'!$G$9)</f>
        <v/>
      </c>
      <c r="I12" s="162">
        <f>('15. Income Statement (3)'!G13*'6. Cash Receipts-Disbursements'!$G$10)+('15. Income Statement (3)'!H13*'6. Cash Receipts-Disbursements'!$G$9)</f>
        <v/>
      </c>
      <c r="J12" s="162">
        <f>('15. Income Statement (3)'!H13*'6. Cash Receipts-Disbursements'!$G$10)+('15. Income Statement (3)'!I13*'6. Cash Receipts-Disbursements'!$G$9)</f>
        <v/>
      </c>
      <c r="K12" s="162">
        <f>('15. Income Statement (3)'!I13*'6. Cash Receipts-Disbursements'!$G$10)+('15. Income Statement (3)'!J13*'6. Cash Receipts-Disbursements'!$G$9)</f>
        <v/>
      </c>
      <c r="L12" s="162">
        <f>('15. Income Statement (3)'!J13*'6. Cash Receipts-Disbursements'!$G$10)+('15. Income Statement (3)'!K13*'6. Cash Receipts-Disbursements'!$G$9)</f>
        <v/>
      </c>
      <c r="M12" s="162">
        <f>('15. Income Statement (3)'!K13*'6. Cash Receipts-Disbursements'!$G$10)+('15. Income Statement (3)'!L13*'6. Cash Receipts-Disbursements'!$G$9)</f>
        <v/>
      </c>
      <c r="N12" s="162">
        <f>('15. Income Statement (3)'!L13*'6. Cash Receipts-Disbursements'!$G$10)+('15. Income Statement (3)'!M13*'6. Cash Receipts-Disbursements'!$G$9)</f>
        <v/>
      </c>
      <c r="O12" s="162">
        <f>('15. Income Statement (3)'!M13*'6. Cash Receipts-Disbursements'!$G$10)+('15. Income Statement (3)'!N13*'6. Cash Receipts-Disbursements'!$G$9)</f>
        <v/>
      </c>
      <c r="P12" s="162">
        <f>('15. Income Statement (3)'!N13*'6. Cash Receipts-Disbursements'!$G$10)+('15. Income Statement (3)'!O13*'6. Cash Receipts-Disbursements'!$G$9)</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Receipts-Disbursements'!G15*'15. Income Statement (3)'!E20)+('6. Cash Receipts-Disbursements'!G16*'12. Income Statement (2)'!P20)+('6. Cash Receipts-Disbursements'!G17*'12. Income Statement (2)'!O13)</f>
        <v/>
      </c>
      <c r="F19" s="156">
        <f>('6. Cash Receipts-Disbursements'!G15*'15. Income Statement (3)'!F20)+('6. Cash Receipts-Disbursements'!G16*'15. Income Statement (3)'!E20)+('6. Cash Receipts-Disbursements'!G17*'12. Income Statement (2)'!P20)</f>
        <v/>
      </c>
      <c r="G19" s="156">
        <f>('6. Cash Receipts-Disbursements'!$G$15*'15. Income Statement (3)'!G20)+('6. Cash Receipts-Disbursements'!$G$16*'15. Income Statement (3)'!F20)+('6. Cash Receipts-Disbursements'!$G$17*'15. Income Statement (3)'!E20)</f>
        <v/>
      </c>
      <c r="H19" s="156">
        <f>('6. Cash Receipts-Disbursements'!$G$15*'15. Income Statement (3)'!H20)</f>
        <v/>
      </c>
      <c r="I19" s="156">
        <f>('6. Cash Receipts-Disbursements'!$G$15*'15. Income Statement (3)'!I20)+('6. Cash Receipts-Disbursements'!$G$16*'15. Income Statement (3)'!H20)+('6. Cash Receipts-Disbursements'!$G$17*'15. Income Statement (3)'!G20)</f>
        <v/>
      </c>
      <c r="J19" s="156">
        <f>('6. Cash Receipts-Disbursements'!$G$15*'15. Income Statement (3)'!J20)+('6. Cash Receipts-Disbursements'!$G$16*'15. Income Statement (3)'!I20)+('6. Cash Receipts-Disbursements'!$G$17*'15. Income Statement (3)'!H20)</f>
        <v/>
      </c>
      <c r="K19" s="156">
        <f>('6. Cash Receipts-Disbursements'!$G$15*'15. Income Statement (3)'!K20)+('6. Cash Receipts-Disbursements'!$G$16*'15. Income Statement (3)'!J20)+('6. Cash Receipts-Disbursements'!$G$17*'15. Income Statement (3)'!I20)</f>
        <v/>
      </c>
      <c r="L19" s="156">
        <f>('6. Cash Receipts-Disbursements'!$G$15*'15. Income Statement (3)'!L20)+('6. Cash Receipts-Disbursements'!$G$16*'15. Income Statement (3)'!K20)+('6. Cash Receipts-Disbursements'!$G$17*'15. Income Statement (3)'!J20)</f>
        <v/>
      </c>
      <c r="M19" s="156">
        <f>('6. Cash Receipts-Disbursements'!$G$15*'15. Income Statement (3)'!M20)+('6. Cash Receipts-Disbursements'!$G$16*'15. Income Statement (3)'!L20)+('6. Cash Receipts-Disbursements'!$G$17*'15. Income Statement (3)'!K20)</f>
        <v/>
      </c>
      <c r="N19" s="156">
        <f>('6. Cash Receipts-Disbursements'!$G$15*'15. Income Statement (3)'!N20)+('6. Cash Receipts-Disbursements'!$G$16*'15. Income Statement (3)'!M20)+('6. Cash Receipts-Disbursements'!$G$17*'15. Income Statement (3)'!L20)</f>
        <v/>
      </c>
      <c r="O19" s="156">
        <f>('6. Cash Receipts-Disbursements'!$G$15*'15. Income Statement (3)'!O20)+('6. Cash Receipts-Disbursements'!$G$16*'15. Income Statement (3)'!N20)+('6. Cash Receipts-Disbursements'!$G$17*'15. Income Statement (3)'!M20)</f>
        <v/>
      </c>
      <c r="P19" s="156">
        <f>('6. Cash Receipts-Disbursements'!$G$15*'15. Income Statement (3)'!P20)+('6. Cash Receipts-Disbursements'!$G$16*'15. Income Statement (3)'!O20)+('6. Cash Receipts-Disbursements'!$G$17*'15. Income Statement (3)'!N20)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'15. Income Statement (3)'!E31</f>
        <v/>
      </c>
      <c r="F21" s="156">
        <f>'15. Income Statement (3)'!F31</f>
        <v/>
      </c>
      <c r="G21" s="156">
        <f>'15. Income Statement (3)'!G31</f>
        <v/>
      </c>
      <c r="H21" s="156">
        <f>'15. Income Statement (3)'!H31</f>
        <v/>
      </c>
      <c r="I21" s="156">
        <f>'15. Income Statement (3)'!I31</f>
        <v/>
      </c>
      <c r="J21" s="156">
        <f>'15. Income Statement (3)'!J31</f>
        <v/>
      </c>
      <c r="K21" s="156">
        <f>'15. Income Statement (3)'!K31</f>
        <v/>
      </c>
      <c r="L21" s="156">
        <f>'15. Income Statement (3)'!L31</f>
        <v/>
      </c>
      <c r="M21" s="156">
        <f>'15. Income Statement (3)'!M31</f>
        <v/>
      </c>
      <c r="N21" s="156">
        <f>'15. Income Statement (3)'!N31</f>
        <v/>
      </c>
      <c r="O21" s="156">
        <f>'15. Income Statement (3)'!O31</f>
        <v/>
      </c>
      <c r="P21" s="156">
        <f>'15. Income Statement (3)'!P31</f>
        <v/>
      </c>
      <c r="Q21" s="156">
        <f>SUM(E21:P21)</f>
        <v/>
      </c>
    </row>
    <row r="22" ht="12.75" customHeight="1" s="131">
      <c r="A22" s="137" t="n"/>
      <c r="B22" s="137" t="n"/>
      <c r="C22" s="137">
        <f>'8. Income Statement'!A33</f>
        <v/>
      </c>
      <c r="D22" s="145" t="n"/>
      <c r="E22" s="156">
        <f>'15. Income Statement (3)'!E54</f>
        <v/>
      </c>
      <c r="F22" s="156">
        <f>'15. Income Statement (3)'!F54</f>
        <v/>
      </c>
      <c r="G22" s="156">
        <f>'15. Income Statement (3)'!G54</f>
        <v/>
      </c>
      <c r="H22" s="156">
        <f>'15. Income Statement (3)'!H54</f>
        <v/>
      </c>
      <c r="I22" s="156">
        <f>'15. Income Statement (3)'!I54</f>
        <v/>
      </c>
      <c r="J22" s="156">
        <f>'15. Income Statement (3)'!J54</f>
        <v/>
      </c>
      <c r="K22" s="156">
        <f>'15. Income Statement (3)'!K54</f>
        <v/>
      </c>
      <c r="L22" s="156">
        <f>'15. Income Statement (3)'!L54</f>
        <v/>
      </c>
      <c r="M22" s="156">
        <f>'15. Income Statement (3)'!M54</f>
        <v/>
      </c>
      <c r="N22" s="156">
        <f>'15. Income Statement (3)'!N54</f>
        <v/>
      </c>
      <c r="O22" s="156">
        <f>'15. Income Statement (3)'!O54</f>
        <v/>
      </c>
      <c r="P22" s="156">
        <f>'15. Income Statement (3)'!P54</f>
        <v/>
      </c>
      <c r="Q22" s="156">
        <f>SUM(E22:P22)</f>
        <v/>
      </c>
    </row>
    <row r="23" ht="12.75" customHeight="1" s="131">
      <c r="A23" s="137" t="n"/>
      <c r="B23" s="137" t="n"/>
      <c r="C23" s="137" t="inlineStr">
        <is>
          <t>Taxes</t>
        </is>
      </c>
      <c r="D23" s="145" t="n"/>
      <c r="E23" s="156" t="n">
        <v>0</v>
      </c>
      <c r="F23" s="156" t="n">
        <v>0</v>
      </c>
      <c r="G23" s="156">
        <f>SUM('15. Income Statement (3)'!E63:G63)</f>
        <v/>
      </c>
      <c r="H23" s="156" t="n">
        <v>0</v>
      </c>
      <c r="I23" s="156" t="n">
        <v>0</v>
      </c>
      <c r="J23" s="156">
        <f>SUM('15. Income Statement (3)'!H63:J63)</f>
        <v/>
      </c>
      <c r="K23" s="156" t="n">
        <v>0</v>
      </c>
      <c r="L23" s="156" t="n">
        <v>0</v>
      </c>
      <c r="M23" s="156">
        <f>SUM('15. Income Statement (3)'!K63:M63)</f>
        <v/>
      </c>
      <c r="N23" s="156" t="n">
        <v>0</v>
      </c>
      <c r="O23" s="156" t="n">
        <v>0</v>
      </c>
      <c r="P23" s="156">
        <f>SUM('15. Income Statement (3)'!N63:P63)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Receipts-Disbursements'!G22/12*'13. Cash Flow Statement (2)'!P40</f>
        <v/>
      </c>
      <c r="F26" s="156">
        <f>'6. Cash Receipts-Disbursements'!G22/12*'16. Cash Flow Statement (3)'!E40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J13-J29</f>
        <v/>
      </c>
      <c r="K33" s="162">
        <f>K8+K31</f>
        <v/>
      </c>
      <c r="L33" s="162">
        <f>L8+L31</f>
        <v/>
      </c>
      <c r="M33" s="162">
        <f>M8+M31</f>
        <v/>
      </c>
      <c r="N33" s="162">
        <f>N8+N31</f>
        <v/>
      </c>
      <c r="O33" s="162">
        <f>O8+O31</f>
        <v/>
      </c>
      <c r="P33" s="162">
        <f>P8+P31</f>
        <v/>
      </c>
      <c r="Q33" s="162">
        <f>SUM(E33:P33)</f>
        <v/>
      </c>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Receipts-Disbursements'!$G$21-'16. Cash Flow Statement (3)'!E33,0)</f>
        <v/>
      </c>
      <c r="F35" s="156">
        <f>IF((F33-'6. Cash Receipts-Disbursements'!$G$21)&lt;0,'6. Cash Receipts-Disbursements'!$G$21-'16. Cash Flow Statement (3)'!F33,0)</f>
        <v/>
      </c>
      <c r="G35" s="156">
        <f>IF((G33-'6. Cash Receipts-Disbursements'!$G$21)&lt;0,'6. Cash Receipts-Disbursements'!$G$21-'16. Cash Flow Statement (3)'!G33,0)</f>
        <v/>
      </c>
      <c r="H35" s="156">
        <f>IF((H33-'6. Cash Receipts-Disbursements'!$G$21)&lt;0,'6. Cash Receipts-Disbursements'!$G$21-'16. Cash Flow Statement (3)'!H33,0)</f>
        <v/>
      </c>
      <c r="I35" s="156">
        <f>IF((I33-'6. Cash Receipts-Disbursements'!$G$21)&lt;0,'6. Cash Receipts-Disbursements'!$G$21-'16. Cash Flow Statement (3)'!I33,0)</f>
        <v/>
      </c>
      <c r="J35" s="156">
        <f>IF((J33-'6. Cash Receipts-Disbursements'!$G$21)&lt;0,'6. Cash Receipts-Disbursements'!$G$21-'16. Cash Flow Statement (3)'!J33,0)</f>
        <v/>
      </c>
      <c r="K35" s="156">
        <f>IF((K33-'6. Cash Receipts-Disbursements'!$G$21)&lt;0,'6. Cash Receipts-Disbursements'!$G$21-'16. Cash Flow Statement (3)'!K33,0)</f>
        <v/>
      </c>
      <c r="L35" s="156">
        <f>IF((L33-'6. Cash Receipts-Disbursements'!$G$21)&lt;0,'6. Cash Receipts-Disbursements'!$G$21-'16. Cash Flow Statement (3)'!L33,0)</f>
        <v/>
      </c>
      <c r="M35" s="156">
        <f>IF((M33-'6. Cash Receipts-Disbursements'!$G$21)&lt;0,'6. Cash Receipts-Disbursements'!$G$21-'16. Cash Flow Statement (3)'!M33,0)</f>
        <v/>
      </c>
      <c r="N35" s="156">
        <f>IF((N33-'6. Cash Receipts-Disbursements'!$G$21)&lt;0,'6. Cash Receipts-Disbursements'!$G$21-'16. Cash Flow Statement (3)'!N33,0)</f>
        <v/>
      </c>
      <c r="O35" s="156">
        <f>IF((O33-'6. Cash Receipts-Disbursements'!$G$21)&lt;0,'6. Cash Receipts-Disbursements'!$G$21-'16. Cash Flow Statement (3)'!O33,0)</f>
        <v/>
      </c>
      <c r="P35" s="156">
        <f>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f>SUM(E37:P37)</f>
        <v/>
      </c>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E35+'13. Cash Flow Statement (2)'!P40-'16. Cash Flow Statement (3)'!E27</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f>SUM(E40:P40)</f>
        <v/>
      </c>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Two</t>
        </is>
      </c>
      <c r="G6" s="171" t="n"/>
      <c r="H6" s="140" t="n"/>
      <c r="I6" s="172" t="inlineStr">
        <is>
          <t>End of Year Three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'14. Balance Sheet (2)'!I10</f>
        <v/>
      </c>
      <c r="G10" s="156" t="n"/>
      <c r="H10" s="156" t="n"/>
      <c r="I10" s="156">
        <f>'16. Cash Flow Statement (3)'!P37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'14. Balance Sheet (2)'!I11</f>
        <v/>
      </c>
      <c r="G11" s="156" t="n"/>
      <c r="H11" s="156" t="n"/>
      <c r="I11" s="156">
        <f>F11+'15. Income Statement (3)'!Q13-'16. Cash Flow Statement (3)'!Q13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'14. Balance Sheet (2)'!I12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'14. Balance Sheet (2)'!I13</f>
        <v/>
      </c>
      <c r="G13" s="156" t="n"/>
      <c r="H13" s="156" t="n"/>
      <c r="I13" s="156">
        <f>IF(F13='7. Beginning Balance Sheet'!F14,'7. Beginning Balance Sheet'!F14,'17. Balance Sheet (3)'!F13-'6.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'14. Balance Sheet (2)'!I14</f>
        <v/>
      </c>
      <c r="G14" s="156" t="n"/>
      <c r="H14" s="156" t="n"/>
      <c r="I14" s="162">
        <f>IF(F14='7. Beginning Balance Sheet'!F14,'7. Beginning Balance Sheet'!F14,'17. Balance Sheet (3)'!F14-'6.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'14. Balance Sheet (2)'!I18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'14. Balance Sheet (2)'!I19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'14. Balance Sheet (2)'!I20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'14. Balance Sheet (2)'!I21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'14. Balance Sheet (2)'!I22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'14. Balance Sheet (2)'!I23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'14. Balance Sheet (2)'!I24</f>
        <v/>
      </c>
      <c r="G24" s="156" t="n"/>
      <c r="H24" s="156" t="n"/>
      <c r="I24" s="162">
        <f>F24+'16. Cash Flow Statement (3)'!Q17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'14. Balance Sheet (2)'!I27</f>
        <v/>
      </c>
      <c r="G27" s="156" t="n"/>
      <c r="H27" s="156" t="n"/>
      <c r="I27" s="156">
        <f>F27+'15. Income Statement (3)'!Q58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'14. Balance Sheet (2)'!I35</f>
        <v/>
      </c>
      <c r="G35" s="156" t="n"/>
      <c r="H35" s="156" t="n"/>
      <c r="I35" s="156">
        <f>F35+'15. Income Statement (3)'!Q20-'16. Cash Flow Statement (3)'!Q19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'14. Balance Sheet (2)'!I36</f>
        <v/>
      </c>
      <c r="G36" s="156" t="n"/>
      <c r="H36" s="156" t="n"/>
      <c r="I36" s="156">
        <f>'20. Amoritization Schedule'!R25+'7.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'14. Balance Sheet (2)'!I37</f>
        <v/>
      </c>
      <c r="G37" s="156" t="n"/>
      <c r="H37" s="156" t="n"/>
      <c r="I37" s="156">
        <f>'20. Amoritization Schedule'!R45+'7.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'14. Balance Sheet (2)'!I38</f>
        <v/>
      </c>
      <c r="G38" s="156" t="n"/>
      <c r="H38" s="156" t="n"/>
      <c r="I38" s="162">
        <f>'16. Cash Flow Statement (3)'!P40+'7.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'14. Balance Sheet (2)'!I42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'14. Balance Sheet (2)'!I43</f>
        <v/>
      </c>
      <c r="G43" s="156" t="n"/>
      <c r="H43" s="156" t="n"/>
      <c r="I43" s="156">
        <f>F43+'15. Income Statement (3)'!Q66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'14. Balance Sheet (2)'!I44</f>
        <v/>
      </c>
      <c r="G44" s="156" t="n"/>
      <c r="H44" s="156" t="n"/>
      <c r="I44" s="162">
        <f>F44+'16. Cash Flow Statement (3)'!Q28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9"/>
    <col width="8.720000000000001" customWidth="1" style="130" min="10" max="10"/>
    <col width="18.74" customWidth="1" style="130" min="11" max="11"/>
    <col width="5.71" customWidth="1" style="130" min="12" max="12"/>
  </cols>
  <sheetData>
    <row r="1" ht="15.75" customHeight="1" s="131">
      <c r="A1" s="142">
        <f>'1. Required Start-Up Funds'!A1</f>
        <v/>
      </c>
      <c r="Q1" s="143" t="n"/>
    </row>
    <row r="2" ht="15.75" customHeight="1" s="131">
      <c r="A2" s="142" t="inlineStr">
        <is>
          <t>Financial Ratios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Ratio</t>
        </is>
      </c>
      <c r="B6" s="137" t="n"/>
      <c r="C6" s="137" t="n"/>
      <c r="D6" s="137" t="n"/>
      <c r="E6" s="145" t="n"/>
      <c r="F6" s="140" t="n"/>
      <c r="G6" s="172" t="inlineStr">
        <is>
          <t>Year One</t>
        </is>
      </c>
      <c r="H6" s="140" t="n"/>
      <c r="I6" s="172" t="inlineStr">
        <is>
          <t>Year Two</t>
        </is>
      </c>
      <c r="J6" s="140" t="n"/>
      <c r="K6" s="172" t="inlineStr">
        <is>
          <t>Year Three</t>
        </is>
      </c>
      <c r="L6" s="145" t="n"/>
      <c r="M6" s="140" t="n"/>
      <c r="N6" s="145" t="n"/>
      <c r="O6" s="145" t="n"/>
      <c r="P6" s="145" t="n"/>
      <c r="Q6" s="145" t="n"/>
      <c r="R6" s="130" t="n"/>
    </row>
    <row r="7" ht="12.75" customHeight="1" s="131">
      <c r="A7" s="137" t="n"/>
      <c r="B7" s="137" t="inlineStr">
        <is>
          <t>Liquidity</t>
        </is>
      </c>
      <c r="C7" s="137" t="n"/>
      <c r="D7" s="137" t="n"/>
      <c r="E7" s="145" t="n"/>
      <c r="F7" s="145" t="n"/>
      <c r="G7" s="149" t="n"/>
      <c r="H7" s="145" t="n"/>
      <c r="I7" s="159" t="n"/>
      <c r="J7" s="145" t="n"/>
      <c r="K7" s="145" t="n"/>
      <c r="L7" s="145" t="n"/>
      <c r="M7" s="145" t="n"/>
      <c r="N7" s="145" t="n"/>
      <c r="O7" s="145" t="n"/>
      <c r="P7" s="145" t="n"/>
      <c r="Q7" s="145" t="n"/>
      <c r="R7" s="130" t="n"/>
    </row>
    <row r="8" ht="12.75" customHeight="1" s="131">
      <c r="A8" s="137" t="n"/>
      <c r="B8" s="137" t="n"/>
      <c r="C8" s="137" t="inlineStr">
        <is>
          <t>Current Ratio</t>
        </is>
      </c>
      <c r="D8" s="137" t="n"/>
      <c r="E8" s="145" t="n"/>
      <c r="F8" s="145" t="n"/>
      <c r="G8" s="176">
        <f>IF('10. Balance Sheet'!I39=0,0,'10. Balance Sheet'!I15/'10. Balance Sheet'!I39)</f>
        <v/>
      </c>
      <c r="H8" s="176" t="n"/>
      <c r="I8" s="176">
        <f>IF('14. Balance Sheet (2)'!I39=0,0,'14. Balance Sheet (2)'!I15/'14. Balance Sheet (2)'!I39)</f>
        <v/>
      </c>
      <c r="J8" s="176" t="n"/>
      <c r="K8" s="176">
        <f>IF('17. Balance Sheet (3)'!I39=0,0,'17. Balance Sheet (3)'!I15/'17. Balance Sheet (3)'!I39)</f>
        <v/>
      </c>
      <c r="L8" s="145" t="n"/>
      <c r="M8" s="167" t="n"/>
      <c r="N8" s="145" t="n"/>
      <c r="O8" s="145" t="n"/>
      <c r="P8" s="145" t="n"/>
      <c r="Q8" s="145" t="n"/>
      <c r="R8" s="130" t="n"/>
    </row>
    <row r="9" ht="12.75" customHeight="1" s="131">
      <c r="A9" s="137" t="n"/>
      <c r="B9" s="137" t="n"/>
      <c r="C9" s="137" t="inlineStr">
        <is>
          <t>Quick Ratio</t>
        </is>
      </c>
      <c r="D9" s="137" t="n"/>
      <c r="E9" s="145" t="n"/>
      <c r="F9" s="145" t="n"/>
      <c r="G9" s="176">
        <f>IF('10. Balance Sheet'!I39=0,0,('10. Balance Sheet'!I10+'10. Balance Sheet'!I11)/'10. Balance Sheet'!I39)</f>
        <v/>
      </c>
      <c r="H9" s="176" t="n"/>
      <c r="I9" s="176">
        <f>IF('14. Balance Sheet (2)'!I39=0,0,('14. Balance Sheet (2)'!I10+'14. Balance Sheet (2)'!I11)/'14. Balance Sheet (2)'!I39)</f>
        <v/>
      </c>
      <c r="J9" s="176" t="n"/>
      <c r="K9" s="176">
        <f>IF('17. Balance Sheet (3)'!I39=0,0,('17. Balance Sheet (3)'!I10+'17. Balance Sheet (3)'!I11)/'17. Balance Sheet (3)'!I39)</f>
        <v/>
      </c>
      <c r="L9" s="145" t="n"/>
      <c r="M9" s="145" t="n"/>
      <c r="N9" s="145" t="n"/>
      <c r="O9" s="145" t="n"/>
      <c r="P9" s="145" t="n"/>
      <c r="Q9" s="145" t="n"/>
      <c r="R9" s="130" t="n"/>
    </row>
    <row r="10" ht="12.75" customHeight="1" s="131">
      <c r="A10" s="137" t="n"/>
      <c r="B10" s="137" t="inlineStr">
        <is>
          <t>Safety</t>
        </is>
      </c>
      <c r="C10" s="137" t="n"/>
      <c r="D10" s="137" t="n"/>
      <c r="E10" s="145" t="n"/>
      <c r="F10" s="145" t="n"/>
      <c r="G10" s="176" t="n"/>
      <c r="H10" s="176" t="n"/>
      <c r="I10" s="176" t="n"/>
      <c r="J10" s="176" t="n"/>
      <c r="K10" s="176" t="n"/>
      <c r="L10" s="145" t="n"/>
      <c r="M10" s="145" t="n"/>
      <c r="N10" s="145" t="n"/>
      <c r="O10" s="145" t="n"/>
      <c r="P10" s="145" t="n"/>
      <c r="Q10" s="145" t="n"/>
      <c r="R10" s="130" t="n"/>
    </row>
    <row r="11" ht="12.75" customHeight="1" s="131">
      <c r="A11" s="137" t="n"/>
      <c r="B11" s="137" t="n"/>
      <c r="C11" s="137" t="inlineStr">
        <is>
          <t>Debt to Equity Ratio</t>
        </is>
      </c>
      <c r="D11" s="137" t="n"/>
      <c r="E11" s="145" t="n"/>
      <c r="F11" s="145" t="n"/>
      <c r="G11" s="176">
        <f>IF('10. Balance Sheet'!I45=0,0,'10. Balance Sheet'!I39/'10. Balance Sheet'!I45)</f>
        <v/>
      </c>
      <c r="H11" s="176" t="n"/>
      <c r="I11" s="176">
        <f>IF('14. Balance Sheet (2)'!I45=0,0,'14. Balance Sheet (2)'!I39/'14. Balance Sheet (2)'!I45)</f>
        <v/>
      </c>
      <c r="J11" s="176" t="n"/>
      <c r="K11" s="176">
        <f>IF('17. Balance Sheet (3)'!I45=0,0,'17. Balance Sheet (3)'!I39/'17. Balance Sheet (3)'!I45)</f>
        <v/>
      </c>
      <c r="L11" s="145" t="n"/>
      <c r="M11" s="145" t="n"/>
      <c r="N11" s="145" t="n"/>
      <c r="O11" s="145" t="n"/>
      <c r="P11" s="145" t="n"/>
      <c r="Q11" s="145" t="n"/>
      <c r="R11" s="130" t="n"/>
    </row>
    <row r="12" ht="12.75" customHeight="1" s="131">
      <c r="A12" s="137" t="n"/>
      <c r="B12" s="137" t="n"/>
      <c r="C12" s="137" t="inlineStr">
        <is>
          <t>Debt to Coverage Ratio</t>
        </is>
      </c>
      <c r="D12" s="137" t="n"/>
      <c r="E12" s="145" t="n"/>
      <c r="F12" s="145" t="n"/>
      <c r="G12" s="176">
        <f>IF('10. Balance Sheet'!I39=0,0,('8. Income Statement'!Q66+'8. Income Statement'!Q58)/'10. Balance Sheet'!I39)</f>
        <v/>
      </c>
      <c r="H12" s="176" t="n"/>
      <c r="I12" s="176">
        <f>IF('14. Balance Sheet (2)'!I39=0,0,('12. Income Statement (2)'!Q66+'12. Income Statement (2)'!Q58)/'14. Balance Sheet (2)'!I39)</f>
        <v/>
      </c>
      <c r="J12" s="176" t="n"/>
      <c r="K12" s="176">
        <f>IF('17. Balance Sheet (3)'!I39=0,0,('15. Income Statement (3)'!Q66+'15. Income Statement (3)'!Q58)/'17. Balance Sheet (3)'!I39)</f>
        <v/>
      </c>
      <c r="L12" s="145" t="n"/>
      <c r="M12" s="145" t="n"/>
      <c r="N12" s="145" t="n"/>
      <c r="O12" s="145" t="n"/>
      <c r="P12" s="145" t="n"/>
      <c r="Q12" s="145" t="n"/>
      <c r="R12" s="130" t="n"/>
    </row>
    <row r="13" ht="12.75" customHeight="1" s="131">
      <c r="A13" s="137" t="n"/>
      <c r="B13" s="137" t="inlineStr">
        <is>
          <t>Profitability</t>
        </is>
      </c>
      <c r="C13" s="137" t="n"/>
      <c r="D13" s="137" t="n"/>
      <c r="E13" s="130" t="n"/>
      <c r="F13" s="130" t="n"/>
      <c r="G13" s="226" t="n"/>
      <c r="H13" s="176" t="n"/>
      <c r="I13" s="176" t="n"/>
      <c r="J13" s="176" t="n"/>
      <c r="K13" s="176" t="n"/>
      <c r="L13" s="145" t="n"/>
      <c r="M13" s="145" t="n"/>
      <c r="N13" s="145" t="n"/>
      <c r="O13" s="145" t="n"/>
      <c r="P13" s="145" t="n"/>
      <c r="Q13" s="145" t="n"/>
      <c r="R13" s="130" t="n"/>
    </row>
    <row r="14" ht="12.75" customHeight="1" s="131">
      <c r="A14" s="137" t="n"/>
      <c r="B14" s="137" t="n"/>
      <c r="C14" s="137" t="inlineStr">
        <is>
          <t xml:space="preserve">Sales Growth </t>
        </is>
      </c>
      <c r="D14" s="137" t="n"/>
      <c r="E14" s="130" t="n"/>
      <c r="F14" s="130" t="n"/>
      <c r="G14" s="226" t="n">
        <v>0</v>
      </c>
      <c r="H14" s="176" t="n"/>
      <c r="I14" s="176">
        <f>IF('8. Income Statement'!Q13=0,0,('12. Income Statement (2)'!Q13-'8. Income Statement'!Q13)/'8. Income Statement'!Q13)</f>
        <v/>
      </c>
      <c r="J14" s="176" t="n"/>
      <c r="K14" s="176">
        <f>IF('12. Income Statement (2)'!Q13=0,0,('15. Income Statement (3)'!Q13-'12. Income Statement (2)'!Q13)/'12. Income Statement (2)'!Q13)</f>
        <v/>
      </c>
      <c r="L14" s="145" t="n"/>
      <c r="M14" s="145" t="n"/>
      <c r="N14" s="145" t="n"/>
      <c r="O14" s="145" t="n"/>
      <c r="P14" s="145" t="n"/>
      <c r="Q14" s="145" t="n"/>
      <c r="R14" s="130" t="n"/>
    </row>
    <row r="15" ht="12.75" customHeight="1" s="131">
      <c r="A15" s="137" t="n"/>
      <c r="B15" s="137" t="n"/>
      <c r="C15" s="137" t="inlineStr">
        <is>
          <t>COGS to Sales</t>
        </is>
      </c>
      <c r="D15" s="137" t="n"/>
      <c r="E15" s="145" t="n"/>
      <c r="F15" s="145" t="n"/>
      <c r="G15" s="176">
        <f>IF('8. Income Statement'!Q13=0,0,'8. Income Statement'!Q20/'8. Income Statement'!Q13)</f>
        <v/>
      </c>
      <c r="H15" s="176" t="n"/>
      <c r="I15" s="176">
        <f>IF('12. Income Statement (2)'!Q13=0,0,'12. Income Statement (2)'!Q20/'12. Income Statement (2)'!Q13)</f>
        <v/>
      </c>
      <c r="J15" s="176" t="n"/>
      <c r="K15" s="176">
        <f>IF('15. Income Statement (3)'!Q13=0,0,'15. Income Statement (3)'!Q20/'15. Income Statement (3)'!Q13)</f>
        <v/>
      </c>
      <c r="L15" s="145" t="n"/>
      <c r="M15" s="145" t="n"/>
      <c r="N15" s="145" t="n"/>
      <c r="O15" s="145" t="n"/>
      <c r="P15" s="145" t="n"/>
      <c r="Q15" s="145" t="n"/>
      <c r="R15" s="130" t="n"/>
    </row>
    <row r="16" ht="12.75" customHeight="1" s="131">
      <c r="A16" s="137" t="n"/>
      <c r="B16" s="137" t="n"/>
      <c r="C16" s="137" t="inlineStr">
        <is>
          <t>Gross Profit Margin</t>
        </is>
      </c>
      <c r="D16" s="137" t="n"/>
      <c r="E16" s="145" t="n"/>
      <c r="F16" s="145" t="n"/>
      <c r="G16" s="176">
        <f>IF('8. Income Statement'!Q13=0,0,'8. Income Statement'!Q22/'8. Income Statement'!Q13)</f>
        <v/>
      </c>
      <c r="H16" s="176" t="n"/>
      <c r="I16" s="176">
        <f>IF('12. Income Statement (2)'!Q13=0,0,'12. Income Statement (2)'!Q22/'12. Income Statement (2)'!Q13)</f>
        <v/>
      </c>
      <c r="J16" s="176" t="n"/>
      <c r="K16" s="176">
        <f>IF('15. Income Statement (3)'!Q13=0,0,'15. Income Statement (3)'!Q22/'15. Income Statement (3)'!Q13)</f>
        <v/>
      </c>
      <c r="L16" s="145" t="n"/>
      <c r="M16" s="145" t="n"/>
      <c r="N16" s="145" t="n"/>
      <c r="O16" s="145" t="n"/>
      <c r="P16" s="145" t="n"/>
      <c r="Q16" s="145" t="n"/>
      <c r="R16" s="130" t="n"/>
    </row>
    <row r="17" ht="12.75" customHeight="1" s="131">
      <c r="A17" s="137" t="n"/>
      <c r="B17" s="137" t="n"/>
      <c r="C17" s="137" t="inlineStr">
        <is>
          <t>SG&amp;A to Sales</t>
        </is>
      </c>
      <c r="D17" s="137" t="n"/>
      <c r="E17" s="145" t="n"/>
      <c r="F17" s="145" t="n"/>
      <c r="G17" s="176">
        <f>IF('8. Income Statement'!Q13=0,0,('8. Income Statement'!Q31+'8. Income Statement'!Q54)/'8. Income Statement'!Q13)</f>
        <v/>
      </c>
      <c r="H17" s="176" t="n"/>
      <c r="I17" s="176">
        <f>IF('12. Income Statement (2)'!Q13=0,0,('12. Income Statement (2)'!Q31+'12. Income Statement (2)'!Q54)/'12. Income Statement (2)'!Q13)</f>
        <v/>
      </c>
      <c r="J17" s="176" t="n"/>
      <c r="K17" s="176">
        <f>IF('15. Income Statement (3)'!Q13=0,0,('15. Income Statement (3)'!Q31+'15. Income Statement (3)'!Q54)/'15. Income Statement (3)'!Q13)</f>
        <v/>
      </c>
      <c r="L17" s="145" t="n"/>
      <c r="M17" s="145" t="n"/>
      <c r="N17" s="145" t="n"/>
      <c r="O17" s="145" t="n"/>
      <c r="P17" s="145" t="n"/>
      <c r="Q17" s="145" t="n"/>
      <c r="R17" s="130" t="n"/>
    </row>
    <row r="18" ht="12.75" customHeight="1" s="131">
      <c r="A18" s="137" t="n"/>
      <c r="B18" s="137" t="n"/>
      <c r="C18" s="137" t="inlineStr">
        <is>
          <t>Net Profit Margin</t>
        </is>
      </c>
      <c r="D18" s="137" t="n"/>
      <c r="E18" s="145" t="n"/>
      <c r="F18" s="145" t="n"/>
      <c r="G18" s="176">
        <f>IF('8. Income Statement'!Q13=0,0,'8. Income Statement'!Q66/'8. Income Statement'!Q13)</f>
        <v/>
      </c>
      <c r="H18" s="176" t="n"/>
      <c r="I18" s="176">
        <f>IF('12. Income Statement (2)'!Q13=0,0,'12. Income Statement (2)'!Q66/'12. Income Statement (2)'!Q13)</f>
        <v/>
      </c>
      <c r="J18" s="176" t="n"/>
      <c r="K18" s="176">
        <f>IF('15. Income Statement (3)'!Q13=0,0,'15. Income Statement (3)'!Q66/'15. Income Statement (3)'!Q13)</f>
        <v/>
      </c>
      <c r="L18" s="145" t="n"/>
      <c r="M18" s="145" t="n"/>
      <c r="N18" s="145" t="n"/>
      <c r="O18" s="145" t="n"/>
      <c r="P18" s="145" t="n"/>
      <c r="Q18" s="145" t="n"/>
      <c r="R18" s="130" t="n"/>
    </row>
    <row r="19" ht="12.75" customHeight="1" s="131">
      <c r="A19" s="137" t="n"/>
      <c r="B19" s="137" t="n"/>
      <c r="C19" s="137" t="inlineStr">
        <is>
          <t>Return on Equity</t>
        </is>
      </c>
      <c r="D19" s="137" t="n"/>
      <c r="E19" s="145" t="n"/>
      <c r="F19" s="145" t="n"/>
      <c r="G19" s="176">
        <f>IF('10. Balance Sheet'!I45=0,0,'8. Income Statement'!Q66/'10. Balance Sheet'!I45)</f>
        <v/>
      </c>
      <c r="H19" s="176" t="n"/>
      <c r="I19" s="176">
        <f>IF('14. Balance Sheet (2)'!I45=0,0,'12. Income Statement (2)'!Q66/'14. Balance Sheet (2)'!I45)</f>
        <v/>
      </c>
      <c r="J19" s="176" t="n"/>
      <c r="K19" s="176">
        <f>IF('17. Balance Sheet (3)'!I45=0,0,'15. Income Statement (3)'!Q66/'17. Balance Sheet (3)'!I45)</f>
        <v/>
      </c>
      <c r="L19" s="145" t="n"/>
      <c r="M19" s="145" t="n"/>
      <c r="N19" s="145" t="n"/>
      <c r="O19" s="145" t="n"/>
      <c r="P19" s="145" t="n"/>
      <c r="Q19" s="145" t="n"/>
      <c r="R19" s="130" t="n"/>
    </row>
    <row r="20" ht="12.75" customHeight="1" s="131">
      <c r="A20" s="137" t="n"/>
      <c r="B20" s="137" t="n"/>
      <c r="C20" s="137" t="inlineStr">
        <is>
          <t>Return on Assets</t>
        </is>
      </c>
      <c r="D20" s="137" t="n"/>
      <c r="E20" s="145" t="n"/>
      <c r="F20" s="145" t="n"/>
      <c r="G20" s="176">
        <f>IF('10. Balance Sheet'!I29=0,0,'8. Income Statement'!Q66/'10. Balance Sheet'!I29)</f>
        <v/>
      </c>
      <c r="H20" s="176" t="n"/>
      <c r="I20" s="176">
        <f>IF('14. Balance Sheet (2)'!I29=0,0,'12. Income Statement (2)'!Q66/'14. Balance Sheet (2)'!I29)</f>
        <v/>
      </c>
      <c r="J20" s="176" t="n"/>
      <c r="K20" s="176">
        <f>IF('17. Balance Sheet (3)'!I29=0,0,'15. Income Statement (3)'!Q66/'17. Balance Sheet (3)'!I29)</f>
        <v/>
      </c>
      <c r="L20" s="145" t="n"/>
      <c r="M20" s="145" t="n"/>
      <c r="N20" s="145" t="n"/>
      <c r="O20" s="145" t="n"/>
      <c r="P20" s="145" t="n"/>
      <c r="Q20" s="145" t="n"/>
      <c r="R20" s="130" t="n"/>
    </row>
    <row r="21" ht="12.75" customHeight="1" s="131">
      <c r="A21" s="137" t="n"/>
      <c r="B21" s="137" t="n"/>
      <c r="C21" s="137" t="inlineStr">
        <is>
          <t>Owner's Compensation to Sales</t>
        </is>
      </c>
      <c r="D21" s="137" t="n"/>
      <c r="E21" s="145" t="n"/>
      <c r="F21" s="145" t="n"/>
      <c r="G21" s="176">
        <f>IF('8. Income Statement'!Q13=0,0,'8. Income Statement'!Q25/'8. Income Statement'!Q13)</f>
        <v/>
      </c>
      <c r="H21" s="176" t="n"/>
      <c r="I21" s="176">
        <f>IF('12. Income Statement (2)'!Q13=0,0,'12. Income Statement (2)'!Q25/'12. Income Statement (2)'!Q13)</f>
        <v/>
      </c>
      <c r="J21" s="176" t="n"/>
      <c r="K21" s="176">
        <f>IF('15. Income Statement (3)'!Q13=0,0,'15. Income Statement (3)'!Q25/'15. Income Statement (3)'!Q13)</f>
        <v/>
      </c>
      <c r="L21" s="145" t="n"/>
      <c r="M21" s="145" t="n"/>
      <c r="N21" s="145" t="n"/>
      <c r="O21" s="145" t="n"/>
      <c r="P21" s="145" t="n"/>
      <c r="Q21" s="145" t="n"/>
      <c r="R21" s="130" t="n"/>
    </row>
    <row r="22" ht="12.75" customHeight="1" s="131">
      <c r="A22" s="137" t="n"/>
      <c r="B22" s="137" t="inlineStr">
        <is>
          <t>Efficiency</t>
        </is>
      </c>
      <c r="C22" s="137" t="n"/>
      <c r="D22" s="137" t="n"/>
      <c r="E22" s="145" t="n"/>
      <c r="F22" s="145" t="n"/>
      <c r="G22" s="176" t="n"/>
      <c r="H22" s="176" t="n"/>
      <c r="I22" s="176" t="n"/>
      <c r="J22" s="176" t="n"/>
      <c r="K22" s="176" t="n"/>
      <c r="L22" s="145" t="n"/>
      <c r="M22" s="145" t="n"/>
      <c r="N22" s="145" t="n"/>
      <c r="O22" s="145" t="n"/>
      <c r="P22" s="145" t="n"/>
      <c r="Q22" s="145" t="n"/>
      <c r="R22" s="130" t="n"/>
    </row>
    <row r="23" ht="12.75" customHeight="1" s="131">
      <c r="A23" s="137" t="n"/>
      <c r="B23" s="137" t="n"/>
      <c r="C23" s="137" t="inlineStr">
        <is>
          <t>Days in Receivables</t>
        </is>
      </c>
      <c r="D23" s="137" t="n"/>
      <c r="E23" s="145" t="n"/>
      <c r="F23" s="145" t="n"/>
      <c r="G23" s="176">
        <f>IF('8. Income Statement'!Q13=0,0,('10. Balance Sheet'!I11/'8. Income Statement'!Q13)*360)</f>
        <v/>
      </c>
      <c r="H23" s="176" t="n"/>
      <c r="I23" s="176">
        <f>IF('12. Income Statement (2)'!Q13=0,0,('14. Balance Sheet (2)'!I11/'12. Income Statement (2)'!Q13)*360)</f>
        <v/>
      </c>
      <c r="J23" s="176" t="n"/>
      <c r="K23" s="176">
        <f>IF('15. Income Statement (3)'!Q13=0,0,('17. Balance Sheet (3)'!I11/'15. Income Statement (3)'!Q13)*360)</f>
        <v/>
      </c>
      <c r="L23" s="145" t="n"/>
      <c r="M23" s="145" t="n"/>
      <c r="N23" s="145" t="n"/>
      <c r="O23" s="145" t="n"/>
      <c r="P23" s="145" t="n"/>
      <c r="Q23" s="145" t="n"/>
      <c r="R23" s="130" t="n"/>
    </row>
    <row r="24" ht="12.75" customHeight="1" s="131">
      <c r="A24" s="137" t="n"/>
      <c r="B24" s="137" t="n"/>
      <c r="C24" s="137" t="inlineStr">
        <is>
          <t>Accounts Receivable Turnover</t>
        </is>
      </c>
      <c r="D24" s="137" t="n"/>
      <c r="E24" s="145" t="n"/>
      <c r="F24" s="145" t="n"/>
      <c r="G24" s="176">
        <f>IF('10. Balance Sheet'!I11=0,0,'8. Income Statement'!Q13/'10. Balance Sheet'!I11)</f>
        <v/>
      </c>
      <c r="H24" s="176" t="n"/>
      <c r="I24" s="176">
        <f>IF('14. Balance Sheet (2)'!I11=0,0,'12. Income Statement (2)'!Q13/'14. Balance Sheet (2)'!I11)</f>
        <v/>
      </c>
      <c r="J24" s="176" t="n"/>
      <c r="K24" s="176">
        <f>IF('17. Balance Sheet (3)'!I11=0,0,'15. Income Statement (3)'!Q13/'17. Balance Sheet (3)'!I11)</f>
        <v/>
      </c>
      <c r="L24" s="145" t="n"/>
      <c r="M24" s="145" t="n"/>
      <c r="N24" s="145" t="n"/>
      <c r="O24" s="145" t="n"/>
      <c r="P24" s="145" t="n"/>
      <c r="Q24" s="145" t="n"/>
      <c r="R24" s="130" t="n"/>
    </row>
    <row r="25" ht="12.75" customHeight="1" s="131">
      <c r="A25" s="137" t="n"/>
      <c r="B25" s="137" t="n"/>
      <c r="C25" s="137" t="inlineStr">
        <is>
          <t>Days in Inventory</t>
        </is>
      </c>
      <c r="D25" s="137" t="n"/>
      <c r="E25" s="145" t="n"/>
      <c r="F25" s="145" t="n"/>
      <c r="G25" s="176">
        <f>IF('8. Income Statement'!Q20=0,0,('10. Balance Sheet'!I12/'8. Income Statement'!Q20)*360)</f>
        <v/>
      </c>
      <c r="H25" s="176" t="n"/>
      <c r="I25" s="176">
        <f>IF('12. Income Statement (2)'!Q20=0,0,('14. Balance Sheet (2)'!I12/'12. Income Statement (2)'!Q20)*360)</f>
        <v/>
      </c>
      <c r="J25" s="176" t="n"/>
      <c r="K25" s="176">
        <f>IF('15. Income Statement (3)'!Q20=0,0,('17. Balance Sheet (3)'!I12/'15. Income Statement (3)'!Q20)*360)</f>
        <v/>
      </c>
      <c r="L25" s="145" t="n"/>
      <c r="M25" s="145" t="n"/>
      <c r="N25" s="145" t="n"/>
      <c r="O25" s="145" t="n"/>
      <c r="P25" s="145" t="n"/>
      <c r="Q25" s="145" t="n"/>
      <c r="R25" s="130" t="n"/>
    </row>
    <row r="26" ht="12.75" customHeight="1" s="131">
      <c r="A26" s="137" t="n"/>
      <c r="B26" s="137" t="n"/>
      <c r="C26" s="137" t="inlineStr">
        <is>
          <t>Inventory Turnover</t>
        </is>
      </c>
      <c r="D26" s="137" t="n"/>
      <c r="E26" s="145" t="n"/>
      <c r="F26" s="176" t="n"/>
      <c r="G26" s="176">
        <f>IF('10. Balance Sheet'!I12=0,0,'8. Income Statement'!Q20/'10. Balance Sheet'!I12)</f>
        <v/>
      </c>
      <c r="H26" s="176" t="n"/>
      <c r="I26" s="176">
        <f>IF('14. Balance Sheet (2)'!I12=0,0,'12. Income Statement (2)'!Q20/'14. Balance Sheet (2)'!I12)</f>
        <v/>
      </c>
      <c r="J26" s="176" t="n"/>
      <c r="K26" s="176">
        <f>IF('17. Balance Sheet (3)'!I12=0,0,'15. Income Statement (3)'!Q20/'17. Balance Sheet (3)'!I12)</f>
        <v/>
      </c>
      <c r="L26" s="145" t="n"/>
      <c r="M26" s="145" t="n"/>
      <c r="N26" s="145" t="n"/>
      <c r="O26" s="145" t="n"/>
      <c r="P26" s="145" t="n"/>
      <c r="Q26" s="145" t="n"/>
      <c r="R26" s="130" t="n"/>
    </row>
    <row r="27" ht="12.75" customHeight="1" s="131">
      <c r="A27" s="137" t="n"/>
      <c r="B27" s="137" t="n"/>
      <c r="C27" s="137" t="inlineStr">
        <is>
          <t>Sales to Total Assets</t>
        </is>
      </c>
      <c r="D27" s="137" t="n"/>
      <c r="E27" s="145" t="n"/>
      <c r="F27" s="176" t="n"/>
      <c r="G27" s="176">
        <f>IF('10. Balance Sheet'!I29=0,0,'8. Income Statement'!Q13/'10. Balance Sheet'!I29)</f>
        <v/>
      </c>
      <c r="H27" s="176" t="n"/>
      <c r="I27" s="176">
        <f>IF('14. Balance Sheet (2)'!I29=0,0,'12. Income Statement (2)'!Q13/'14. Balance Sheet (2)'!I29)</f>
        <v/>
      </c>
      <c r="J27" s="176" t="n"/>
      <c r="K27" s="176">
        <f>IF('17. Balance Sheet (3)'!I29=0,0,'15. Income Statement (3)'!Q13/'17. Balance Sheet (3)'!I29)</f>
        <v/>
      </c>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Breakeven Analysis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Breakeven Analysis</t>
        </is>
      </c>
      <c r="B6" s="137" t="n"/>
      <c r="C6" s="137" t="n"/>
      <c r="D6" s="137" t="n"/>
      <c r="E6" s="145" t="n"/>
      <c r="F6" s="140" t="n"/>
      <c r="G6" s="140" t="inlineStr">
        <is>
          <t>Dollars</t>
        </is>
      </c>
      <c r="H6" s="140" t="n"/>
      <c r="I6" s="140" t="inlineStr">
        <is>
          <t>Percent</t>
        </is>
      </c>
      <c r="J6" s="140" t="n"/>
      <c r="K6" s="140" t="n"/>
      <c r="L6" s="145" t="n"/>
      <c r="M6" s="140" t="n"/>
      <c r="N6" s="145" t="n"/>
      <c r="O6" s="145" t="n"/>
      <c r="P6" s="145" t="n"/>
      <c r="Q6" s="145" t="n"/>
      <c r="R6" s="130" t="n"/>
    </row>
    <row r="7" ht="12.75" customHeight="1" s="131">
      <c r="A7" s="137" t="n"/>
      <c r="B7" s="137" t="inlineStr">
        <is>
          <t>Annual Sales Revenue</t>
        </is>
      </c>
      <c r="C7" s="137" t="n"/>
      <c r="D7" s="137" t="n"/>
      <c r="E7" s="145" t="n"/>
      <c r="F7" s="145" t="n"/>
      <c r="G7" s="149">
        <f>'8. Income Statement'!Q13</f>
        <v/>
      </c>
      <c r="H7" s="145" t="n"/>
      <c r="I7" s="159" t="n">
        <v>1</v>
      </c>
      <c r="J7" s="145" t="n"/>
      <c r="K7" s="145" t="n"/>
      <c r="L7" s="145" t="n"/>
      <c r="M7" s="145" t="n"/>
      <c r="N7" s="145" t="n"/>
      <c r="O7" s="145" t="n"/>
      <c r="P7" s="145" t="n"/>
      <c r="Q7" s="145" t="n"/>
      <c r="R7" s="130" t="n"/>
    </row>
    <row r="8" ht="12.75" customHeight="1" s="131">
      <c r="A8" s="137" t="n"/>
      <c r="B8" s="137" t="inlineStr">
        <is>
          <t>Cost of Sales</t>
        </is>
      </c>
      <c r="C8" s="137" t="n"/>
      <c r="D8" s="137" t="n"/>
      <c r="E8" s="145" t="n"/>
      <c r="F8" s="145" t="n"/>
      <c r="G8" s="162">
        <f>'8. Income Statement'!Q20</f>
        <v/>
      </c>
      <c r="H8" s="145" t="n"/>
      <c r="I8" s="196">
        <f>IF(G8=0,0,G8/G7)</f>
        <v/>
      </c>
      <c r="J8" s="159" t="n"/>
      <c r="K8" s="159" t="n"/>
      <c r="L8" s="145" t="n"/>
      <c r="M8" s="145" t="n"/>
      <c r="N8" s="145" t="n"/>
      <c r="O8" s="145" t="n"/>
      <c r="P8" s="145" t="n"/>
      <c r="Q8" s="145" t="n"/>
      <c r="R8" s="130" t="n"/>
    </row>
    <row r="9" ht="12.75" customHeight="1" s="131">
      <c r="A9" s="137" t="n"/>
      <c r="B9" s="137" t="inlineStr">
        <is>
          <t>Gross Margin</t>
        </is>
      </c>
      <c r="C9" s="137" t="n"/>
      <c r="D9" s="137" t="n"/>
      <c r="E9" s="145" t="n"/>
      <c r="F9" s="145" t="n"/>
      <c r="G9" s="156">
        <f>'8. Income Statement'!Q22</f>
        <v/>
      </c>
      <c r="H9" s="145" t="n"/>
      <c r="I9" s="159">
        <f>IF(G9=0,0,G9/G7)</f>
        <v/>
      </c>
      <c r="J9" s="159" t="n"/>
      <c r="K9" s="159" t="n"/>
      <c r="L9" s="145" t="n"/>
      <c r="M9" s="145" t="n"/>
      <c r="N9" s="145" t="n"/>
      <c r="O9" s="145" t="n"/>
      <c r="P9" s="145" t="n"/>
      <c r="Q9" s="145" t="n"/>
      <c r="R9" s="130" t="n"/>
    </row>
    <row r="10" ht="12.75" customHeight="1" s="131">
      <c r="A10" s="137" t="n"/>
      <c r="B10" s="137" t="n"/>
      <c r="C10" s="137" t="n"/>
      <c r="D10" s="137" t="n"/>
      <c r="E10" s="145" t="n"/>
      <c r="F10" s="145" t="n"/>
      <c r="G10" s="156" t="n"/>
      <c r="H10" s="145" t="n"/>
      <c r="I10" s="159" t="n"/>
      <c r="J10" s="159" t="n"/>
      <c r="K10" s="159" t="n"/>
      <c r="L10" s="145" t="n"/>
      <c r="M10" s="145" t="n"/>
      <c r="N10" s="145" t="n"/>
      <c r="O10" s="145" t="n"/>
      <c r="P10" s="145" t="n"/>
      <c r="Q10" s="145" t="n"/>
      <c r="R10" s="130" t="n"/>
    </row>
    <row r="11" ht="12.75" customHeight="1" s="131">
      <c r="A11" s="137" t="n"/>
      <c r="B11" s="137" t="inlineStr">
        <is>
          <t>Salaries and Wages</t>
        </is>
      </c>
      <c r="C11" s="137" t="n"/>
      <c r="D11" s="137" t="n"/>
      <c r="E11" s="145" t="n"/>
      <c r="F11" s="145" t="n"/>
      <c r="G11" s="156">
        <f>'2. Salaries and Wages'!M35</f>
        <v/>
      </c>
      <c r="H11" s="145" t="n"/>
      <c r="I11" s="159" t="n"/>
      <c r="J11" s="159" t="n"/>
      <c r="K11" s="159" t="n"/>
      <c r="L11" s="145" t="n"/>
      <c r="M11" s="145" t="n"/>
      <c r="N11" s="145" t="n"/>
      <c r="O11" s="145" t="n"/>
      <c r="P11" s="145" t="n"/>
      <c r="Q11" s="145" t="n"/>
      <c r="R11" s="130" t="n"/>
    </row>
    <row r="12" ht="12.75" customHeight="1" s="131">
      <c r="A12" s="137" t="n"/>
      <c r="B12" s="137" t="inlineStr">
        <is>
          <t>Fixed Operating Expenses</t>
        </is>
      </c>
      <c r="C12" s="137" t="n"/>
      <c r="D12" s="137" t="n"/>
      <c r="E12" s="145" t="n"/>
      <c r="F12" s="145" t="n"/>
      <c r="G12" s="162">
        <f>'3. Fixed Operating Expenses'!I41</f>
        <v/>
      </c>
      <c r="H12" s="145" t="n"/>
      <c r="I12" s="145" t="n"/>
      <c r="J12" s="145" t="n"/>
      <c r="K12" s="145" t="n"/>
      <c r="L12" s="145" t="n"/>
      <c r="M12" s="145" t="n"/>
      <c r="N12" s="145" t="n"/>
      <c r="O12" s="145" t="n"/>
      <c r="P12" s="145" t="n"/>
      <c r="Q12" s="145" t="n"/>
      <c r="R12" s="130" t="n"/>
    </row>
    <row r="13" ht="12.75" customHeight="1" s="131">
      <c r="A13" s="137" t="n"/>
      <c r="B13" s="137" t="inlineStr">
        <is>
          <t>Total Fixed Business Expenses</t>
        </is>
      </c>
      <c r="G13" s="221">
        <f>SUM(G11:G12)</f>
        <v/>
      </c>
      <c r="H13" s="145" t="n"/>
      <c r="I13" s="145" t="n"/>
      <c r="J13" s="145" t="n"/>
      <c r="K13" s="145" t="n"/>
      <c r="L13" s="145" t="n"/>
      <c r="M13" s="145" t="n"/>
      <c r="N13" s="145" t="n"/>
      <c r="O13" s="145" t="n"/>
      <c r="P13" s="145" t="n"/>
      <c r="Q13" s="145" t="n"/>
      <c r="R13" s="130" t="n"/>
    </row>
    <row r="14" ht="12.75" customHeight="1" s="131">
      <c r="A14" s="137" t="n"/>
      <c r="H14" s="149" t="n"/>
      <c r="I14" s="156" t="n"/>
      <c r="J14" s="156" t="n"/>
      <c r="K14" s="156" t="n"/>
      <c r="L14" s="145" t="n"/>
      <c r="M14" s="145" t="n"/>
      <c r="N14" s="145" t="n"/>
      <c r="O14" s="145" t="n"/>
      <c r="P14" s="145" t="n"/>
      <c r="Q14" s="145" t="n"/>
      <c r="R14" s="130" t="n"/>
    </row>
    <row r="15" ht="12.75" customHeight="1" s="131">
      <c r="A15" s="137" t="n"/>
      <c r="B15" s="137" t="inlineStr">
        <is>
          <t>Breakeven Sales Calculation</t>
        </is>
      </c>
      <c r="C15" s="137" t="n"/>
      <c r="D15" s="137" t="n"/>
      <c r="E15" s="145" t="n"/>
      <c r="F15" s="145" t="n"/>
      <c r="G15" s="162">
        <f>G13</f>
        <v/>
      </c>
      <c r="H15" s="156" t="n"/>
      <c r="I15" s="156" t="n"/>
      <c r="J15" s="156" t="n"/>
      <c r="K15" s="156" t="n"/>
      <c r="L15" s="145" t="n"/>
      <c r="M15" s="145" t="n"/>
      <c r="N15" s="145" t="n"/>
      <c r="O15" s="145" t="n"/>
      <c r="P15" s="145" t="n"/>
      <c r="Q15" s="145" t="n"/>
      <c r="R15" s="130" t="n"/>
    </row>
    <row r="16" ht="12.75" customHeight="1" s="131">
      <c r="A16" s="137" t="n"/>
      <c r="B16" s="137" t="n"/>
      <c r="C16" s="137" t="n"/>
      <c r="D16" s="137" t="n"/>
      <c r="E16" s="145" t="n"/>
      <c r="F16" s="145" t="n"/>
      <c r="G16" s="159">
        <f>I9</f>
        <v/>
      </c>
      <c r="H16" s="156" t="n"/>
      <c r="I16" s="156" t="n"/>
      <c r="J16" s="156" t="n"/>
      <c r="K16" s="156" t="n"/>
      <c r="L16" s="145" t="n"/>
      <c r="M16" s="145" t="n"/>
      <c r="N16" s="145" t="n"/>
      <c r="O16" s="145" t="n"/>
      <c r="P16" s="145" t="n"/>
      <c r="Q16" s="145" t="n"/>
      <c r="R16" s="130" t="n"/>
    </row>
    <row r="17" ht="12.75" customHeight="1" s="131">
      <c r="A17" s="137" t="n"/>
      <c r="B17" s="137" t="n"/>
      <c r="C17" s="137" t="n"/>
      <c r="D17" s="137" t="n"/>
      <c r="E17" s="145" t="n"/>
      <c r="F17" s="145" t="n"/>
      <c r="G17" s="162" t="n"/>
      <c r="H17" s="156" t="n"/>
      <c r="I17" s="156" t="n"/>
      <c r="J17" s="156" t="n"/>
      <c r="K17" s="156" t="n"/>
      <c r="L17" s="145" t="n"/>
      <c r="M17" s="145" t="n"/>
      <c r="N17" s="145" t="n"/>
      <c r="O17" s="145" t="n"/>
      <c r="P17" s="145" t="n"/>
      <c r="Q17" s="145" t="n"/>
      <c r="R17" s="130" t="n"/>
    </row>
    <row r="18" ht="12.75" customHeight="1" s="131">
      <c r="A18" s="137" t="n"/>
      <c r="B18" s="137" t="inlineStr">
        <is>
          <t>Breakeven Sales in Dollars</t>
        </is>
      </c>
      <c r="C18" s="137" t="n"/>
      <c r="D18" s="137" t="n"/>
      <c r="E18" s="145" t="n"/>
      <c r="F18" s="145" t="n"/>
      <c r="G18" s="165">
        <f>IF(G16=0,0,G15/G16)</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9" t="n"/>
      <c r="H19" s="156" t="n"/>
      <c r="I19" s="156" t="n"/>
      <c r="J19" s="156" t="n"/>
      <c r="K19" s="156" t="n"/>
      <c r="L19" s="145" t="n"/>
      <c r="M19" s="145" t="n"/>
      <c r="N19" s="145" t="n"/>
      <c r="O19" s="145" t="n"/>
      <c r="P19" s="145" t="n"/>
      <c r="Q19" s="145" t="n"/>
      <c r="R19" s="130" t="n"/>
    </row>
    <row r="20" ht="12.75" customHeight="1" s="131">
      <c r="A20" s="137" t="n"/>
      <c r="B20" s="137" t="n"/>
      <c r="C20" s="137" t="n"/>
      <c r="D20" s="137" t="n"/>
      <c r="E20" s="145" t="n"/>
      <c r="F20" s="145" t="n"/>
      <c r="G20" s="159" t="n"/>
      <c r="H20" s="156" t="n"/>
      <c r="I20" s="156" t="n"/>
      <c r="J20" s="156" t="n"/>
      <c r="K20" s="156" t="n"/>
      <c r="L20" s="145" t="n"/>
      <c r="M20" s="145" t="n"/>
      <c r="N20" s="145" t="n"/>
      <c r="O20" s="145" t="n"/>
      <c r="P20" s="145" t="n"/>
      <c r="Q20" s="145" t="n"/>
      <c r="R20" s="130" t="n"/>
    </row>
    <row r="21" ht="12.75" customHeight="1" s="131">
      <c r="A21" s="137" t="n"/>
      <c r="B21" s="137" t="n"/>
      <c r="C21" s="137" t="n"/>
      <c r="D21" s="137" t="n"/>
      <c r="E21" s="145" t="n"/>
      <c r="F21" s="145" t="n"/>
      <c r="G21" s="227" t="n"/>
      <c r="H21" s="156" t="n"/>
      <c r="I21" s="156" t="n"/>
      <c r="J21" s="156" t="n"/>
      <c r="K21" s="156" t="n"/>
      <c r="L21" s="145" t="n"/>
      <c r="M21" s="145" t="n"/>
      <c r="N21" s="145" t="n"/>
      <c r="O21" s="145" t="n"/>
      <c r="P21" s="145" t="n"/>
      <c r="Q21" s="145" t="n"/>
      <c r="R21" s="130" t="n"/>
    </row>
    <row r="22" ht="12.75" customHeight="1" s="131">
      <c r="A22" s="137" t="n"/>
      <c r="B22" s="137" t="n"/>
      <c r="C22" s="137" t="n"/>
      <c r="D22" s="137" t="n"/>
      <c r="E22" s="145" t="n"/>
      <c r="F22" s="145" t="n"/>
      <c r="G22" s="156" t="n"/>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45" t="n"/>
      <c r="G23" s="156" t="n"/>
      <c r="H23" s="156" t="n"/>
      <c r="I23" s="156" t="n"/>
      <c r="J23" s="156" t="n"/>
      <c r="K23" s="156" t="n"/>
      <c r="L23" s="145" t="n"/>
      <c r="M23" s="145" t="n"/>
      <c r="N23" s="145" t="n"/>
      <c r="O23" s="145" t="n"/>
      <c r="P23" s="145" t="n"/>
      <c r="Q23" s="145" t="n"/>
      <c r="R23" s="130" t="n"/>
    </row>
    <row r="24" ht="12.75" customHeight="1" s="131">
      <c r="A24" s="137" t="n"/>
      <c r="B24" s="137" t="n"/>
      <c r="C24" s="137" t="n"/>
      <c r="D24" s="137" t="n"/>
      <c r="E24" s="145" t="n"/>
      <c r="F24" s="145" t="n"/>
      <c r="G24" s="178" t="n"/>
      <c r="H24" s="156" t="n"/>
      <c r="I24" s="156" t="n"/>
      <c r="J24" s="156" t="n"/>
      <c r="K24" s="156" t="n"/>
      <c r="L24" s="145" t="n"/>
      <c r="M24" s="145" t="n"/>
      <c r="N24" s="145" t="n"/>
      <c r="O24" s="145" t="n"/>
      <c r="P24" s="145" t="n"/>
      <c r="Q24" s="145" t="n"/>
      <c r="R24" s="130" t="n"/>
    </row>
    <row r="25" ht="12.75" customHeight="1" s="131">
      <c r="A25" s="137" t="n"/>
      <c r="B25" s="137" t="n"/>
      <c r="C25" s="137" t="n"/>
      <c r="D25" s="137" t="n"/>
      <c r="E25" s="145" t="n"/>
      <c r="F25" s="145" t="n"/>
      <c r="G25" s="159" t="n"/>
      <c r="H25" s="156" t="n"/>
      <c r="I25" s="156" t="n"/>
      <c r="J25" s="156" t="n"/>
      <c r="K25" s="156" t="n"/>
      <c r="L25" s="145" t="n"/>
      <c r="M25" s="145" t="n"/>
      <c r="N25" s="145" t="n"/>
      <c r="O25" s="145" t="n"/>
      <c r="P25" s="145" t="n"/>
      <c r="Q25" s="145" t="n"/>
      <c r="R25" s="130" t="n"/>
    </row>
    <row r="26" ht="12.75" customHeight="1" s="131">
      <c r="A26" s="137" t="n"/>
      <c r="B26" s="137" t="n"/>
      <c r="C26" s="137" t="n"/>
      <c r="D26" s="137" t="n"/>
      <c r="E26" s="145" t="n"/>
      <c r="F26" s="176" t="n"/>
      <c r="G26" s="156" t="n"/>
      <c r="H26" s="156" t="n"/>
      <c r="I26" s="156" t="n"/>
      <c r="J26" s="156" t="n"/>
      <c r="K26" s="156" t="n"/>
      <c r="L26" s="145" t="n"/>
      <c r="M26" s="145" t="n"/>
      <c r="N26" s="145" t="n"/>
      <c r="O26" s="145" t="n"/>
      <c r="P26" s="145" t="n"/>
      <c r="Q26" s="145" t="n"/>
      <c r="R26" s="130" t="n"/>
    </row>
    <row r="27" ht="12.75" customHeight="1" s="131">
      <c r="A27" s="137" t="n"/>
      <c r="B27" s="137" t="n"/>
      <c r="C27" s="137" t="n"/>
      <c r="D27" s="137" t="n"/>
      <c r="E27" s="145" t="n"/>
      <c r="F27" s="176" t="n"/>
      <c r="G27" s="156" t="n"/>
      <c r="H27" s="156" t="n"/>
      <c r="I27" s="156" t="n"/>
      <c r="J27" s="156" t="n"/>
      <c r="K27" s="156" t="n"/>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S5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0" min="1" max="1"/>
    <col width="2.99" customWidth="1" style="137" min="2" max="3"/>
    <col width="14.73" customWidth="1" style="130" min="4" max="4"/>
    <col width="13.73" customWidth="1" style="130" min="5" max="5"/>
    <col width="2.99" customWidth="1" style="130" min="6" max="6"/>
    <col width="10.72" customWidth="1" style="130" min="7" max="19"/>
  </cols>
  <sheetData>
    <row r="1" ht="15.75" customHeight="1" s="131">
      <c r="A1" s="142">
        <f>'1. Required Start-Up Funds'!A1</f>
        <v/>
      </c>
      <c r="S1" s="143" t="n"/>
    </row>
    <row r="2" ht="15.75" customHeight="1" s="131">
      <c r="A2" s="142" t="inlineStr">
        <is>
          <t>Amortization Schedule</t>
        </is>
      </c>
    </row>
    <row r="3" ht="12.75" customHeight="1" s="131">
      <c r="A3" s="130" t="n"/>
      <c r="D3" s="145" t="n"/>
      <c r="E3" s="145" t="n"/>
      <c r="F3" s="145" t="n"/>
      <c r="G3" s="145" t="n"/>
      <c r="H3" s="145" t="n"/>
      <c r="I3" s="145" t="n"/>
      <c r="J3" s="145" t="n"/>
      <c r="K3" s="145" t="n"/>
      <c r="L3" s="145" t="n"/>
      <c r="M3" s="145" t="n"/>
      <c r="N3" s="145" t="n"/>
      <c r="O3" s="145" t="n"/>
      <c r="P3" s="145" t="n"/>
      <c r="Q3" s="145" t="n"/>
      <c r="R3" s="145" t="n"/>
      <c r="S3" s="145" t="n"/>
    </row>
    <row r="4" ht="12.75" customHeight="1" s="131">
      <c r="A4" s="145" t="n"/>
      <c r="D4" s="145" t="n"/>
      <c r="E4" s="145" t="n"/>
      <c r="F4" s="145" t="n"/>
      <c r="G4" s="145" t="n"/>
      <c r="H4" s="145" t="n"/>
      <c r="I4" s="145" t="n"/>
      <c r="J4" s="145" t="n"/>
      <c r="K4" s="145" t="n"/>
      <c r="L4" s="145" t="n"/>
      <c r="M4" s="145" t="n"/>
      <c r="N4" s="145" t="n"/>
      <c r="O4" s="145" t="n"/>
      <c r="P4" s="145" t="n"/>
      <c r="Q4" s="145" t="n"/>
      <c r="R4" s="145" t="n"/>
      <c r="S4" s="145" t="n"/>
    </row>
    <row r="5" ht="12.75" customHeight="1" s="131">
      <c r="A5" s="145" t="n"/>
      <c r="D5" s="145" t="n"/>
      <c r="E5" s="145" t="n"/>
      <c r="F5" s="145" t="n"/>
      <c r="G5" s="145" t="n"/>
      <c r="H5" s="145" t="n"/>
      <c r="I5" s="145" t="n"/>
      <c r="J5" s="145" t="n"/>
      <c r="K5" s="145" t="n"/>
      <c r="L5" s="145" t="n"/>
      <c r="M5" s="145" t="n"/>
      <c r="N5" s="145" t="n"/>
      <c r="O5" s="145" t="n"/>
      <c r="P5" s="145" t="n"/>
      <c r="Q5" s="145" t="n"/>
      <c r="R5" s="145" t="n"/>
      <c r="S5" s="145" t="n"/>
    </row>
    <row r="6" ht="12.75" customHeight="1" s="131">
      <c r="A6" s="137" t="inlineStr">
        <is>
          <t>Loan Type</t>
        </is>
      </c>
      <c r="D6" s="145" t="n"/>
      <c r="E6" s="140" t="inlineStr">
        <is>
          <t>Assumptions</t>
        </is>
      </c>
      <c r="F6" s="145" t="n"/>
      <c r="G6" s="172">
        <f>'4. Projected Sales Forecast'!H6</f>
        <v/>
      </c>
      <c r="H6" s="172">
        <f>'4. Projected Sales Forecast'!I6</f>
        <v/>
      </c>
      <c r="I6" s="172">
        <f>'4. Projected Sales Forecast'!J6</f>
        <v/>
      </c>
      <c r="J6" s="172">
        <f>'4. Projected Sales Forecast'!K6</f>
        <v/>
      </c>
      <c r="K6" s="172">
        <f>'4. Projected Sales Forecast'!L6</f>
        <v/>
      </c>
      <c r="L6" s="172">
        <f>'4. Projected Sales Forecast'!M6</f>
        <v/>
      </c>
      <c r="M6" s="172">
        <f>'4. Projected Sales Forecast'!N6</f>
        <v/>
      </c>
      <c r="N6" s="172">
        <f>'4. Projected Sales Forecast'!O6</f>
        <v/>
      </c>
      <c r="O6" s="172">
        <f>'4. Projected Sales Forecast'!P6</f>
        <v/>
      </c>
      <c r="P6" s="172">
        <f>'4. Projected Sales Forecast'!Q6</f>
        <v/>
      </c>
      <c r="Q6" s="172">
        <f>'4. Projected Sales Forecast'!R6</f>
        <v/>
      </c>
      <c r="R6" s="172">
        <f>'4. Projected Sales Forecast'!S6</f>
        <v/>
      </c>
      <c r="S6" s="172" t="inlineStr">
        <is>
          <t>Totals</t>
        </is>
      </c>
    </row>
    <row r="7" ht="12.75" customHeight="1" s="131">
      <c r="A7" s="145" t="n"/>
      <c r="D7" s="145" t="n"/>
      <c r="E7" s="145" t="n"/>
      <c r="F7" s="145" t="n"/>
      <c r="G7" s="145" t="n"/>
      <c r="H7" s="145" t="n"/>
      <c r="I7" s="145" t="n"/>
      <c r="J7" s="145" t="n"/>
      <c r="K7" s="145" t="n"/>
      <c r="L7" s="145" t="n"/>
      <c r="M7" s="145" t="n"/>
      <c r="N7" s="145" t="n"/>
      <c r="O7" s="145" t="n"/>
      <c r="P7" s="145" t="n"/>
      <c r="Q7" s="145" t="n"/>
      <c r="R7" s="145" t="n"/>
      <c r="S7" s="145" t="n"/>
    </row>
    <row r="8" ht="12.75" customHeight="1" s="131">
      <c r="A8" s="137" t="inlineStr">
        <is>
          <t>Commercial Loan</t>
        </is>
      </c>
      <c r="D8" s="145" t="n"/>
      <c r="E8" s="145" t="n"/>
      <c r="F8" s="145" t="n"/>
      <c r="G8" s="145" t="n"/>
      <c r="H8" s="145" t="n"/>
      <c r="I8" s="145" t="n"/>
      <c r="J8" s="145" t="n"/>
      <c r="K8" s="145" t="n"/>
      <c r="L8" s="145" t="n"/>
      <c r="M8" s="145" t="n"/>
      <c r="N8" s="145" t="n"/>
      <c r="O8" s="145" t="n"/>
      <c r="P8" s="145" t="n"/>
      <c r="Q8" s="145" t="n"/>
      <c r="R8" s="145" t="n"/>
      <c r="S8" s="145" t="n"/>
    </row>
    <row r="9" ht="12.75" customHeight="1" s="131">
      <c r="A9" s="145" t="n"/>
      <c r="B9" s="137" t="inlineStr">
        <is>
          <t>Principal Amount</t>
        </is>
      </c>
      <c r="D9" s="145" t="n"/>
      <c r="E9" s="149">
        <f>'1. Required Start-Up Funds'!G40</f>
        <v/>
      </c>
      <c r="F9" s="145" t="n"/>
      <c r="G9" s="145" t="n"/>
      <c r="H9" s="145" t="n"/>
      <c r="I9" s="145" t="n"/>
      <c r="J9" s="145" t="n"/>
      <c r="K9" s="145" t="n"/>
      <c r="L9" s="145" t="n"/>
      <c r="M9" s="145" t="n"/>
      <c r="N9" s="145" t="n"/>
      <c r="O9" s="145" t="n"/>
      <c r="P9" s="145" t="n"/>
      <c r="Q9" s="145" t="n"/>
      <c r="R9" s="145" t="n"/>
      <c r="S9" s="145" t="n"/>
    </row>
    <row r="10" ht="12.75" customHeight="1" s="131">
      <c r="A10" s="145" t="n"/>
      <c r="B10" s="137" t="inlineStr">
        <is>
          <t>Interest Rate</t>
        </is>
      </c>
      <c r="D10" s="145" t="n"/>
      <c r="E10" s="164">
        <f>'1. Required Start-Up Funds'!H40</f>
        <v/>
      </c>
      <c r="F10" s="145" t="n"/>
      <c r="G10" s="145" t="n"/>
      <c r="H10" s="145" t="n"/>
      <c r="I10" s="145" t="n"/>
      <c r="J10" s="145" t="n"/>
      <c r="K10" s="145" t="n"/>
      <c r="L10" s="145" t="n"/>
      <c r="M10" s="145" t="n"/>
      <c r="N10" s="145" t="n"/>
      <c r="O10" s="145" t="n"/>
      <c r="P10" s="145" t="n"/>
      <c r="Q10" s="145" t="n"/>
      <c r="R10" s="145" t="n"/>
      <c r="S10" s="145" t="n"/>
    </row>
    <row r="11" ht="12.75" customHeight="1" s="131">
      <c r="A11" s="145" t="n"/>
      <c r="B11" s="137" t="inlineStr">
        <is>
          <t>Loan Term in Months</t>
        </is>
      </c>
      <c r="D11" s="145" t="n"/>
      <c r="E11" s="228">
        <f>'1. Required Start-Up Funds'!I40</f>
        <v/>
      </c>
      <c r="F11" s="145" t="n"/>
      <c r="G11" s="145" t="n"/>
      <c r="H11" s="145" t="n"/>
      <c r="I11" s="145" t="n"/>
      <c r="J11" s="145" t="n"/>
      <c r="K11" s="145" t="n"/>
      <c r="L11" s="145" t="n"/>
      <c r="M11" s="145" t="n"/>
      <c r="N11" s="145" t="n"/>
      <c r="O11" s="145" t="n"/>
      <c r="P11" s="145" t="n"/>
      <c r="Q11" s="145" t="n"/>
      <c r="R11" s="145" t="n"/>
      <c r="S11" s="145" t="n"/>
    </row>
    <row r="12" ht="12.75" customHeight="1" s="131">
      <c r="A12" s="145" t="n"/>
      <c r="B12" s="137" t="inlineStr">
        <is>
          <t>Monthly Payment Amount</t>
        </is>
      </c>
      <c r="D12" s="145" t="n"/>
      <c r="E12" s="161">
        <f>ABS(PMT(E10/12,E11,E9))</f>
        <v/>
      </c>
      <c r="F12" s="145" t="n"/>
      <c r="G12" s="145" t="n"/>
      <c r="H12" s="145" t="n"/>
      <c r="I12" s="145" t="n"/>
      <c r="J12" s="145" t="n"/>
      <c r="K12" s="145" t="n"/>
      <c r="L12" s="145" t="n"/>
      <c r="M12" s="145" t="n"/>
      <c r="N12" s="145" t="n"/>
      <c r="O12" s="145" t="n"/>
      <c r="P12" s="145" t="n"/>
      <c r="Q12" s="145" t="n"/>
      <c r="R12" s="145" t="n"/>
      <c r="S12" s="145" t="n"/>
    </row>
    <row r="13" ht="12.75" customHeight="1" s="131">
      <c r="A13" s="145" t="n"/>
      <c r="D13" s="145" t="n"/>
      <c r="E13" s="145" t="n"/>
      <c r="F13" s="145" t="n"/>
      <c r="G13" s="145" t="n"/>
      <c r="H13" s="145" t="n"/>
      <c r="I13" s="145" t="n"/>
      <c r="J13" s="145" t="n"/>
      <c r="K13" s="145" t="n"/>
      <c r="L13" s="145" t="n"/>
      <c r="M13" s="145" t="n"/>
      <c r="N13" s="145" t="n"/>
      <c r="O13" s="145" t="n"/>
      <c r="P13" s="145" t="n"/>
      <c r="Q13" s="145" t="n"/>
      <c r="R13" s="145" t="n"/>
      <c r="S13" s="145" t="n"/>
    </row>
    <row r="14" ht="12.75" customHeight="1" s="131">
      <c r="A14" s="145" t="n"/>
      <c r="B14" s="137" t="inlineStr">
        <is>
          <t>Year One</t>
        </is>
      </c>
      <c r="D14" s="145" t="n"/>
      <c r="E14" s="145" t="n"/>
      <c r="F14" s="145" t="n"/>
      <c r="G14" s="145" t="n"/>
      <c r="H14" s="145" t="n"/>
      <c r="I14" s="145" t="n"/>
      <c r="J14" s="145" t="n"/>
      <c r="K14" s="145" t="n"/>
      <c r="L14" s="145" t="n"/>
      <c r="M14" s="145" t="n"/>
      <c r="N14" s="145" t="n"/>
      <c r="O14" s="145" t="n"/>
      <c r="P14" s="145" t="n"/>
      <c r="Q14" s="145" t="n"/>
      <c r="R14" s="145" t="n"/>
      <c r="S14" s="145" t="n"/>
    </row>
    <row r="15" ht="12.75" customHeight="1" s="131">
      <c r="A15" s="145" t="n"/>
      <c r="C15" s="137" t="inlineStr">
        <is>
          <t>Interest</t>
        </is>
      </c>
      <c r="D15" s="145" t="n"/>
      <c r="E15" s="145" t="n"/>
      <c r="F15" s="145" t="n"/>
      <c r="G15" s="156">
        <f>ABS(IPMT($E$10/12,1,$E$11,$E$9))</f>
        <v/>
      </c>
      <c r="H15" s="156">
        <f>ABS(IPMT($E$10/12,2,$E$11,$E$9))</f>
        <v/>
      </c>
      <c r="I15" s="156">
        <f>ABS(IPMT($E$10/12,3,$E$11,$E$9))</f>
        <v/>
      </c>
      <c r="J15" s="156">
        <f>ABS(IPMT($E$10/12,4,$E$11,$E$9))</f>
        <v/>
      </c>
      <c r="K15" s="156">
        <f>ABS(IPMT($E$10/12,5,$E$11,$E$9))</f>
        <v/>
      </c>
      <c r="L15" s="156">
        <f>ABS(IPMT($E$10/12,6,$E$11,$E$9))</f>
        <v/>
      </c>
      <c r="M15" s="156">
        <f>ABS(IPMT($E$10/12,7,$E$11,$E$9))</f>
        <v/>
      </c>
      <c r="N15" s="156">
        <f>ABS(IPMT($E$10/12,8,$E$11,$E$9))</f>
        <v/>
      </c>
      <c r="O15" s="156">
        <f>ABS(IPMT($E$10/12,9,$E$11,$E$9))</f>
        <v/>
      </c>
      <c r="P15" s="156">
        <f>ABS(IPMT($E$10/12,10,$E$11,$E$9))</f>
        <v/>
      </c>
      <c r="Q15" s="156">
        <f>ABS(IPMT($E$10/12,11,$E$11,$E$9))</f>
        <v/>
      </c>
      <c r="R15" s="156">
        <f>ABS(IPMT($E$10/12,12,$E$11,$E$9))</f>
        <v/>
      </c>
      <c r="S15" s="156">
        <f>SUM(G15:R15)</f>
        <v/>
      </c>
    </row>
    <row r="16" ht="12.75" customHeight="1" s="131">
      <c r="A16" s="145" t="n"/>
      <c r="C16" s="137" t="inlineStr">
        <is>
          <t>Principal</t>
        </is>
      </c>
      <c r="D16" s="145" t="n"/>
      <c r="E16" s="145" t="n"/>
      <c r="F16" s="145" t="n"/>
      <c r="G16" s="156">
        <f>ABS(PPMT($E$30/12,1,$E$31,$E$29))</f>
        <v/>
      </c>
      <c r="H16" s="156">
        <f>ABS(PPMT($E$10/12,2,$E$11,$E$9))</f>
        <v/>
      </c>
      <c r="I16" s="156">
        <f>ABS(PPMT($E$10/12,3,$E$11,$E$9))</f>
        <v/>
      </c>
      <c r="J16" s="156">
        <f>ABS(PPMT($E$10/12,4,$E$11,$E$9))</f>
        <v/>
      </c>
      <c r="K16" s="156">
        <f>ABS(PPMT($E$10/12,5,$E$11,$E$9))</f>
        <v/>
      </c>
      <c r="L16" s="156">
        <f>ABS(PPMT($E$10/12,6,$E$11,$E$9))</f>
        <v/>
      </c>
      <c r="M16" s="156">
        <f>ABS(PPMT($E$10/12,7,$E$11,$E$9))</f>
        <v/>
      </c>
      <c r="N16" s="156">
        <f>ABS(PPMT($E$10/12,8,$E$11,$E$9))</f>
        <v/>
      </c>
      <c r="O16" s="156">
        <f>ABS(PPMT($E$10/12,9,$E$11,$E$9))</f>
        <v/>
      </c>
      <c r="P16" s="156">
        <f>ABS(PPMT($E$30/12,11,$E$31,$E$29))</f>
        <v/>
      </c>
      <c r="Q16" s="156">
        <f>ABS(PPMT($E$10/12,11,$E$11,$E$9))</f>
        <v/>
      </c>
      <c r="R16" s="156">
        <f>ABS(PPMT($E$10/12,12,$E$11,$E$9))</f>
        <v/>
      </c>
      <c r="S16" s="156">
        <f>SUM(G16:R16)</f>
        <v/>
      </c>
    </row>
    <row r="17" ht="12.75" customHeight="1" s="131">
      <c r="A17" s="145" t="n"/>
      <c r="C17" s="137" t="inlineStr">
        <is>
          <t>Loan Balance</t>
        </is>
      </c>
      <c r="D17" s="145" t="n"/>
      <c r="E17" s="145" t="n"/>
      <c r="F17" s="145" t="n"/>
      <c r="G17" s="182">
        <f>$E$9-G16</f>
        <v/>
      </c>
      <c r="H17" s="182">
        <f>G17-H16</f>
        <v/>
      </c>
      <c r="I17" s="182">
        <f>H17-I16</f>
        <v/>
      </c>
      <c r="J17" s="182">
        <f>I17-J16</f>
        <v/>
      </c>
      <c r="K17" s="182">
        <f>J17-K16</f>
        <v/>
      </c>
      <c r="L17" s="182">
        <f>K17-L16</f>
        <v/>
      </c>
      <c r="M17" s="182">
        <f>L17-M16</f>
        <v/>
      </c>
      <c r="N17" s="182">
        <f>M17-N16</f>
        <v/>
      </c>
      <c r="O17" s="182">
        <f>N17-O16</f>
        <v/>
      </c>
      <c r="P17" s="182">
        <f>O17-P16</f>
        <v/>
      </c>
      <c r="Q17" s="182">
        <f>P17-Q16</f>
        <v/>
      </c>
      <c r="R17" s="182">
        <f>Q17-R16</f>
        <v/>
      </c>
      <c r="S17" s="182">
        <f>SUM(G17:R17)</f>
        <v/>
      </c>
    </row>
    <row r="18" ht="12.75" customHeight="1" s="131">
      <c r="A18" s="145" t="n"/>
      <c r="B18" s="137" t="inlineStr">
        <is>
          <t>Year Two</t>
        </is>
      </c>
      <c r="D18" s="145" t="n"/>
      <c r="E18" s="145" t="n"/>
      <c r="F18" s="145" t="n"/>
      <c r="G18" s="182" t="n"/>
      <c r="H18" s="182" t="n"/>
      <c r="I18" s="182" t="n"/>
      <c r="J18" s="182" t="n"/>
      <c r="K18" s="182" t="n"/>
      <c r="L18" s="182" t="n"/>
      <c r="M18" s="182" t="n"/>
      <c r="N18" s="182" t="n"/>
      <c r="O18" s="182" t="n"/>
      <c r="P18" s="182" t="n"/>
      <c r="Q18" s="182" t="n"/>
      <c r="R18" s="182" t="n"/>
      <c r="S18" s="182" t="n"/>
    </row>
    <row r="19" ht="12.75" customHeight="1" s="131">
      <c r="A19" s="145" t="n"/>
      <c r="C19" s="137" t="inlineStr">
        <is>
          <t>Interest</t>
        </is>
      </c>
      <c r="D19" s="145" t="n"/>
      <c r="E19" s="145" t="n"/>
      <c r="F19" s="145" t="n"/>
      <c r="G19" s="156">
        <f>ABS(IPMT($E$10/12,13,$E$11,$E$9))</f>
        <v/>
      </c>
      <c r="H19" s="156">
        <f>ABS(IPMT($E$30/12,14,$E$31,$E$29))</f>
        <v/>
      </c>
      <c r="I19" s="156">
        <f>ABS(IPMT($E$30/12,15,$E$31,$E$29))</f>
        <v/>
      </c>
      <c r="J19" s="156">
        <f>ABS(IPMT($E$10/12,16,$E$11,$E$9))</f>
        <v/>
      </c>
      <c r="K19" s="156">
        <f>ABS(IPMT($E$10/12,17,$E$11,$E$9))</f>
        <v/>
      </c>
      <c r="L19" s="156">
        <f>ABS(IPMT($E$10/12,18,$E$11,$E$9))</f>
        <v/>
      </c>
      <c r="M19" s="156">
        <f>ABS(IPMT($E$10/12,19,$E$11,$E$9))</f>
        <v/>
      </c>
      <c r="N19" s="156">
        <f>ABS(IPMT($E$10/12,20,$E$11,$E$9))</f>
        <v/>
      </c>
      <c r="O19" s="156">
        <f>ABS(IPMT($E$10/12,21,$E$11,$E$9))</f>
        <v/>
      </c>
      <c r="P19" s="156">
        <f>ABS(IPMT($E$30/12,22,$E$31,$E$29))</f>
        <v/>
      </c>
      <c r="Q19" s="156">
        <f>ABS(IPMT($E$10/12,23,$E$11,$E$9))</f>
        <v/>
      </c>
      <c r="R19" s="156">
        <f>ABS(IPMT($E$10/12,24,$E$11,$E$9))</f>
        <v/>
      </c>
      <c r="S19" s="156">
        <f>SUM(G19:R19)</f>
        <v/>
      </c>
    </row>
    <row r="20" ht="12.75" customHeight="1" s="131">
      <c r="A20" s="145" t="n"/>
      <c r="C20" s="137" t="inlineStr">
        <is>
          <t>Principal</t>
        </is>
      </c>
      <c r="D20" s="145" t="n"/>
      <c r="E20" s="145" t="n"/>
      <c r="F20" s="145" t="n"/>
      <c r="G20" s="156">
        <f>ABS(PPMT($E$10/12,13,$E$11,$E$9))</f>
        <v/>
      </c>
      <c r="H20" s="156">
        <f>ABS(PPMT($E$10/12,14,$E$11,$E$9))</f>
        <v/>
      </c>
      <c r="I20" s="156">
        <f>ABS(PPMT($E$10/12,15,$E$11,$E$9))</f>
        <v/>
      </c>
      <c r="J20" s="156">
        <f>ABS(PPMT($E$10/12,16,$E$11,$E$9))</f>
        <v/>
      </c>
      <c r="K20" s="156">
        <f>ABS(PPMT($E$10/12,17,$E$11,$E$9))</f>
        <v/>
      </c>
      <c r="L20" s="156">
        <f>ABS(PPMT($E$10/12,18,$E$11,$E$9))</f>
        <v/>
      </c>
      <c r="M20" s="156">
        <f>ABS(PPMT($E$10/12,19,$E$11,$E$9))</f>
        <v/>
      </c>
      <c r="N20" s="156">
        <f>ABS(PPMT($E$10/12,20,$E$11,$E$9))</f>
        <v/>
      </c>
      <c r="O20" s="156">
        <f>ABS(PPMT($E$10/12,21,$E$11,$E$9))</f>
        <v/>
      </c>
      <c r="P20" s="156">
        <f>ABS(PPMT($E$10/12,22,$E$11,$E$9))</f>
        <v/>
      </c>
      <c r="Q20" s="156">
        <f>ABS(PPMT($E$10/12,23,$E$11,$E$9))</f>
        <v/>
      </c>
      <c r="R20" s="156">
        <f>ABS(PPMT($E$10/12,24,$E$11,$E$9))</f>
        <v/>
      </c>
      <c r="S20" s="156">
        <f>SUM(G20:R20)</f>
        <v/>
      </c>
    </row>
    <row r="21" ht="12.75" customHeight="1" s="131">
      <c r="A21" s="145" t="n"/>
      <c r="C21" s="137" t="inlineStr">
        <is>
          <t>Loan Balance</t>
        </is>
      </c>
      <c r="D21" s="145" t="n"/>
      <c r="E21" s="145" t="n"/>
      <c r="F21" s="145" t="n"/>
      <c r="G21" s="182">
        <f>R17-G20</f>
        <v/>
      </c>
      <c r="H21" s="182">
        <f>G21-H20</f>
        <v/>
      </c>
      <c r="I21" s="182">
        <f>H21-I20</f>
        <v/>
      </c>
      <c r="J21" s="182">
        <f>I21-J20</f>
        <v/>
      </c>
      <c r="K21" s="182">
        <f>J21-K20</f>
        <v/>
      </c>
      <c r="L21" s="182">
        <f>K21-L20</f>
        <v/>
      </c>
      <c r="M21" s="182">
        <f>L21-M20</f>
        <v/>
      </c>
      <c r="N21" s="182">
        <f>M21-N20</f>
        <v/>
      </c>
      <c r="O21" s="182">
        <f>N21-O20</f>
        <v/>
      </c>
      <c r="P21" s="182">
        <f>O21-P20</f>
        <v/>
      </c>
      <c r="Q21" s="182">
        <f>P21-Q20</f>
        <v/>
      </c>
      <c r="R21" s="182">
        <f>Q21-R20</f>
        <v/>
      </c>
      <c r="S21" s="182">
        <f>SUM(G21:R21)</f>
        <v/>
      </c>
    </row>
    <row r="22" ht="12.75" customHeight="1" s="131">
      <c r="A22" s="145" t="n"/>
      <c r="B22" s="137" t="inlineStr">
        <is>
          <t>Year Three</t>
        </is>
      </c>
      <c r="D22" s="145" t="n"/>
      <c r="E22" s="145" t="n"/>
      <c r="F22" s="145" t="n"/>
      <c r="G22" s="182" t="n"/>
      <c r="H22" s="182" t="n"/>
      <c r="I22" s="182" t="n"/>
      <c r="J22" s="182" t="n"/>
      <c r="K22" s="182" t="n"/>
      <c r="L22" s="182" t="n"/>
      <c r="M22" s="182" t="n"/>
      <c r="N22" s="182" t="n"/>
      <c r="O22" s="182" t="n"/>
      <c r="P22" s="182" t="n"/>
      <c r="Q22" s="182" t="n"/>
      <c r="R22" s="182" t="n"/>
      <c r="S22" s="182" t="n"/>
    </row>
    <row r="23" ht="12.75" customHeight="1" s="131">
      <c r="A23" s="145" t="n"/>
      <c r="C23" s="137" t="inlineStr">
        <is>
          <t>Interest</t>
        </is>
      </c>
      <c r="D23" s="145" t="n"/>
      <c r="E23" s="145" t="n"/>
      <c r="F23" s="145" t="n"/>
      <c r="G23" s="156">
        <f>ABS(IPMT($E$10/12,25,$E$11,$E$9))</f>
        <v/>
      </c>
      <c r="H23" s="156">
        <f>ABS(IPMT($E$10/12,26,$E$11,$E$9))</f>
        <v/>
      </c>
      <c r="I23" s="156">
        <f>ABS(IPMT($E$10/12,27,$E$11,$E$9))</f>
        <v/>
      </c>
      <c r="J23" s="156">
        <f>ABS(IPMT($E$10/12,28,$E$11,$E$9))</f>
        <v/>
      </c>
      <c r="K23" s="156">
        <f>ABS(IPMT($E$30/12,17,$E$31,$E$29))</f>
        <v/>
      </c>
      <c r="L23" s="156">
        <f>ABS(IPMT($E$10/12,30,$E$11,$E$9))</f>
        <v/>
      </c>
      <c r="M23" s="156">
        <f>ABS(IPMT($E$10/12,31,$E$11,$E$9))</f>
        <v/>
      </c>
      <c r="N23" s="156">
        <f>ABS(IPMT($E$10/12,32,$E$11,$E$9))</f>
        <v/>
      </c>
      <c r="O23" s="156">
        <f>ABS(IPMT($E$10/12,33,$E$11,$E$9))</f>
        <v/>
      </c>
      <c r="P23" s="156">
        <f>ABS(IPMT($E$10/12,34,$E$11,$E$9))</f>
        <v/>
      </c>
      <c r="Q23" s="156">
        <f>ABS(IPMT($E$10/12,35,$E$11,$E$9))</f>
        <v/>
      </c>
      <c r="R23" s="156">
        <f>ABS(IPMT($E$10/12,36,$E$11,$E$9))</f>
        <v/>
      </c>
      <c r="S23" s="156">
        <f>SUM(G23:R23)</f>
        <v/>
      </c>
    </row>
    <row r="24" ht="12.75" customHeight="1" s="131">
      <c r="A24" s="145" t="n"/>
      <c r="C24" s="137" t="inlineStr">
        <is>
          <t>Principal</t>
        </is>
      </c>
      <c r="D24" s="145" t="n"/>
      <c r="E24" s="145" t="n"/>
      <c r="F24" s="145" t="n"/>
      <c r="G24" s="156">
        <f>ABS(PPMT($E$10/12,25,$E$11,$E$9))</f>
        <v/>
      </c>
      <c r="H24" s="156">
        <f>ABS(PPMT($E$30/12,14,$E$31,$E$29))</f>
        <v/>
      </c>
      <c r="I24" s="156">
        <f>ABS(PPMT($E$10/12,27,$E$11,$E$9))</f>
        <v/>
      </c>
      <c r="J24" s="156">
        <f>ABS(PPMT($E$30/12,16,$E$31,$E$29))</f>
        <v/>
      </c>
      <c r="K24" s="156">
        <f>ABS(PPMT($E$10/12,29,$E$11,$E$9))</f>
        <v/>
      </c>
      <c r="L24" s="156">
        <f>ABS(PPMT($E$30/12,18,$E$31,$E$29))</f>
        <v/>
      </c>
      <c r="M24" s="156">
        <f>ABS(PPMT($E$10/12,31,$E$11,$E$9))</f>
        <v/>
      </c>
      <c r="N24" s="156">
        <f>ABS(PPMT($E$10/12,32,$E$11,$E$9))</f>
        <v/>
      </c>
      <c r="O24" s="156">
        <f>ABS(PPMT($E$10/12,33,$E$11,$E$9))</f>
        <v/>
      </c>
      <c r="P24" s="156">
        <f>ABS(PPMT($E$10/12,34,$E$11,$E$9))</f>
        <v/>
      </c>
      <c r="Q24" s="156">
        <f>ABS(PPMT($E$10/12,35,$E$11,$E$9))</f>
        <v/>
      </c>
      <c r="R24" s="156">
        <f>ABS(PPMT($E$30/12,24,$E$31,$E$29))</f>
        <v/>
      </c>
      <c r="S24" s="156">
        <f>SUM(G24:R24)</f>
        <v/>
      </c>
    </row>
    <row r="25" ht="12.75" customHeight="1" s="131">
      <c r="A25" s="145" t="n"/>
      <c r="C25" s="137" t="inlineStr">
        <is>
          <t>Loan Balance</t>
        </is>
      </c>
      <c r="D25" s="145" t="n"/>
      <c r="E25" s="145" t="n"/>
      <c r="F25" s="145" t="n"/>
      <c r="G25" s="182">
        <f>R21-G24</f>
        <v/>
      </c>
      <c r="H25" s="182">
        <f>G25-H24</f>
        <v/>
      </c>
      <c r="I25" s="182">
        <f>H25-I24</f>
        <v/>
      </c>
      <c r="J25" s="182">
        <f>I25-J24</f>
        <v/>
      </c>
      <c r="K25" s="182">
        <f>J25-K24</f>
        <v/>
      </c>
      <c r="L25" s="182">
        <f>K25-L24</f>
        <v/>
      </c>
      <c r="M25" s="182">
        <f>L25-M24</f>
        <v/>
      </c>
      <c r="N25" s="182">
        <f>M25-N24</f>
        <v/>
      </c>
      <c r="O25" s="182">
        <f>N25-O24</f>
        <v/>
      </c>
      <c r="P25" s="182">
        <f>O25-P24</f>
        <v/>
      </c>
      <c r="Q25" s="182">
        <f>P25-Q24</f>
        <v/>
      </c>
      <c r="R25" s="182">
        <f>Q25-R24</f>
        <v/>
      </c>
      <c r="S25" s="182">
        <f>SUM(G25:R25)</f>
        <v/>
      </c>
    </row>
    <row r="26" ht="12.75" customHeight="1" s="131">
      <c r="A26" s="145" t="n"/>
      <c r="D26" s="145" t="n"/>
      <c r="E26" s="145" t="n"/>
      <c r="F26" s="145" t="n"/>
      <c r="G26" s="145" t="n"/>
      <c r="H26" s="145" t="n"/>
      <c r="I26" s="145" t="n"/>
      <c r="J26" s="145" t="n"/>
      <c r="K26" s="145" t="n"/>
      <c r="L26" s="145" t="n"/>
      <c r="M26" s="145" t="n"/>
      <c r="N26" s="145" t="n"/>
      <c r="O26" s="145" t="n"/>
      <c r="P26" s="145" t="n"/>
      <c r="Q26" s="145" t="n"/>
      <c r="R26" s="145" t="n"/>
      <c r="S26" s="145" t="n"/>
    </row>
    <row r="27" ht="12.75" customHeight="1" s="131">
      <c r="A27" s="145" t="n"/>
      <c r="D27" s="145" t="n"/>
      <c r="E27" s="145" t="n"/>
      <c r="F27" s="145" t="n"/>
      <c r="G27" s="156" t="n"/>
      <c r="H27" s="145" t="n"/>
      <c r="I27" s="145" t="n"/>
      <c r="J27" s="145" t="n"/>
      <c r="K27" s="145" t="n"/>
      <c r="L27" s="145" t="n"/>
      <c r="M27" s="145" t="n"/>
      <c r="N27" s="145" t="n"/>
      <c r="O27" s="145" t="n"/>
      <c r="P27" s="145" t="n"/>
      <c r="Q27" s="145" t="n"/>
      <c r="R27" s="145" t="n"/>
      <c r="S27" s="145" t="n"/>
    </row>
    <row r="28" ht="12.75" customHeight="1" s="131">
      <c r="A28" s="137" t="inlineStr">
        <is>
          <t>Commercial Mortgage</t>
        </is>
      </c>
      <c r="D28" s="145" t="n"/>
      <c r="E28" s="145" t="n"/>
      <c r="F28" s="145" t="n"/>
      <c r="G28" s="145" t="n"/>
      <c r="H28" s="145" t="n"/>
      <c r="I28" s="145" t="n"/>
      <c r="J28" s="145" t="n"/>
      <c r="K28" s="145" t="n"/>
      <c r="L28" s="145" t="n"/>
      <c r="M28" s="145" t="n"/>
      <c r="N28" s="145" t="n"/>
      <c r="O28" s="145" t="n"/>
      <c r="P28" s="145" t="n"/>
      <c r="Q28" s="145" t="n"/>
      <c r="R28" s="145" t="n"/>
      <c r="S28" s="145" t="n"/>
    </row>
    <row r="29" ht="12.75" customHeight="1" s="131">
      <c r="A29" s="145" t="n"/>
      <c r="B29" s="137" t="inlineStr">
        <is>
          <t>Principal Amount</t>
        </is>
      </c>
      <c r="D29" s="145" t="n"/>
      <c r="E29" s="178">
        <f>'1. Required Start-Up Funds'!G41</f>
        <v/>
      </c>
      <c r="F29" s="145" t="n"/>
      <c r="G29" s="145" t="n"/>
      <c r="H29" s="145" t="n"/>
      <c r="I29" s="145" t="n"/>
      <c r="J29" s="145" t="n"/>
      <c r="K29" s="145" t="n"/>
      <c r="L29" s="145" t="n"/>
      <c r="M29" s="145" t="n"/>
      <c r="N29" s="145" t="n"/>
      <c r="O29" s="145" t="n"/>
      <c r="P29" s="145" t="n"/>
      <c r="Q29" s="145" t="n"/>
      <c r="R29" s="145" t="n"/>
      <c r="S29" s="145" t="n"/>
    </row>
    <row r="30" ht="12.75" customHeight="1" s="131">
      <c r="A30" s="145" t="n"/>
      <c r="B30" s="137" t="inlineStr">
        <is>
          <t>Interest Rate</t>
        </is>
      </c>
      <c r="D30" s="145" t="n"/>
      <c r="E30" s="164">
        <f>'1. Required Start-Up Funds'!H41</f>
        <v/>
      </c>
      <c r="F30" s="145" t="n"/>
      <c r="G30" s="145" t="n"/>
      <c r="H30" s="145" t="n"/>
      <c r="I30" s="145" t="n"/>
      <c r="J30" s="145" t="n"/>
      <c r="K30" s="145" t="n"/>
      <c r="L30" s="145" t="n"/>
      <c r="M30" s="145" t="n"/>
      <c r="N30" s="145" t="n"/>
      <c r="O30" s="145" t="n"/>
      <c r="P30" s="145" t="n"/>
      <c r="Q30" s="145" t="n"/>
      <c r="R30" s="145" t="n"/>
      <c r="S30" s="145" t="n"/>
    </row>
    <row r="31" ht="12.75" customHeight="1" s="131">
      <c r="A31" s="145" t="n"/>
      <c r="B31" s="137" t="inlineStr">
        <is>
          <t>Loan Term in Months</t>
        </is>
      </c>
      <c r="D31" s="145" t="n"/>
      <c r="E31" s="228">
        <f>'1. Required Start-Up Funds'!I41</f>
        <v/>
      </c>
      <c r="F31" s="145" t="n"/>
      <c r="G31" s="145" t="n"/>
      <c r="H31" s="145" t="n"/>
      <c r="I31" s="145" t="n"/>
      <c r="J31" s="145" t="n"/>
      <c r="K31" s="145" t="n"/>
      <c r="L31" s="145" t="n"/>
      <c r="M31" s="145" t="n"/>
      <c r="N31" s="145" t="n"/>
      <c r="O31" s="145" t="n"/>
      <c r="P31" s="145" t="n"/>
      <c r="Q31" s="145" t="n"/>
      <c r="R31" s="145" t="n"/>
      <c r="S31" s="145" t="n"/>
    </row>
    <row r="32" ht="12.75" customHeight="1" s="131">
      <c r="A32" s="145" t="n"/>
      <c r="B32" s="137" t="inlineStr">
        <is>
          <t>Monthly Payment Amount</t>
        </is>
      </c>
      <c r="D32" s="145" t="n"/>
      <c r="E32" s="161">
        <f>ABS(PMT(E30/12,E31,E29))</f>
        <v/>
      </c>
      <c r="F32" s="145" t="n"/>
      <c r="G32" s="145" t="n"/>
      <c r="H32" s="145" t="n"/>
      <c r="I32" s="145" t="n"/>
      <c r="J32" s="145" t="n"/>
      <c r="K32" s="145" t="n"/>
      <c r="L32" s="145" t="n"/>
      <c r="M32" s="145" t="n"/>
      <c r="N32" s="145" t="n"/>
      <c r="O32" s="145" t="n"/>
      <c r="P32" s="145" t="n"/>
      <c r="Q32" s="145" t="n"/>
      <c r="R32" s="145" t="n"/>
      <c r="S32" s="145" t="n"/>
    </row>
    <row r="33" ht="12.75" customHeight="1" s="131">
      <c r="A33" s="145" t="n"/>
      <c r="D33" s="145" t="n"/>
      <c r="E33" s="145" t="n"/>
      <c r="F33" s="145" t="n"/>
      <c r="G33" s="145" t="n"/>
      <c r="H33" s="145" t="n"/>
      <c r="I33" s="145" t="n"/>
      <c r="J33" s="145" t="n"/>
      <c r="K33" s="145" t="n"/>
      <c r="L33" s="145" t="n"/>
      <c r="M33" s="145" t="n"/>
      <c r="N33" s="145" t="n"/>
      <c r="O33" s="145" t="n"/>
      <c r="P33" s="145" t="n"/>
      <c r="Q33" s="145" t="n"/>
      <c r="R33" s="145" t="n"/>
      <c r="S33" s="145" t="n"/>
    </row>
    <row r="34" ht="12.75" customHeight="1" s="131">
      <c r="A34" s="145" t="n"/>
      <c r="B34" s="137" t="inlineStr">
        <is>
          <t>Year One</t>
        </is>
      </c>
      <c r="D34" s="145" t="n"/>
      <c r="E34" s="145" t="n"/>
      <c r="F34" s="145" t="n"/>
      <c r="G34" s="145" t="n"/>
      <c r="H34" s="145" t="n"/>
      <c r="I34" s="145" t="n"/>
      <c r="J34" s="145" t="n"/>
      <c r="K34" s="145" t="n"/>
      <c r="L34" s="145" t="n"/>
      <c r="M34" s="145" t="n"/>
      <c r="N34" s="145" t="n"/>
      <c r="O34" s="145" t="n"/>
      <c r="P34" s="145" t="n"/>
      <c r="Q34" s="145" t="n"/>
      <c r="R34" s="145" t="n"/>
      <c r="S34" s="145" t="n"/>
    </row>
    <row r="35" ht="12.75" customHeight="1" s="131">
      <c r="A35" s="145" t="n"/>
      <c r="C35" s="137" t="inlineStr">
        <is>
          <t>Interest</t>
        </is>
      </c>
      <c r="D35" s="145" t="n"/>
      <c r="E35" s="145" t="n"/>
      <c r="F35" s="145" t="n"/>
      <c r="G35" s="156">
        <f>ABS(IPMT($E$30/12,1,$E$31,$E$29))</f>
        <v/>
      </c>
      <c r="H35" s="156">
        <f>ABS(IPMT($E$30/12,2,$E$31,$E$29))</f>
        <v/>
      </c>
      <c r="I35" s="156">
        <f>ABS(IPMT($E$30/12,3,$E$31,$E$29))</f>
        <v/>
      </c>
      <c r="J35" s="156">
        <f>ABS(IPMT($E$30/12,4,$E$31,$E$29))</f>
        <v/>
      </c>
      <c r="K35" s="156">
        <f>ABS(IPMT($E$30/12,5,$E$31,$E$29))</f>
        <v/>
      </c>
      <c r="L35" s="156">
        <f>ABS(IPMT($E$30/12,6,$E$31,$E$29))</f>
        <v/>
      </c>
      <c r="M35" s="156">
        <f>ABS(IPMT($E$30/12,7,$E$31,$E$29))</f>
        <v/>
      </c>
      <c r="N35" s="156">
        <f>ABS(IPMT($E$30/12,8,$E$31,$E$29))</f>
        <v/>
      </c>
      <c r="O35" s="156">
        <f>ABS(IPMT($E$30/12,9,$E$31,$E$29))</f>
        <v/>
      </c>
      <c r="P35" s="156">
        <f>ABS(IPMT($E$30/12,10,$E$31,$E$29))</f>
        <v/>
      </c>
      <c r="Q35" s="156">
        <f>ABS(IPMT($E$30/12,11,$E$31,$E$29))</f>
        <v/>
      </c>
      <c r="R35" s="156">
        <f>ABS(IPMT($E$30/12,12,$E$31,$E$29))</f>
        <v/>
      </c>
      <c r="S35" s="156">
        <f>SUM(G35:R35)</f>
        <v/>
      </c>
    </row>
    <row r="36" ht="12.75" customHeight="1" s="131">
      <c r="A36" s="145" t="n"/>
      <c r="C36" s="137" t="inlineStr">
        <is>
          <t>Principal</t>
        </is>
      </c>
      <c r="D36" s="145" t="n"/>
      <c r="E36" s="145" t="n"/>
      <c r="F36" s="145" t="n"/>
      <c r="G36" s="156">
        <f>ABS(PPMT($E$30/12,1,$E$31,$E$29))</f>
        <v/>
      </c>
      <c r="H36" s="156">
        <f>ABS(PPMT($E$30/12,2,$E$31,$E$29))</f>
        <v/>
      </c>
      <c r="I36" s="156">
        <f>ABS(PPMT($E$30/12,3,$E$31,$E$29))</f>
        <v/>
      </c>
      <c r="J36" s="156">
        <f>ABS(PPMT($E$30/12,4,$E$31,$E$29))</f>
        <v/>
      </c>
      <c r="K36" s="156">
        <f>ABS(PPMT($E$30/12,5,$E$31,$E$29))</f>
        <v/>
      </c>
      <c r="L36" s="156">
        <f>ABS(PPMT($E$30/12,6,$E$31,$E$29))</f>
        <v/>
      </c>
      <c r="M36" s="156">
        <f>ABS(PPMT($E$30/12,7,$E$31,$E$29))</f>
        <v/>
      </c>
      <c r="N36" s="156">
        <f>ABS(PPMT($E$30/12,8,$E$31,$E$29))</f>
        <v/>
      </c>
      <c r="O36" s="156">
        <f>ABS(PPMT($E$30/12,9,$E$31,$E$29))</f>
        <v/>
      </c>
      <c r="P36" s="156">
        <f>ABS(PPMT($E$30/12,10,$E$31,$E$29))</f>
        <v/>
      </c>
      <c r="Q36" s="156">
        <f>ABS(PPMT($E$30/12,11,$E$31,$E$29))</f>
        <v/>
      </c>
      <c r="R36" s="156">
        <f>ABS(PPMT($E$30/12,12,$E$31,$E$29))</f>
        <v/>
      </c>
      <c r="S36" s="156">
        <f>SUM(G36:R36)</f>
        <v/>
      </c>
    </row>
    <row r="37" ht="12.75" customHeight="1" s="131">
      <c r="A37" s="145" t="n"/>
      <c r="C37" s="137" t="inlineStr">
        <is>
          <t>Loan Balance</t>
        </is>
      </c>
      <c r="D37" s="145" t="n"/>
      <c r="E37" s="145" t="n"/>
      <c r="F37" s="145" t="n"/>
      <c r="G37" s="156">
        <f>R36-G36</f>
        <v/>
      </c>
      <c r="H37" s="182">
        <f>G37-H36</f>
        <v/>
      </c>
      <c r="I37" s="182">
        <f>H37-I36</f>
        <v/>
      </c>
      <c r="J37" s="182">
        <f>I37-J36</f>
        <v/>
      </c>
      <c r="K37" s="182">
        <f>J37-K36</f>
        <v/>
      </c>
      <c r="L37" s="182">
        <f>K37-L36</f>
        <v/>
      </c>
      <c r="M37" s="182">
        <f>L37-M36</f>
        <v/>
      </c>
      <c r="N37" s="182">
        <f>M37-N36</f>
        <v/>
      </c>
      <c r="O37" s="182">
        <f>N37-O36</f>
        <v/>
      </c>
      <c r="P37" s="182">
        <f>O37-P36</f>
        <v/>
      </c>
      <c r="Q37" s="182">
        <f>P37-Q36</f>
        <v/>
      </c>
      <c r="R37" s="182">
        <f>Q37-R36</f>
        <v/>
      </c>
      <c r="S37" s="182">
        <f>SUM(G37:R37)</f>
        <v/>
      </c>
    </row>
    <row r="38" ht="12.75" customHeight="1" s="131">
      <c r="A38" s="145" t="n"/>
      <c r="B38" s="137" t="inlineStr">
        <is>
          <t>Year Two</t>
        </is>
      </c>
      <c r="D38" s="145" t="n"/>
      <c r="E38" s="145" t="n"/>
      <c r="F38" s="145" t="n"/>
      <c r="G38" s="145" t="n"/>
      <c r="H38" s="145" t="n"/>
      <c r="I38" s="145" t="n"/>
      <c r="J38" s="145" t="n"/>
      <c r="K38" s="145" t="n"/>
      <c r="L38" s="145" t="n"/>
      <c r="M38" s="145" t="n"/>
      <c r="N38" s="145" t="n"/>
      <c r="O38" s="145" t="n"/>
      <c r="P38" s="145" t="n"/>
      <c r="Q38" s="145" t="n"/>
      <c r="R38" s="145" t="n"/>
      <c r="S38" s="145" t="n"/>
    </row>
    <row r="39" ht="12.75" customHeight="1" s="131">
      <c r="A39" s="145" t="n"/>
      <c r="C39" s="137" t="inlineStr">
        <is>
          <t>Interest</t>
        </is>
      </c>
      <c r="D39" s="145" t="n"/>
      <c r="E39" s="145" t="n"/>
      <c r="F39" s="145" t="n"/>
      <c r="G39" s="156">
        <f>ABS(IPMT($E$30/12,13,$E$31,$E$29))</f>
        <v/>
      </c>
      <c r="H39" s="156">
        <f>ABS(IPMT($E$30/12,14,$E$31,$E$29))</f>
        <v/>
      </c>
      <c r="I39" s="156">
        <f>ABS(IPMT($E$30/12,15,$E$31,$E$29))</f>
        <v/>
      </c>
      <c r="J39" s="156">
        <f>ABS(IPMT($E$30/12,16,$E$31,$E$29))</f>
        <v/>
      </c>
      <c r="K39" s="156">
        <f>ABS(IPMT($E$30/12,17,$E$31,$E$29))</f>
        <v/>
      </c>
      <c r="L39" s="156">
        <f>ABS(IPMT($E$30/12,18,$E$31,$E$29))</f>
        <v/>
      </c>
      <c r="M39" s="156">
        <f>ABS(IPMT($E$30/12,19,$E$31,$E$29))</f>
        <v/>
      </c>
      <c r="N39" s="156">
        <f>ABS(IPMT($E$30/12,20,$E$31,$E$29))</f>
        <v/>
      </c>
      <c r="O39" s="156">
        <f>ABS(IPMT($E$30/12,21,$E$31,$E$29))</f>
        <v/>
      </c>
      <c r="P39" s="156">
        <f>ABS(IPMT($E$30/12,22,$E$31,$E$29))</f>
        <v/>
      </c>
      <c r="Q39" s="156">
        <f>ABS(IPMT($E$30/12,23,$E$31,$E$29))</f>
        <v/>
      </c>
      <c r="R39" s="156">
        <f>ABS(IPMT($E$30/12,24,$E$31,$E$29))</f>
        <v/>
      </c>
      <c r="S39" s="156">
        <f>SUM(G39:R39)</f>
        <v/>
      </c>
    </row>
    <row r="40" ht="12.75" customHeight="1" s="131">
      <c r="A40" s="145" t="n"/>
      <c r="C40" s="137" t="inlineStr">
        <is>
          <t>Principal</t>
        </is>
      </c>
      <c r="D40" s="145" t="n"/>
      <c r="E40" s="145" t="n"/>
      <c r="F40" s="145" t="n"/>
      <c r="G40" s="156">
        <f>ABS(PPMT($E$30/12,13,$E$31,$E$29))</f>
        <v/>
      </c>
      <c r="H40" s="156">
        <f>ABS(PPMT($E$30/12,14,$E$31,$E$29))</f>
        <v/>
      </c>
      <c r="I40" s="156">
        <f>ABS(PPMT($E$30/12,15,$E$31,$E$29))</f>
        <v/>
      </c>
      <c r="J40" s="156">
        <f>ABS(PPMT($E$30/12,16,$E$31,$E$29))</f>
        <v/>
      </c>
      <c r="K40" s="156">
        <f>ABS(PPMT($E$30/12,17,$E$31,$E$29))</f>
        <v/>
      </c>
      <c r="L40" s="156">
        <f>ABS(PPMT($E$30/12,18,$E$31,$E$29))</f>
        <v/>
      </c>
      <c r="M40" s="156">
        <f>ABS(PPMT($E$30/12,19,$E$31,$E$29))</f>
        <v/>
      </c>
      <c r="N40" s="156">
        <f>ABS(PPMT($E$30/12,20,$E$31,$E$29))</f>
        <v/>
      </c>
      <c r="O40" s="156">
        <f>ABS(PPMT($E$30/12,21,$E$31,$E$29))</f>
        <v/>
      </c>
      <c r="P40" s="156">
        <f>ABS(PPMT($E$30/12,22,$E$31,$E$29))</f>
        <v/>
      </c>
      <c r="Q40" s="156">
        <f>ABS(PPMT($E$30/12,23,$E$31,$E$29))</f>
        <v/>
      </c>
      <c r="R40" s="156">
        <f>ABS(PPMT($E$30/12,24,$E$31,$E$29))</f>
        <v/>
      </c>
      <c r="S40" s="156">
        <f>SUM(G40:R40)</f>
        <v/>
      </c>
    </row>
    <row r="41" ht="12.75" customHeight="1" s="131">
      <c r="A41" s="145" t="n"/>
      <c r="C41" s="137" t="inlineStr">
        <is>
          <t>Loan Balance</t>
        </is>
      </c>
      <c r="D41" s="145" t="n"/>
      <c r="E41" s="145" t="n"/>
      <c r="F41" s="145" t="n"/>
      <c r="G41" s="182">
        <f>R37-G40</f>
        <v/>
      </c>
      <c r="H41" s="229">
        <f>G41-H40</f>
        <v/>
      </c>
      <c r="I41" s="229">
        <f>H41-I40</f>
        <v/>
      </c>
      <c r="J41" s="229">
        <f>I41-J40</f>
        <v/>
      </c>
      <c r="K41" s="229">
        <f>J41-K40</f>
        <v/>
      </c>
      <c r="L41" s="229">
        <f>K41-L40</f>
        <v/>
      </c>
      <c r="M41" s="229">
        <f>L41-M40</f>
        <v/>
      </c>
      <c r="N41" s="229">
        <f>M41-N40</f>
        <v/>
      </c>
      <c r="O41" s="229">
        <f>N41-O40</f>
        <v/>
      </c>
      <c r="P41" s="229">
        <f>O41-P40</f>
        <v/>
      </c>
      <c r="Q41" s="229">
        <f>P41-Q40</f>
        <v/>
      </c>
      <c r="R41" s="229">
        <f>Q41-R40</f>
        <v/>
      </c>
      <c r="S41" s="145">
        <f>SUM(G41:R41)</f>
        <v/>
      </c>
    </row>
    <row r="42" ht="12.75" customHeight="1" s="131">
      <c r="A42" s="145" t="n"/>
      <c r="B42" s="137" t="inlineStr">
        <is>
          <t>Year Three</t>
        </is>
      </c>
      <c r="D42" s="145" t="n"/>
      <c r="E42" s="145" t="n"/>
      <c r="F42" s="145" t="n"/>
      <c r="G42" s="145" t="n"/>
      <c r="H42" s="145" t="n"/>
      <c r="I42" s="145" t="n"/>
      <c r="J42" s="145" t="n"/>
      <c r="K42" s="145" t="n"/>
      <c r="L42" s="145" t="n"/>
      <c r="M42" s="145" t="n"/>
      <c r="N42" s="145" t="n"/>
      <c r="O42" s="145" t="n"/>
      <c r="P42" s="145" t="n"/>
      <c r="Q42" s="145" t="n"/>
      <c r="R42" s="145" t="n"/>
      <c r="S42" s="145" t="n"/>
    </row>
    <row r="43" ht="12.75" customHeight="1" s="131">
      <c r="A43" s="145" t="n"/>
      <c r="C43" s="137" t="inlineStr">
        <is>
          <t>Interest</t>
        </is>
      </c>
      <c r="D43" s="145" t="n"/>
      <c r="E43" s="145" t="n"/>
      <c r="F43" s="145" t="n"/>
      <c r="G43" s="156">
        <f>ABS(IPMT($E$30/12,25,$E$31,$E$29))</f>
        <v/>
      </c>
      <c r="H43" s="156">
        <f>ABS(IPMT($E$30/12,26,$E$31,$E$29))</f>
        <v/>
      </c>
      <c r="I43" s="156">
        <f>ABS(IPMT($E$30/12,27,$E$31,$E$29))</f>
        <v/>
      </c>
      <c r="J43" s="156">
        <f>ABS(IPMT($E$30/12,28,$E$31,$E$29))</f>
        <v/>
      </c>
      <c r="K43" s="156">
        <f>ABS(IPMT($E$30/12,29,$E$31,$E$29))</f>
        <v/>
      </c>
      <c r="L43" s="156">
        <f>ABS(IPMT($E$30/12,30,$E$31,$E$29))</f>
        <v/>
      </c>
      <c r="M43" s="156">
        <f>ABS(IPMT($E$30/12,31,$E$31,$E$29))</f>
        <v/>
      </c>
      <c r="N43" s="156">
        <f>ABS(IPMT($E$30/12,32,$E$31,$E$29))</f>
        <v/>
      </c>
      <c r="O43" s="156">
        <f>ABS(IPMT($E$30/12,33,$E$31,$E$29))</f>
        <v/>
      </c>
      <c r="P43" s="156">
        <f>ABS(IPMT($E$30/12,34,$E$31,$E$29))</f>
        <v/>
      </c>
      <c r="Q43" s="156">
        <f>ABS(IPMT($E$30/12,35,$E$31,$E$29))</f>
        <v/>
      </c>
      <c r="R43" s="156">
        <f>ABS(IPMT($E$30/12,36,$E$31,$E$29))</f>
        <v/>
      </c>
      <c r="S43" s="156">
        <f>SUM(G43:R43)</f>
        <v/>
      </c>
    </row>
    <row r="44" ht="12.75" customHeight="1" s="131">
      <c r="A44" s="145" t="n"/>
      <c r="C44" s="137" t="inlineStr">
        <is>
          <t>Principal</t>
        </is>
      </c>
      <c r="D44" s="145" t="n"/>
      <c r="E44" s="145" t="n"/>
      <c r="F44" s="145" t="n"/>
      <c r="G44" s="156">
        <f>ABS(PPMT($E$30/12,25,$E$31,$E$29))</f>
        <v/>
      </c>
      <c r="H44" s="156">
        <f>ABS(PPMT($E$30/12,26,$E$31,$E$29))</f>
        <v/>
      </c>
      <c r="I44" s="156">
        <f>ABS(PPMT($E$30/12,27,$E$31,$E$29))</f>
        <v/>
      </c>
      <c r="J44" s="156">
        <f>ABS(PPMT($E$30/12,28,$E$31,$E$29))</f>
        <v/>
      </c>
      <c r="K44" s="156">
        <f>ABS(PPMT($E$30/12,29,$E$31,$E$29))</f>
        <v/>
      </c>
      <c r="L44" s="156">
        <f>ABS(PPMT($E$30/12,30,$E$31,$E$29))</f>
        <v/>
      </c>
      <c r="M44" s="156">
        <f>ABS(PPMT($E$30/12,31,$E$31,$E$29))</f>
        <v/>
      </c>
      <c r="N44" s="156">
        <f>ABS(PPMT($E$30/12,32,$E$31,$E$29))</f>
        <v/>
      </c>
      <c r="O44" s="156">
        <f>ABS(PPMT($E$30/12,33,$E$31,$E$29))</f>
        <v/>
      </c>
      <c r="P44" s="156">
        <f>ABS(PPMT($E$30/12,34,$E$31,$E$29))</f>
        <v/>
      </c>
      <c r="Q44" s="156">
        <f>ABS(PPMT($E$30/12,35,$E$31,$E$29))</f>
        <v/>
      </c>
      <c r="R44" s="156">
        <f>ABS(PPMT($E$30/12,36,$E$31,$E$29))</f>
        <v/>
      </c>
      <c r="S44" s="156">
        <f>SUM(G44:R44)</f>
        <v/>
      </c>
    </row>
    <row r="45" ht="12.75" customHeight="1" s="131">
      <c r="A45" s="145" t="n"/>
      <c r="C45" s="137" t="inlineStr">
        <is>
          <t>Loan Balance</t>
        </is>
      </c>
      <c r="D45" s="145" t="n"/>
      <c r="E45" s="145" t="n"/>
      <c r="F45" s="145" t="n"/>
      <c r="G45" s="182">
        <f>R41-G44</f>
        <v/>
      </c>
      <c r="H45" s="182">
        <f>G45-H44</f>
        <v/>
      </c>
      <c r="I45" s="182">
        <f>H45-I44</f>
        <v/>
      </c>
      <c r="J45" s="182">
        <f>I45-J44</f>
        <v/>
      </c>
      <c r="K45" s="182">
        <f>J45-K44</f>
        <v/>
      </c>
      <c r="L45" s="182">
        <f>K45-L44</f>
        <v/>
      </c>
      <c r="M45" s="182">
        <f>L45-M44</f>
        <v/>
      </c>
      <c r="N45" s="182">
        <f>M45-N44</f>
        <v/>
      </c>
      <c r="O45" s="182">
        <f>N45-O44</f>
        <v/>
      </c>
      <c r="P45" s="182">
        <f>O45-P44</f>
        <v/>
      </c>
      <c r="Q45" s="182">
        <f>P45-Q44</f>
        <v/>
      </c>
      <c r="R45" s="182">
        <f>Q45-R44</f>
        <v/>
      </c>
      <c r="S45" s="145">
        <f>SUM(G45:R45)</f>
        <v/>
      </c>
    </row>
    <row r="46" ht="12.75" customHeight="1" s="131">
      <c r="A46" s="145" t="n"/>
      <c r="D46" s="145" t="n"/>
      <c r="E46" s="145" t="n"/>
      <c r="F46" s="145" t="n"/>
      <c r="G46" s="145" t="n"/>
      <c r="H46" s="145" t="n"/>
      <c r="I46" s="145" t="n"/>
      <c r="J46" s="145" t="n"/>
      <c r="K46" s="145" t="n"/>
      <c r="L46" s="145" t="n"/>
      <c r="M46" s="145" t="n"/>
      <c r="N46" s="145" t="n"/>
      <c r="O46" s="145" t="n"/>
      <c r="P46" s="145" t="n"/>
      <c r="Q46" s="145" t="n"/>
      <c r="R46" s="145" t="n"/>
      <c r="S46" s="145" t="n"/>
    </row>
    <row r="47" ht="12.75" customHeight="1" s="131">
      <c r="A47" s="145" t="n"/>
      <c r="D47" s="145" t="n"/>
      <c r="E47" s="145" t="n"/>
      <c r="F47" s="145" t="n"/>
      <c r="G47" s="145" t="n"/>
      <c r="H47" s="145" t="n"/>
      <c r="I47" s="145" t="n"/>
      <c r="J47" s="145" t="n"/>
      <c r="K47" s="145" t="n"/>
      <c r="L47" s="145" t="n"/>
      <c r="M47" s="145" t="n"/>
      <c r="N47" s="145" t="n"/>
      <c r="O47" s="145" t="n"/>
      <c r="P47" s="145" t="n"/>
      <c r="Q47" s="145" t="n"/>
      <c r="R47" s="145" t="n"/>
      <c r="S47" s="145" t="n"/>
    </row>
    <row r="48" ht="12.75" customHeight="1" s="131">
      <c r="A48" s="145" t="n"/>
      <c r="D48" s="145" t="n"/>
      <c r="E48" s="145" t="n"/>
      <c r="F48" s="145" t="n"/>
      <c r="G48" s="145" t="n"/>
      <c r="H48" s="145" t="n"/>
      <c r="I48" s="145" t="n"/>
      <c r="J48" s="145" t="n"/>
      <c r="K48" s="145" t="n"/>
      <c r="L48" s="145" t="n"/>
      <c r="M48" s="145" t="n"/>
      <c r="N48" s="145" t="n"/>
      <c r="O48" s="145" t="n"/>
      <c r="P48" s="145" t="n"/>
      <c r="Q48" s="145" t="n"/>
      <c r="R48" s="145" t="n"/>
      <c r="S48" s="145" t="n"/>
    </row>
    <row r="49" ht="12.75" customHeight="1" s="131">
      <c r="A49" s="145" t="n"/>
      <c r="D49" s="145" t="n"/>
      <c r="E49" s="145" t="n"/>
      <c r="F49" s="145" t="n"/>
      <c r="G49" s="145" t="n"/>
      <c r="H49" s="145" t="n"/>
      <c r="I49" s="145" t="n"/>
      <c r="J49" s="145" t="n"/>
      <c r="K49" s="145" t="n"/>
      <c r="L49" s="145" t="n"/>
      <c r="M49" s="145" t="n"/>
      <c r="N49" s="145" t="n"/>
      <c r="O49" s="145" t="n"/>
      <c r="P49" s="145" t="n"/>
      <c r="Q49" s="145" t="n"/>
      <c r="R49" s="145" t="n"/>
      <c r="S49" s="145" t="n"/>
    </row>
    <row r="50" ht="12.75" customHeight="1" s="131">
      <c r="A50" s="145" t="n"/>
      <c r="D50" s="145" t="n"/>
      <c r="E50" s="145" t="n"/>
      <c r="F50" s="145" t="n"/>
      <c r="G50" s="145" t="n"/>
      <c r="H50" s="145" t="n"/>
      <c r="I50" s="145" t="n"/>
      <c r="J50" s="145" t="n"/>
      <c r="K50" s="145" t="n"/>
      <c r="L50" s="145" t="n"/>
      <c r="M50" s="145" t="n"/>
      <c r="N50" s="145" t="n"/>
      <c r="O50" s="145" t="n"/>
      <c r="P50" s="145" t="n"/>
      <c r="Q50" s="145" t="n"/>
      <c r="R50" s="145" t="n"/>
      <c r="S50" s="145" t="n"/>
    </row>
    <row r="51" ht="12.75" customHeight="1" s="131">
      <c r="A51" s="167" t="n"/>
      <c r="B51" s="168" t="n"/>
      <c r="C51" s="168" t="n"/>
      <c r="D51" s="167" t="n"/>
      <c r="E51" s="167" t="n"/>
      <c r="F51" s="167" t="n"/>
      <c r="G51" s="167" t="n"/>
      <c r="H51" s="167" t="n"/>
      <c r="I51" s="167" t="n"/>
      <c r="J51" s="167" t="n"/>
      <c r="K51" s="167" t="n"/>
      <c r="L51" s="167" t="n"/>
      <c r="M51" s="167" t="n"/>
      <c r="N51" s="167" t="n"/>
      <c r="O51" s="167" t="n"/>
      <c r="P51" s="167" t="n"/>
      <c r="Q51" s="167" t="n"/>
      <c r="R51" s="167" t="n"/>
      <c r="S51" s="167" t="n"/>
    </row>
    <row r="52" ht="12.75" customHeight="1" s="131">
      <c r="A52" s="167" t="n"/>
      <c r="B52" s="168" t="n"/>
      <c r="C52" s="168" t="n"/>
      <c r="D52" s="167" t="n"/>
      <c r="E52" s="167" t="n"/>
      <c r="F52" s="167" t="n"/>
      <c r="G52" s="167" t="n"/>
      <c r="H52" s="167" t="n"/>
      <c r="I52" s="167" t="n"/>
      <c r="J52" s="167" t="n"/>
      <c r="K52" s="167" t="n"/>
      <c r="L52" s="167" t="n"/>
      <c r="M52" s="167" t="n"/>
      <c r="N52" s="167" t="n"/>
      <c r="O52" s="167" t="n"/>
      <c r="P52" s="167" t="n"/>
      <c r="Q52" s="167" t="n"/>
      <c r="R52" s="167" t="n"/>
      <c r="S52" s="167" t="n"/>
    </row>
    <row r="53" ht="12.75" customHeight="1" s="131">
      <c r="A53" s="167" t="n"/>
      <c r="B53" s="168" t="n"/>
      <c r="C53" s="168" t="n"/>
      <c r="D53" s="167" t="n"/>
      <c r="E53" s="167" t="n"/>
      <c r="F53" s="167" t="n"/>
      <c r="G53" s="167" t="n"/>
      <c r="H53" s="167" t="n"/>
      <c r="I53" s="167" t="n"/>
      <c r="J53" s="167" t="n"/>
      <c r="K53" s="167" t="n"/>
      <c r="L53" s="167" t="n"/>
      <c r="M53" s="167" t="n"/>
      <c r="N53" s="167" t="n"/>
      <c r="O53" s="167" t="n"/>
      <c r="P53" s="167" t="n"/>
      <c r="Q53" s="167" t="n"/>
      <c r="R53" s="167" t="n"/>
      <c r="S53"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R6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15.73"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Financial Diagnostics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This sheet performs a few tests on your numbers to see if they seem within certain reasonable ranges.</t>
        </is>
      </c>
      <c r="E6" s="145" t="n"/>
      <c r="F6" s="145" t="n"/>
      <c r="G6" s="145" t="n"/>
      <c r="H6" s="145" t="n"/>
      <c r="I6" s="145" t="n"/>
      <c r="J6" s="145" t="n"/>
      <c r="K6" s="145" t="n"/>
      <c r="L6" s="145" t="n"/>
      <c r="M6" s="145" t="n"/>
      <c r="N6" s="145" t="n"/>
      <c r="O6" s="145" t="n"/>
      <c r="P6" s="145" t="n"/>
      <c r="Q6" s="145" t="n"/>
    </row>
    <row r="7" ht="12.75" customHeight="1" s="131">
      <c r="A7" s="137" t="inlineStr">
        <is>
          <t>Remember, no computer can tell whether your projections are truly well-constructed, only a human can do that.</t>
        </is>
      </c>
      <c r="E7" s="145" t="n"/>
      <c r="F7" s="145" t="n"/>
      <c r="G7" s="145" t="n"/>
      <c r="H7" s="145" t="n"/>
      <c r="I7" s="145" t="n"/>
      <c r="J7" s="145" t="n"/>
      <c r="K7" s="145" t="n"/>
      <c r="L7" s="145" t="n"/>
      <c r="M7" s="145" t="n"/>
      <c r="N7" s="145" t="n"/>
      <c r="O7" s="145" t="n"/>
      <c r="P7" s="145" t="n"/>
      <c r="Q7" s="145" t="n"/>
    </row>
    <row r="8" ht="12.75" customHeight="1" s="131">
      <c r="A8" s="137" t="inlineStr">
        <is>
          <t>But these tests can at least look for values that are critically out of range.</t>
        </is>
      </c>
      <c r="E8" s="145" t="n"/>
      <c r="F8" s="145" t="n"/>
      <c r="G8" s="145" t="n"/>
      <c r="H8" s="145" t="n"/>
      <c r="I8" s="145" t="n"/>
      <c r="J8" s="145" t="n"/>
      <c r="K8" s="145" t="n"/>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E10" s="145" t="n"/>
      <c r="F10" s="145" t="n"/>
      <c r="G10" s="145" t="n"/>
      <c r="H10" s="145" t="n"/>
      <c r="I10" s="145" t="n"/>
      <c r="J10" s="145" t="n"/>
      <c r="K10" s="145" t="n"/>
      <c r="L10" s="145" t="n"/>
      <c r="M10" s="145" t="n"/>
      <c r="N10" s="145" t="n"/>
      <c r="O10" s="145" t="n"/>
      <c r="P10" s="145" t="n"/>
      <c r="Q10" s="145" t="n"/>
    </row>
    <row r="11" ht="12.75" customHeight="1" s="131">
      <c r="A11" s="137" t="inlineStr">
        <is>
          <t>Financial Diagnostics</t>
        </is>
      </c>
      <c r="B11" s="137" t="n"/>
      <c r="C11" s="137" t="n"/>
      <c r="D11" s="137" t="n"/>
      <c r="E11" s="145" t="n"/>
      <c r="F11" s="140" t="n"/>
      <c r="G11" s="140" t="inlineStr">
        <is>
          <t>Value</t>
        </is>
      </c>
      <c r="H11" s="140" t="n"/>
      <c r="I11" s="147" t="inlineStr">
        <is>
          <t>Findings</t>
        </is>
      </c>
      <c r="J11" s="140" t="n"/>
      <c r="K11" s="140" t="n"/>
      <c r="L11" s="145" t="n"/>
      <c r="M11" s="140" t="n"/>
      <c r="N11" s="145" t="n"/>
      <c r="O11" s="145" t="n"/>
      <c r="P11" s="145" t="n"/>
      <c r="Q11" s="145" t="n"/>
      <c r="R11" s="130" t="n"/>
    </row>
    <row r="12" ht="12.75" customHeight="1" s="131">
      <c r="A12" s="137" t="n"/>
      <c r="B12" s="137" t="inlineStr">
        <is>
          <t>General Financing Assumptions</t>
        </is>
      </c>
      <c r="C12" s="137" t="n"/>
      <c r="D12" s="137" t="n"/>
      <c r="E12" s="145" t="n"/>
      <c r="F12" s="145" t="n"/>
      <c r="G12" s="149" t="n"/>
      <c r="H12" s="145" t="n"/>
      <c r="I12" s="159" t="n"/>
      <c r="J12" s="145" t="n"/>
      <c r="K12" s="145" t="n"/>
      <c r="L12" s="145" t="n"/>
      <c r="M12" s="145" t="n"/>
      <c r="N12" s="145" t="n"/>
      <c r="O12" s="145" t="n"/>
      <c r="P12" s="145" t="n"/>
      <c r="Q12" s="145" t="n"/>
      <c r="R12" s="130" t="n"/>
    </row>
    <row r="13" ht="12.75" customHeight="1" s="131">
      <c r="A13" s="137" t="n"/>
      <c r="C13" s="137" t="inlineStr">
        <is>
          <t>Owner's Cash Injection into the Business</t>
        </is>
      </c>
      <c r="D13" s="137" t="n"/>
      <c r="E13" s="145" t="n"/>
      <c r="F13" s="145" t="n"/>
      <c r="G13" s="159">
        <f>IF('1. Required Start-Up Funds'!G42=0,0,'1. Required Start-Up Funds'!G37/'1. Required Start-Up Funds'!G42)</f>
        <v/>
      </c>
      <c r="H13" s="145" t="n"/>
      <c r="I13" s="230">
        <f>IF(G13&gt;0.2,"Owner's injection is reasonable","Owner's injection might be too low in relation to the amount of money needed")</f>
        <v/>
      </c>
      <c r="J13" s="159" t="n"/>
      <c r="K13" s="159" t="n"/>
      <c r="L13" s="145" t="n"/>
      <c r="M13" s="145" t="n"/>
      <c r="N13" s="145" t="n"/>
      <c r="O13" s="145" t="n"/>
      <c r="P13" s="145" t="n"/>
      <c r="Q13" s="145" t="n"/>
      <c r="R13" s="130" t="n"/>
    </row>
    <row r="14" ht="12.75" customHeight="1" s="131">
      <c r="A14" s="137" t="n"/>
      <c r="B14" s="137" t="n"/>
      <c r="C14" s="137" t="inlineStr">
        <is>
          <t>Cash Request as percent of Total Required Funds</t>
        </is>
      </c>
      <c r="D14" s="137" t="n"/>
      <c r="E14" s="145" t="n"/>
      <c r="F14" s="145" t="n"/>
      <c r="G14" s="159">
        <f>IF('1. Required Start-Up Funds'!G31=0,0,'1. Required Start-Up Funds'!E28/'1. Required Start-Up Funds'!G31)</f>
        <v/>
      </c>
      <c r="H14" s="145" t="n"/>
      <c r="I14" s="230">
        <f>IF(G14&lt;0.2,"Cash request seems reasonable with respect to total request","Cash request exceeds 20% which might be high")</f>
        <v/>
      </c>
      <c r="J14" s="159" t="n"/>
      <c r="K14" s="159" t="n"/>
      <c r="L14" s="145" t="n"/>
      <c r="M14" s="145" t="n"/>
      <c r="N14" s="145" t="n"/>
      <c r="O14" s="145" t="n"/>
      <c r="P14" s="145" t="n"/>
      <c r="Q14" s="145" t="n"/>
      <c r="R14" s="130" t="n"/>
    </row>
    <row r="15" ht="12.75" customHeight="1" s="131">
      <c r="A15" s="137" t="n"/>
      <c r="G15" s="156" t="n"/>
      <c r="H15" s="145" t="n"/>
      <c r="I15" s="230" t="n"/>
      <c r="J15" s="159" t="n"/>
      <c r="K15" s="159" t="n"/>
      <c r="L15" s="145" t="n"/>
      <c r="M15" s="145" t="n"/>
      <c r="N15" s="145" t="n"/>
      <c r="O15" s="145" t="n"/>
      <c r="P15" s="145" t="n"/>
      <c r="Q15" s="145" t="n"/>
      <c r="R15" s="130" t="n"/>
    </row>
    <row r="16" ht="12.75" customHeight="1" s="131">
      <c r="A16" s="137" t="n"/>
      <c r="B16" s="137" t="inlineStr">
        <is>
          <t>Loan Assumptions</t>
        </is>
      </c>
      <c r="C16" s="137" t="n"/>
      <c r="D16" s="137" t="n"/>
      <c r="E16" s="145" t="n"/>
      <c r="F16" s="145" t="n"/>
      <c r="G16" s="156" t="n"/>
      <c r="H16" s="145" t="n"/>
      <c r="I16" s="230" t="n"/>
      <c r="J16" s="159" t="n"/>
      <c r="K16" s="159" t="n"/>
      <c r="L16" s="145" t="n"/>
      <c r="M16" s="145" t="n"/>
      <c r="N16" s="145" t="n"/>
      <c r="O16" s="145" t="n"/>
      <c r="P16" s="145" t="n"/>
      <c r="Q16" s="145" t="n"/>
      <c r="R16" s="130" t="n"/>
    </row>
    <row r="17" ht="12.75" customHeight="1" s="131">
      <c r="A17" s="137" t="n"/>
      <c r="B17" s="137" t="n"/>
      <c r="C17" s="137" t="inlineStr">
        <is>
          <t>Commercial Loan Interest rate</t>
        </is>
      </c>
      <c r="D17" s="137" t="n"/>
      <c r="E17" s="145" t="n"/>
      <c r="F17" s="145" t="n"/>
      <c r="G17" s="159">
        <f>'1. Required Start-Up Funds'!H40</f>
        <v/>
      </c>
      <c r="H17" s="145" t="n"/>
      <c r="I17" s="145">
        <f>IF(G17&lt;0.06,"Interest rate may be too low for the type of loan requested","Interest rate seems reasonable")</f>
        <v/>
      </c>
      <c r="J17" s="145" t="n"/>
      <c r="K17" s="145" t="n"/>
      <c r="L17" s="145" t="n"/>
      <c r="M17" s="145" t="n"/>
      <c r="N17" s="145" t="n"/>
      <c r="O17" s="145" t="n"/>
      <c r="P17" s="145" t="n"/>
      <c r="Q17" s="145" t="n"/>
      <c r="R17" s="130" t="n"/>
    </row>
    <row r="18" ht="12.75" customHeight="1" s="131">
      <c r="A18" s="137" t="n"/>
      <c r="B18" s="137" t="n"/>
      <c r="C18" s="137" t="inlineStr">
        <is>
          <t>Commercial Loan Term in Months</t>
        </is>
      </c>
      <c r="D18" s="137" t="n"/>
      <c r="E18" s="145" t="n"/>
      <c r="F18" s="145" t="n"/>
      <c r="G18" s="221">
        <f>'1. Required Start-Up Funds'!I40</f>
        <v/>
      </c>
      <c r="H18" s="145" t="n"/>
      <c r="I18" s="145">
        <f>IF(G18&gt;120,"Loan term may be too high for this type of loan","Loan term seems within range for this type of loan")</f>
        <v/>
      </c>
      <c r="J18" s="145" t="n"/>
      <c r="K18" s="145" t="n"/>
      <c r="L18" s="145" t="n"/>
      <c r="M18" s="145" t="n"/>
      <c r="N18" s="145" t="n"/>
      <c r="O18" s="145" t="n"/>
      <c r="P18" s="145" t="n"/>
      <c r="Q18" s="145" t="n"/>
      <c r="R18" s="130" t="n"/>
    </row>
    <row r="19" ht="12.75" customHeight="1" s="131">
      <c r="A19" s="137" t="n"/>
      <c r="B19" s="137" t="n"/>
      <c r="D19" s="137" t="n"/>
      <c r="E19" s="130" t="n"/>
      <c r="F19" s="130" t="n"/>
      <c r="G19" s="130" t="n"/>
      <c r="H19" s="149" t="n"/>
      <c r="I19" s="231" t="n"/>
      <c r="J19" s="156" t="n"/>
      <c r="K19" s="156" t="n"/>
      <c r="L19" s="145" t="n"/>
      <c r="M19" s="145" t="n"/>
      <c r="N19" s="145" t="n"/>
      <c r="O19" s="145" t="n"/>
      <c r="P19" s="145" t="n"/>
      <c r="Q19" s="145" t="n"/>
      <c r="R19" s="130" t="n"/>
    </row>
    <row r="20" ht="12.75" customHeight="1" s="131">
      <c r="A20" s="137" t="n"/>
      <c r="B20" s="137" t="n"/>
      <c r="C20" s="137" t="inlineStr">
        <is>
          <t>Commercial Mortgage Interest rate</t>
        </is>
      </c>
      <c r="D20" s="137" t="n"/>
      <c r="E20" s="130" t="n"/>
      <c r="F20" s="130" t="n"/>
      <c r="G20" s="159">
        <f>'1. Required Start-Up Funds'!H41</f>
        <v/>
      </c>
      <c r="H20" s="156" t="n"/>
      <c r="I20" s="231">
        <f>IF(G20&lt;0.06,"Interest rate may be too low for type of loan requested","Interest rate seems reasonable")</f>
        <v/>
      </c>
      <c r="J20" s="156" t="n"/>
      <c r="K20" s="156" t="n"/>
      <c r="L20" s="145" t="n"/>
      <c r="M20" s="145" t="n"/>
      <c r="N20" s="145" t="n"/>
      <c r="O20" s="145" t="n"/>
      <c r="P20" s="145" t="n"/>
      <c r="Q20" s="145" t="n"/>
      <c r="R20" s="130" t="n"/>
    </row>
    <row r="21" ht="12.75" customHeight="1" s="131">
      <c r="A21" s="137" t="n"/>
      <c r="B21" s="137" t="n"/>
      <c r="C21" s="137" t="inlineStr">
        <is>
          <t>Commercial Mortgage Term in Months</t>
        </is>
      </c>
      <c r="D21" s="137" t="n"/>
      <c r="E21" s="145" t="n"/>
      <c r="F21" s="145" t="n"/>
      <c r="G21" s="232">
        <f>'1. Required Start-Up Funds'!I41</f>
        <v/>
      </c>
      <c r="H21" s="156" t="n"/>
      <c r="I21" s="233">
        <f>IF(G21&gt;240,"Loan term may be too high for this type of loan","Loan term seems within range for this type of loan")</f>
        <v/>
      </c>
      <c r="J21" s="156" t="n"/>
      <c r="K21" s="156" t="n"/>
      <c r="L21" s="145" t="n"/>
      <c r="M21" s="145" t="n"/>
      <c r="N21" s="145" t="n"/>
      <c r="O21" s="145" t="n"/>
      <c r="P21" s="145" t="n"/>
      <c r="Q21" s="145" t="n"/>
      <c r="R21" s="130" t="n"/>
    </row>
    <row r="22" ht="12.75" customHeight="1" s="131">
      <c r="A22" s="137" t="n"/>
      <c r="B22" s="137" t="n"/>
      <c r="D22" s="137" t="n"/>
      <c r="E22" s="145" t="n"/>
      <c r="F22" s="145" t="n"/>
      <c r="G22" s="156" t="n"/>
      <c r="H22" s="156" t="n"/>
      <c r="I22" s="231" t="n"/>
      <c r="J22" s="156" t="n"/>
      <c r="K22" s="156" t="n"/>
      <c r="L22" s="145" t="n"/>
      <c r="M22" s="145" t="n"/>
      <c r="N22" s="145" t="n"/>
      <c r="O22" s="145" t="n"/>
      <c r="P22" s="145" t="n"/>
      <c r="Q22" s="145" t="n"/>
      <c r="R22" s="130" t="n"/>
    </row>
    <row r="23" ht="12.75" customHeight="1" s="131">
      <c r="A23" s="137" t="n"/>
      <c r="B23" s="137" t="n"/>
      <c r="C23" s="137" t="inlineStr">
        <is>
          <t>Loan Payments as a Percent of Projected Sales</t>
        </is>
      </c>
      <c r="D23" s="137" t="n"/>
      <c r="E23" s="145" t="n"/>
      <c r="F23" s="145" t="n"/>
      <c r="G23" s="159">
        <f>IF('8. Income Statement'!Q13=0,0,'1. Required Start-Up Funds'!J42/'8. Income Statement'!Q13)</f>
        <v/>
      </c>
      <c r="H23" s="156" t="n"/>
      <c r="I23" s="231">
        <f>IF(G23&gt;10,"Calculated loan payments as a percent of sales may be too high","Calculated loan payments as a percent of sales seem resonable")</f>
        <v/>
      </c>
      <c r="J23" s="156" t="n"/>
      <c r="K23" s="156" t="n"/>
      <c r="L23" s="145" t="n"/>
      <c r="M23" s="145" t="n"/>
      <c r="N23" s="145" t="n"/>
      <c r="O23" s="145" t="n"/>
      <c r="P23" s="145" t="n"/>
      <c r="Q23" s="145" t="n"/>
      <c r="R23" s="130" t="n"/>
    </row>
    <row r="24" ht="12.75" customHeight="1" s="131">
      <c r="A24" s="137" t="n"/>
      <c r="B24" s="137" t="n"/>
      <c r="C24" s="137" t="n"/>
      <c r="D24" s="137" t="n"/>
      <c r="E24" s="145" t="n"/>
      <c r="F24" s="145" t="n"/>
      <c r="G24" s="159" t="n"/>
      <c r="H24" s="156" t="n"/>
      <c r="I24" s="231" t="n"/>
      <c r="J24" s="156" t="n"/>
      <c r="K24" s="156" t="n"/>
      <c r="L24" s="145" t="n"/>
      <c r="M24" s="145" t="n"/>
      <c r="N24" s="145" t="n"/>
      <c r="O24" s="145" t="n"/>
      <c r="P24" s="145" t="n"/>
      <c r="Q24" s="145" t="n"/>
      <c r="R24" s="130" t="n"/>
    </row>
    <row r="25" ht="12.75" customHeight="1" s="131">
      <c r="A25" s="137" t="n"/>
      <c r="B25" s="137" t="inlineStr">
        <is>
          <t>Income Statement</t>
        </is>
      </c>
      <c r="C25" s="137" t="n"/>
      <c r="D25" s="137" t="n"/>
      <c r="E25" s="145" t="n"/>
      <c r="F25" s="145" t="n"/>
      <c r="G25" s="159" t="n"/>
      <c r="H25" s="156" t="n"/>
      <c r="I25" s="231" t="n"/>
      <c r="J25" s="156" t="n"/>
      <c r="K25" s="156" t="n"/>
      <c r="L25" s="145" t="n"/>
      <c r="M25" s="145" t="n"/>
      <c r="N25" s="145" t="n"/>
      <c r="O25" s="145" t="n"/>
      <c r="P25" s="145" t="n"/>
      <c r="Q25" s="145" t="n"/>
      <c r="R25" s="130" t="n"/>
    </row>
    <row r="26" ht="12.75" customHeight="1" s="131">
      <c r="A26" s="137" t="n"/>
      <c r="B26" s="137" t="n"/>
      <c r="C26" s="137" t="inlineStr">
        <is>
          <t>Gross Margin as a Percent of Sales</t>
        </is>
      </c>
      <c r="D26" s="137" t="n"/>
      <c r="E26" s="145" t="n"/>
      <c r="F26" s="145" t="n"/>
      <c r="G26" s="159">
        <f>'11. Year End Summary'!G22</f>
        <v/>
      </c>
      <c r="H26" s="156" t="n"/>
      <c r="I26" s="231">
        <f>IF(G26&lt;0.2,"Gross margin percentage seems very low","Gross margin percentage seems reasonable")</f>
        <v/>
      </c>
      <c r="J26" s="156" t="n"/>
      <c r="K26" s="156" t="n"/>
      <c r="L26" s="145" t="n"/>
      <c r="M26" s="145" t="n"/>
      <c r="N26" s="145" t="n"/>
      <c r="O26" s="145" t="n"/>
      <c r="P26" s="145" t="n"/>
      <c r="Q26" s="145" t="n"/>
      <c r="R26" s="130" t="n"/>
    </row>
    <row r="27" ht="12.75" customHeight="1" s="131">
      <c r="A27" s="137" t="n"/>
      <c r="B27" s="137" t="n"/>
      <c r="C27" s="137" t="inlineStr">
        <is>
          <t>Owner's Compensation Lower Limit Check</t>
        </is>
      </c>
      <c r="D27" s="137" t="n"/>
      <c r="E27" s="145" t="n"/>
      <c r="F27" s="145" t="n"/>
      <c r="G27" s="149">
        <f>'2. Salaries and Wages'!M11</f>
        <v/>
      </c>
      <c r="H27" s="156" t="n"/>
      <c r="I27" s="231">
        <f>IF(G27&gt;0,"An owner's compensation amount has been established","An owner's compensation amount has not been established")</f>
        <v/>
      </c>
      <c r="J27" s="156" t="n"/>
      <c r="K27" s="156" t="n"/>
      <c r="L27" s="145" t="n"/>
      <c r="M27" s="145" t="n"/>
      <c r="N27" s="145" t="n"/>
      <c r="O27" s="145" t="n"/>
      <c r="P27" s="145" t="n"/>
      <c r="Q27" s="145" t="n"/>
      <c r="R27" s="130" t="n"/>
    </row>
    <row r="28" ht="12.75" customHeight="1" s="131">
      <c r="A28" s="137" t="n"/>
      <c r="B28" s="137" t="n"/>
      <c r="C28" s="137" t="inlineStr">
        <is>
          <t>Owner's Compensation Upper Limit Check</t>
        </is>
      </c>
      <c r="D28" s="137" t="n"/>
      <c r="E28" s="145" t="n"/>
      <c r="F28" s="145" t="n"/>
      <c r="G28" s="159">
        <f>IF('8. Income Statement'!Q66=0,0,G27/'8. Income Statement'!Q66)</f>
        <v/>
      </c>
      <c r="H28" s="156" t="n"/>
      <c r="I28" s="231">
        <f>IF(G28&gt;1,"Owner's compensation may be too high relative to profitability of business","Owner's compensation seems reasonable")</f>
        <v/>
      </c>
      <c r="J28" s="156" t="n"/>
      <c r="K28" s="156" t="n"/>
      <c r="L28" s="145" t="n"/>
      <c r="M28" s="145" t="n"/>
      <c r="N28" s="145" t="n"/>
      <c r="O28" s="145" t="n"/>
      <c r="P28" s="145" t="n"/>
      <c r="Q28" s="145" t="n"/>
      <c r="R28" s="130" t="n"/>
    </row>
    <row r="29" ht="12.75" customHeight="1" s="131">
      <c r="A29" s="137" t="n"/>
      <c r="B29" s="137" t="n"/>
      <c r="C29" s="137" t="inlineStr">
        <is>
          <t>Advertising Expense Levels as a Percent of Sales</t>
        </is>
      </c>
      <c r="D29" s="137" t="n"/>
      <c r="E29" s="145" t="n"/>
      <c r="F29" s="145" t="n"/>
      <c r="G29" s="159">
        <f>IF('8. Income Statement'!Q13=0,0,'8. Income Statement'!Q34/'8. Income Statement'!Q13)</f>
        <v/>
      </c>
      <c r="H29" s="156" t="n"/>
      <c r="I29" s="231">
        <f>IF(G29&lt;0.2,"Advertising as a percent of sales may be too low","Advertising as a percent of sales seems reasonable")</f>
        <v/>
      </c>
      <c r="J29" s="156" t="n"/>
      <c r="K29" s="156" t="n"/>
      <c r="L29" s="145" t="n"/>
      <c r="M29" s="145" t="n"/>
      <c r="N29" s="145" t="n"/>
      <c r="O29" s="145" t="n"/>
      <c r="P29" s="145" t="n"/>
      <c r="Q29" s="145" t="n"/>
      <c r="R29" s="130" t="n"/>
    </row>
    <row r="30" ht="12.75" customHeight="1" s="131">
      <c r="A30" s="137" t="n"/>
      <c r="B30" s="137" t="n"/>
      <c r="C30" s="137" t="inlineStr">
        <is>
          <t>Profitability Levels</t>
        </is>
      </c>
      <c r="D30" s="137" t="n"/>
      <c r="E30" s="145" t="n"/>
      <c r="F30" s="145" t="n"/>
      <c r="G30" s="149">
        <f>'8. Income Statement'!Q66</f>
        <v/>
      </c>
      <c r="H30" s="156" t="n"/>
      <c r="I30" s="231">
        <f>IF(G30&lt;0,"The business is not showing a profit","The business is showing a profit")</f>
        <v/>
      </c>
      <c r="J30" s="156" t="n"/>
      <c r="K30" s="156" t="n"/>
      <c r="L30" s="145" t="n"/>
      <c r="M30" s="145" t="n"/>
      <c r="N30" s="145" t="n"/>
      <c r="O30" s="145" t="n"/>
      <c r="P30" s="145" t="n"/>
      <c r="Q30" s="145" t="n"/>
      <c r="R30" s="130" t="n"/>
    </row>
    <row r="31" ht="12.75" customHeight="1" s="131">
      <c r="A31" s="137" t="n"/>
      <c r="B31" s="137" t="n"/>
      <c r="C31" s="137" t="inlineStr">
        <is>
          <t>Profitability as a Percent of Sales</t>
        </is>
      </c>
      <c r="D31" s="137" t="n"/>
      <c r="E31" s="145" t="n"/>
      <c r="F31" s="176" t="n"/>
      <c r="G31" s="159">
        <f>'11. Year End Summary'!G66</f>
        <v/>
      </c>
      <c r="H31" s="156" t="n"/>
      <c r="I31" s="231">
        <f>IF(G31&gt;0.2,"The projection may be too aggressive in stating profitability","The projection does not seem highly unreasonable")</f>
        <v/>
      </c>
      <c r="J31" s="156" t="n"/>
      <c r="K31" s="156" t="n"/>
      <c r="L31" s="145" t="n"/>
      <c r="M31" s="145" t="n"/>
      <c r="N31" s="145" t="n"/>
      <c r="O31" s="145" t="n"/>
      <c r="P31" s="145" t="n"/>
      <c r="Q31" s="145" t="n"/>
      <c r="R31" s="130" t="n"/>
    </row>
    <row r="32" ht="12.75" customHeight="1" s="131">
      <c r="A32" s="137" t="n"/>
      <c r="B32" s="137" t="n"/>
      <c r="C32" s="137" t="n"/>
      <c r="D32" s="137" t="n"/>
      <c r="E32" s="145" t="n"/>
      <c r="F32" s="176" t="n"/>
      <c r="G32" s="156" t="n"/>
      <c r="H32" s="156" t="n"/>
      <c r="I32" s="231" t="n"/>
      <c r="J32" s="156" t="n"/>
      <c r="K32" s="156" t="n"/>
      <c r="L32" s="145" t="n"/>
      <c r="M32" s="145" t="n"/>
      <c r="N32" s="145" t="n"/>
      <c r="O32" s="145" t="n"/>
      <c r="P32" s="145" t="n"/>
      <c r="Q32" s="145" t="n"/>
      <c r="R32" s="130" t="n"/>
    </row>
    <row r="33" ht="12.75" customHeight="1" s="131">
      <c r="A33" s="137" t="n"/>
      <c r="B33" s="137" t="inlineStr">
        <is>
          <t>Cash Flow Statement</t>
        </is>
      </c>
      <c r="C33" s="137" t="n"/>
      <c r="D33" s="137" t="n"/>
      <c r="E33" s="145" t="n"/>
      <c r="F33" s="178" t="n"/>
      <c r="G33" s="159" t="n"/>
      <c r="H33" s="156" t="n"/>
      <c r="I33" s="231" t="n"/>
      <c r="J33" s="156" t="n"/>
      <c r="K33" s="156" t="n"/>
      <c r="L33" s="145" t="n"/>
      <c r="M33" s="145" t="n"/>
      <c r="N33" s="145" t="n"/>
      <c r="O33" s="145" t="n"/>
      <c r="P33" s="145" t="n"/>
      <c r="Q33" s="145" t="n"/>
      <c r="R33" s="130" t="n"/>
    </row>
    <row r="34" ht="12.75" customHeight="1" s="131">
      <c r="A34" s="137" t="n"/>
      <c r="B34" s="137" t="n"/>
      <c r="C34" s="137" t="inlineStr">
        <is>
          <t>Desired Operating cash Flow Levels</t>
        </is>
      </c>
      <c r="D34" s="137" t="n"/>
      <c r="E34" s="145" t="n"/>
      <c r="F34" s="145" t="n"/>
      <c r="G34" s="149">
        <f>'9. Cash Flow Statement'!Q35</f>
        <v/>
      </c>
      <c r="H34" s="156" t="n"/>
      <c r="I34" s="231">
        <f>IF(G34&gt;0,"The financial projection does not provide the desired level of cash flow","The financial projection provides the desired level of cash flow")</f>
        <v/>
      </c>
      <c r="J34" s="156" t="n"/>
      <c r="K34" s="156" t="n"/>
      <c r="L34" s="145" t="n"/>
      <c r="M34" s="145" t="n"/>
      <c r="N34" s="145" t="n"/>
      <c r="O34" s="145" t="n"/>
      <c r="P34" s="145" t="n"/>
      <c r="Q34" s="145" t="n"/>
      <c r="R34" s="130" t="n"/>
    </row>
    <row r="35" ht="12.75" customHeight="1" s="131">
      <c r="A35" s="137" t="n"/>
      <c r="B35" s="137" t="n"/>
      <c r="C35" s="137" t="inlineStr">
        <is>
          <t>Line of Credit Drawdowns</t>
        </is>
      </c>
      <c r="D35" s="137" t="n"/>
      <c r="E35" s="145" t="n"/>
      <c r="F35" s="145" t="n"/>
      <c r="G35" s="149">
        <f>G34</f>
        <v/>
      </c>
      <c r="H35" s="156" t="n"/>
      <c r="I35" s="231">
        <f>IF(G35&gt;0,"The business will need at least this level of a line of credit","The business doesn't seem to require a line of credit")</f>
        <v/>
      </c>
      <c r="J35" s="156" t="n"/>
      <c r="K35" s="156" t="n"/>
      <c r="L35" s="145" t="n"/>
      <c r="M35" s="145" t="n"/>
      <c r="N35" s="145" t="n"/>
      <c r="O35" s="145" t="n"/>
      <c r="P35" s="145" t="n"/>
      <c r="Q35" s="145" t="n"/>
      <c r="R35" s="130" t="n"/>
    </row>
    <row r="36" ht="12.75" customHeight="1" s="131">
      <c r="A36" s="137" t="n"/>
      <c r="B36" s="137" t="n"/>
      <c r="C36" s="137" t="inlineStr">
        <is>
          <t>Accounts Receivable Ratio to Sales</t>
        </is>
      </c>
      <c r="D36" s="137" t="n"/>
      <c r="E36" s="145" t="n"/>
      <c r="F36" s="176" t="n"/>
      <c r="G36" s="159">
        <f>IF('8. Income Statement'!Q13=0,0,'10. Balance Sheet'!I11/'8. Income Statement'!Q13)</f>
        <v/>
      </c>
      <c r="H36" s="156" t="n"/>
      <c r="I36" s="231">
        <f>IF(G36&gt;0.3,"Accounts receivable amounts seem high","Accounts receivable amount as a percent of sales seems reasonable")</f>
        <v/>
      </c>
      <c r="J36" s="156" t="n"/>
      <c r="K36" s="156" t="n"/>
      <c r="L36" s="145" t="n"/>
      <c r="M36" s="145" t="n"/>
      <c r="N36" s="145" t="n"/>
      <c r="O36" s="145" t="n"/>
      <c r="P36" s="145" t="n"/>
      <c r="Q36" s="145" t="n"/>
      <c r="R36" s="130" t="n"/>
    </row>
    <row r="37" ht="12.75" customHeight="1" s="131">
      <c r="A37" s="137" t="n"/>
      <c r="B37" s="137" t="n"/>
      <c r="C37" s="137" t="n"/>
      <c r="D37" s="137" t="n"/>
      <c r="E37" s="145" t="n"/>
      <c r="F37" s="178" t="n"/>
      <c r="G37" s="156" t="n"/>
      <c r="H37" s="156" t="n"/>
      <c r="I37" s="231" t="n"/>
      <c r="J37" s="156" t="n"/>
      <c r="K37" s="156" t="n"/>
      <c r="L37" s="145" t="n"/>
      <c r="M37" s="145" t="n"/>
      <c r="N37" s="145" t="n"/>
      <c r="O37" s="145" t="n"/>
      <c r="P37" s="145" t="n"/>
      <c r="Q37" s="145" t="n"/>
      <c r="R37" s="130" t="n"/>
    </row>
    <row r="38" ht="12.75" customHeight="1" s="131">
      <c r="A38" s="137" t="n"/>
      <c r="B38" s="137" t="inlineStr">
        <is>
          <t>Balance Sheet</t>
        </is>
      </c>
      <c r="C38" s="137" t="n"/>
      <c r="D38" s="137" t="n"/>
      <c r="E38" s="145" t="n"/>
      <c r="F38" s="145" t="n"/>
      <c r="G38" s="156" t="n"/>
      <c r="H38" s="156" t="n"/>
      <c r="I38" s="231" t="n"/>
      <c r="J38" s="156" t="n"/>
      <c r="K38" s="156" t="n"/>
      <c r="L38" s="145" t="n"/>
      <c r="M38" s="145" t="n"/>
      <c r="N38" s="145" t="n"/>
      <c r="O38" s="145" t="n"/>
      <c r="P38" s="145" t="n"/>
      <c r="Q38" s="145" t="n"/>
      <c r="R38" s="130" t="n"/>
    </row>
    <row r="39" ht="12.75" customHeight="1" s="131">
      <c r="A39" s="137" t="n"/>
      <c r="B39" s="137" t="n"/>
      <c r="C39" s="137" t="inlineStr">
        <is>
          <t>Does the Base Period Balance Sheet Balance?</t>
        </is>
      </c>
      <c r="D39" s="137" t="n"/>
      <c r="E39" s="145" t="n"/>
      <c r="F39" s="145" t="n"/>
      <c r="G39" s="156">
        <f>'10. Balance Sheet'!F29-'10. Balance Sheet'!F47</f>
        <v/>
      </c>
      <c r="H39" s="156" t="n"/>
      <c r="I39" s="231">
        <f>IF(G39&lt;&gt;0,"The balance sheet is not in balance","The balance sheet does balance")</f>
        <v/>
      </c>
      <c r="J39" s="156" t="n"/>
      <c r="K39" s="156" t="n"/>
      <c r="L39" s="145" t="n"/>
      <c r="M39" s="145" t="n"/>
      <c r="N39" s="145" t="n"/>
      <c r="O39" s="145" t="n"/>
      <c r="P39" s="145" t="n"/>
      <c r="Q39" s="145" t="n"/>
      <c r="R39" s="130" t="n"/>
    </row>
    <row r="40" ht="12.75" customHeight="1" s="131">
      <c r="A40" s="137" t="n"/>
      <c r="B40" s="137" t="n"/>
      <c r="C40" s="137" t="inlineStr">
        <is>
          <t>Does the Final Balance Sheet Balance</t>
        </is>
      </c>
      <c r="D40" s="137" t="n"/>
      <c r="E40" s="145" t="n"/>
      <c r="F40" s="145" t="n"/>
      <c r="G40" s="156">
        <f>'10. Balance Sheet'!I29-'10. Balance Sheet'!I47</f>
        <v/>
      </c>
      <c r="H40" s="156" t="n"/>
      <c r="I40" s="231">
        <f>IF(G40&lt;&gt;0,"The balance sheet is not in balance","The balance sheet does balance")</f>
        <v/>
      </c>
      <c r="J40" s="156" t="n"/>
      <c r="K40" s="156" t="n"/>
      <c r="L40" s="145" t="n"/>
      <c r="M40" s="145" t="n"/>
      <c r="N40" s="145" t="n"/>
      <c r="O40" s="145" t="n"/>
      <c r="P40" s="145" t="n"/>
      <c r="Q40" s="145" t="n"/>
      <c r="R40" s="130" t="n"/>
    </row>
    <row r="41" ht="12.75" customHeight="1" s="131">
      <c r="A41" s="137" t="n"/>
      <c r="B41" s="137" t="n"/>
      <c r="C41" s="137" t="inlineStr">
        <is>
          <t>Debt to Equity Ratio</t>
        </is>
      </c>
      <c r="D41" s="137" t="n"/>
      <c r="E41" s="145" t="n"/>
      <c r="F41" s="145" t="n"/>
      <c r="G41" s="159">
        <f>IF('10. Balance Sheet'!I45=0,0,'10. Balance Sheet'!I39/'10. Balance Sheet'!I45)</f>
        <v/>
      </c>
      <c r="H41" s="156" t="n"/>
      <c r="I41" s="231">
        <f>IF(G41&gt;5,"Most banks would consider there to be too much debt for the overall amount of equity or ownership","The debt to equity ratio seems reasonable")</f>
        <v/>
      </c>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231" t="n"/>
      <c r="J42" s="156" t="n"/>
      <c r="K42" s="156" t="n"/>
      <c r="L42" s="145" t="n"/>
      <c r="M42" s="145" t="n"/>
      <c r="N42" s="145" t="n"/>
      <c r="O42" s="145" t="n"/>
      <c r="P42" s="145" t="n"/>
      <c r="Q42" s="145" t="n"/>
      <c r="R42" s="130" t="n"/>
    </row>
    <row r="43" ht="12.75" customHeight="1" s="131">
      <c r="A43" s="137" t="n"/>
      <c r="B43" s="137" t="inlineStr">
        <is>
          <t>Breakeven Analysis</t>
        </is>
      </c>
      <c r="C43" s="137" t="n"/>
      <c r="D43" s="137" t="n"/>
      <c r="E43" s="145" t="n"/>
      <c r="F43" s="145" t="n"/>
      <c r="G43" s="156" t="n"/>
      <c r="H43" s="156" t="n"/>
      <c r="I43" s="231" t="n"/>
      <c r="J43" s="156" t="n"/>
      <c r="K43" s="156" t="n"/>
      <c r="L43" s="145" t="n"/>
      <c r="M43" s="145" t="n"/>
      <c r="N43" s="145" t="n"/>
      <c r="O43" s="145" t="n"/>
      <c r="P43" s="145" t="n"/>
      <c r="Q43" s="145" t="n"/>
      <c r="R43" s="130" t="n"/>
    </row>
    <row r="44" ht="12.75" customHeight="1" s="131">
      <c r="A44" s="137" t="n"/>
      <c r="B44" s="137" t="n"/>
      <c r="C44" s="137" t="inlineStr">
        <is>
          <t>Breakeven Levels</t>
        </is>
      </c>
      <c r="D44" s="137" t="n"/>
      <c r="E44" s="145" t="n"/>
      <c r="F44" s="145" t="n"/>
      <c r="G44" s="149">
        <f>'8. Income Statement'!Q13-'19. Breakeven Analysis'!G18</f>
        <v/>
      </c>
      <c r="H44" s="156" t="n"/>
      <c r="I44" s="231">
        <f>IF(G44&gt;0,"The sales projection exceeds the projected break-even sales level","The sales projection is less than the break-even amount")</f>
        <v/>
      </c>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56" t="n"/>
      <c r="H49" s="156" t="n"/>
      <c r="I49" s="156" t="n"/>
      <c r="J49" s="156" t="n"/>
      <c r="K49" s="156" t="n"/>
      <c r="L49" s="145" t="n"/>
      <c r="M49" s="145" t="n"/>
      <c r="N49" s="145" t="n"/>
      <c r="O49" s="145" t="n"/>
      <c r="P49" s="145" t="n"/>
      <c r="Q49" s="145" t="n"/>
      <c r="R49" s="130" t="n"/>
    </row>
    <row r="50" ht="12.75" customHeight="1" s="131">
      <c r="A50" s="137" t="n"/>
      <c r="B50" s="137" t="n"/>
      <c r="C50" s="137" t="n"/>
      <c r="D50" s="137" t="n"/>
      <c r="E50" s="145" t="n"/>
      <c r="F50" s="145" t="n"/>
      <c r="G50" s="156" t="n"/>
      <c r="H50" s="156" t="n"/>
      <c r="I50" s="156" t="n"/>
      <c r="J50" s="156" t="n"/>
      <c r="K50" s="156" t="n"/>
      <c r="L50" s="145" t="n"/>
      <c r="M50" s="145" t="n"/>
      <c r="N50" s="145" t="n"/>
      <c r="O50" s="145" t="n"/>
      <c r="P50" s="145" t="n"/>
      <c r="Q50" s="145" t="n"/>
      <c r="R50" s="130" t="n"/>
    </row>
    <row r="51" ht="12.75" customHeight="1" s="131">
      <c r="A51" s="137" t="n"/>
      <c r="B51" s="137" t="n"/>
      <c r="C51" s="137" t="n"/>
      <c r="D51" s="137" t="n"/>
      <c r="E51" s="145" t="n"/>
      <c r="F51" s="145" t="n"/>
      <c r="G51" s="156" t="n"/>
      <c r="H51" s="156" t="n"/>
      <c r="I51" s="156" t="n"/>
      <c r="J51" s="156" t="n"/>
      <c r="K51" s="156" t="n"/>
      <c r="L51" s="145" t="n"/>
      <c r="M51" s="145" t="n"/>
      <c r="N51" s="145" t="n"/>
      <c r="O51" s="145" t="n"/>
      <c r="P51" s="145" t="n"/>
      <c r="Q51" s="145" t="n"/>
      <c r="R51" s="130" t="n"/>
    </row>
    <row r="52" ht="12.75" customHeight="1" s="131">
      <c r="A52" s="137" t="n"/>
      <c r="B52" s="137" t="n"/>
      <c r="C52" s="137" t="n"/>
      <c r="D52" s="137" t="n"/>
      <c r="E52" s="145" t="n"/>
      <c r="F52" s="145" t="n"/>
      <c r="G52" s="156" t="n"/>
      <c r="H52" s="156" t="n"/>
      <c r="I52" s="156" t="n"/>
      <c r="J52" s="156" t="n"/>
      <c r="K52" s="156" t="n"/>
      <c r="L52" s="145" t="n"/>
      <c r="M52" s="145" t="n"/>
      <c r="N52" s="145" t="n"/>
      <c r="O52" s="145" t="n"/>
      <c r="P52" s="145" t="n"/>
      <c r="Q52" s="145" t="n"/>
      <c r="R52" s="130" t="n"/>
    </row>
    <row r="53" ht="12.75" customHeight="1" s="131">
      <c r="A53" s="137" t="n"/>
      <c r="B53" s="137" t="n"/>
      <c r="C53" s="137" t="n"/>
      <c r="D53" s="137" t="n"/>
      <c r="E53" s="145" t="n"/>
      <c r="F53" s="145" t="n"/>
      <c r="G53" s="156" t="n"/>
      <c r="H53" s="156" t="n"/>
      <c r="I53" s="156" t="n"/>
      <c r="J53" s="156" t="n"/>
      <c r="K53" s="156" t="n"/>
      <c r="L53" s="145" t="n"/>
      <c r="M53" s="145" t="n"/>
      <c r="N53" s="145" t="n"/>
      <c r="O53" s="145" t="n"/>
      <c r="P53" s="145" t="n"/>
      <c r="Q53" s="145" t="n"/>
      <c r="R53" s="130" t="n"/>
    </row>
    <row r="54" ht="12.75" customHeight="1" s="131">
      <c r="A54" s="137" t="n"/>
      <c r="B54" s="137" t="n"/>
      <c r="C54" s="137" t="n"/>
      <c r="D54" s="137" t="n"/>
      <c r="E54" s="145" t="n"/>
      <c r="F54" s="145" t="n"/>
      <c r="G54" s="182" t="n"/>
      <c r="H54" s="182" t="n"/>
      <c r="I54" s="182" t="n"/>
      <c r="J54" s="182" t="n"/>
      <c r="K54" s="182" t="n"/>
      <c r="L54" s="145" t="n"/>
      <c r="M54" s="145" t="n"/>
      <c r="N54" s="145" t="n"/>
      <c r="O54" s="145" t="n"/>
      <c r="P54" s="145" t="n"/>
      <c r="Q54" s="145" t="n"/>
      <c r="R54" s="130" t="n"/>
    </row>
    <row r="55" ht="12.75" customHeight="1" s="131">
      <c r="A55" s="137" t="n"/>
      <c r="B55" s="137" t="n"/>
      <c r="C55" s="137" t="n"/>
      <c r="D55" s="137" t="n"/>
      <c r="E55" s="145" t="n"/>
      <c r="F55" s="145" t="n"/>
      <c r="G55" s="150" t="n"/>
      <c r="H55" s="150" t="n"/>
      <c r="I55" s="150" t="n"/>
      <c r="J55" s="150" t="n"/>
      <c r="K55" s="150" t="n"/>
      <c r="L55" s="145" t="n"/>
      <c r="M55" s="145" t="n"/>
      <c r="N55" s="145" t="n"/>
      <c r="O55" s="145" t="n"/>
      <c r="P55" s="145" t="n"/>
      <c r="Q55" s="145" t="n"/>
      <c r="R55" s="130" t="n"/>
    </row>
    <row r="56" ht="12.75" customHeight="1" s="131">
      <c r="A56" s="137" t="n"/>
      <c r="B56" s="137" t="n"/>
      <c r="C56" s="137" t="n"/>
      <c r="D56" s="137" t="n"/>
      <c r="E56" s="145" t="n"/>
      <c r="F56" s="145" t="n"/>
      <c r="G56" s="149" t="n"/>
      <c r="H56" s="149" t="n"/>
      <c r="I56" s="149" t="n"/>
      <c r="J56" s="149" t="n"/>
      <c r="K56" s="149" t="n"/>
      <c r="L56" s="145" t="n"/>
      <c r="M56" s="145" t="n"/>
      <c r="N56" s="145" t="n"/>
      <c r="O56" s="145" t="n"/>
      <c r="P56" s="145" t="n"/>
      <c r="Q56" s="145" t="n"/>
      <c r="R56" s="130" t="n"/>
    </row>
    <row r="57" ht="12.75" customHeight="1" s="131">
      <c r="A57" s="137" t="n"/>
      <c r="B57" s="137" t="n"/>
      <c r="C57" s="137" t="n"/>
      <c r="D57" s="137" t="n"/>
      <c r="E57" s="145" t="n"/>
      <c r="F57" s="145" t="n"/>
      <c r="G57" s="145" t="n"/>
      <c r="H57" s="145" t="n"/>
      <c r="I57" s="145" t="n"/>
      <c r="J57" s="145" t="n"/>
      <c r="K57" s="145" t="n"/>
      <c r="L57" s="145" t="n"/>
      <c r="M57" s="145" t="n"/>
      <c r="N57" s="145" t="n"/>
      <c r="O57" s="145" t="n"/>
      <c r="P57" s="145" t="n"/>
      <c r="Q57" s="145" t="n"/>
      <c r="R57" s="130" t="n"/>
    </row>
    <row r="58" ht="12.75" customHeight="1" s="131">
      <c r="A58" s="137" t="n"/>
      <c r="B58" s="137" t="n"/>
      <c r="C58" s="137" t="n"/>
      <c r="D58" s="137" t="n"/>
      <c r="E58" s="145" t="n"/>
      <c r="F58" s="145" t="n"/>
      <c r="G58" s="145" t="n"/>
      <c r="H58" s="145" t="n"/>
      <c r="I58" s="145" t="n"/>
      <c r="J58" s="145" t="n"/>
      <c r="K58" s="145" t="n"/>
      <c r="L58" s="145" t="n"/>
      <c r="M58" s="145" t="n"/>
      <c r="N58" s="145" t="n"/>
      <c r="O58" s="145" t="n"/>
      <c r="P58" s="145" t="n"/>
      <c r="Q58" s="145" t="n"/>
      <c r="R58" s="130" t="n"/>
    </row>
    <row r="59" ht="12.75" customHeight="1" s="131">
      <c r="A59" s="137" t="n"/>
      <c r="B59" s="137" t="n"/>
      <c r="C59" s="137" t="n"/>
      <c r="D59" s="137" t="n"/>
      <c r="E59" s="130" t="n"/>
      <c r="F59" s="130" t="n"/>
      <c r="G59" s="130" t="n"/>
      <c r="I59" s="130" t="n"/>
      <c r="J59" s="130" t="n"/>
      <c r="K59" s="130" t="n"/>
      <c r="L59" s="130" t="n"/>
      <c r="M59" s="130" t="n"/>
      <c r="N59" s="130" t="n"/>
      <c r="O59" s="130" t="n"/>
      <c r="P59" s="130" t="n"/>
      <c r="Q59" s="130" t="n"/>
      <c r="R59" s="130" t="n"/>
    </row>
    <row r="60" ht="12.75" customHeight="1" s="131">
      <c r="A60" s="137" t="n"/>
      <c r="B60" s="137" t="n"/>
      <c r="C60" s="137" t="n"/>
      <c r="D60" s="137" t="n"/>
      <c r="E60" s="130" t="n"/>
      <c r="F60" s="130" t="n"/>
      <c r="G60" s="130" t="n"/>
      <c r="I60" s="130" t="n"/>
      <c r="J60" s="130" t="n"/>
      <c r="K60" s="130" t="n"/>
      <c r="L60" s="130" t="n"/>
      <c r="M60" s="130" t="n"/>
      <c r="N60" s="130" t="n"/>
      <c r="O60" s="130" t="n"/>
      <c r="P60" s="130" t="n"/>
      <c r="Q60" s="130" t="n"/>
      <c r="R60" s="130" t="n"/>
    </row>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Jack Hess</dc:creator>
  <dc:language>en-US</dc:language>
  <dcterms:created xsi:type="dcterms:W3CDTF">2006-04-19T18:37:42Z</dcterms:created>
  <dcterms:modified xsi:type="dcterms:W3CDTF">2026-08-18T02:43:40Z</dcterms:modified>
  <cp:lastModifiedBy>Mike</cp:lastModifiedBy>
  <cp:revision>0</cp:revision>
  <cp:lastPrinted>2008-01-15T00:30:22Z</cp:lastPrinted>
</cp:coreProperties>
</file>