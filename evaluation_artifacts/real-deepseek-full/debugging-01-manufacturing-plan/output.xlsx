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Model Inputs" sheetId="1" state="visible" r:id="rId1"/>
    <sheet name="Profit and Loss" sheetId="2" state="visible" r:id="rId2"/>
    <sheet name="Balance Sheet" sheetId="3" state="visible" r:id="rId3"/>
    <sheet name="Cash Flow" sheetId="4" state="visible" r:id="rId4"/>
    <sheet name="Loan Payment Calculator" sheetId="5" state="visible" r:id="rId5"/>
  </sheets>
  <definedNames>
    <definedName name="_xlnm.Print_Area" localSheetId="0">'Model Inputs'!$A$1:$F$47</definedName>
    <definedName name="_xlnm.Print_Area" localSheetId="1">'Profit and Loss'!$A$1:$I$48</definedName>
    <definedName name="_xlnm.Print_Area" localSheetId="2">'Balance Sheet'!$A$1:$I$53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8">
    <numFmt numFmtId="164" formatCode="\$#,##0.00"/>
    <numFmt numFmtId="165" formatCode="\$#,##0"/>
    <numFmt numFmtId="166" formatCode="\$#,##0_);[RED]&quot;($&quot;#,##0\)"/>
    <numFmt numFmtId="167" formatCode="[$-409]#,##0_);[RED]\(#,##0\)"/>
    <numFmt numFmtId="168" formatCode="[$-409]m/d/yyyy"/>
    <numFmt numFmtId="169" formatCode="0_);[RED]\(0\)"/>
    <numFmt numFmtId="170" formatCode="0.0%"/>
    <numFmt numFmtId="171" formatCode="\$#,##0.00_);[RED]&quot;($&quot;#,##0.00\)"/>
  </numFmts>
  <fonts count="18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color rgb="FFFFFFFF"/>
      <sz val="10"/>
    </font>
    <font>
      <name val="Arial"/>
      <family val="2"/>
      <i val="1"/>
      <sz val="10"/>
    </font>
    <font>
      <name val="Arial"/>
      <family val="2"/>
      <i val="1"/>
      <sz val="10"/>
      <u val="single"/>
    </font>
    <font>
      <name val="Arial"/>
      <family val="2"/>
      <color rgb="FF008000"/>
      <sz val="10"/>
    </font>
    <font>
      <name val="Arial"/>
      <family val="2"/>
      <b val="1"/>
      <color rgb="FFFFFFFF"/>
      <sz val="11"/>
    </font>
    <font>
      <name val="Arial"/>
      <family val="2"/>
      <b val="1"/>
      <sz val="10"/>
    </font>
    <font>
      <name val="Arial"/>
      <family val="2"/>
      <sz val="10"/>
      <u val="single"/>
    </font>
    <font>
      <name val="Arial"/>
      <family val="2"/>
      <b val="1"/>
      <sz val="10"/>
      <u val="single"/>
    </font>
    <font>
      <name val="Arial"/>
      <family val="2"/>
      <b val="1"/>
      <color rgb="FFFFFFFF"/>
      <sz val="10"/>
    </font>
    <font>
      <name val="Arial"/>
      <family val="0"/>
      <b val="1"/>
      <sz val="10"/>
    </font>
    <font>
      <name val="Arial"/>
      <family val="2"/>
      <color rgb="FF000000"/>
      <sz val="10"/>
    </font>
  </fonts>
  <fills count="7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  <fill>
      <patternFill patternType="solid">
        <fgColor rgb="FF666699"/>
        <bgColor rgb="FF808080"/>
      </patternFill>
    </fill>
    <fill>
      <patternFill patternType="solid">
        <fgColor rgb="FFCCCCFF"/>
        <bgColor rgb="FFC0C0C0"/>
      </patternFill>
    </fill>
    <fill>
      <patternFill patternType="solid">
        <fgColor rgb="FF000000"/>
        <bgColor rgb="FF003300"/>
      </patternFill>
    </fill>
  </fills>
  <borders count="33">
    <border>
      <left/>
      <right/>
      <top/>
      <bottom/>
      <diagonal/>
    </border>
    <border>
      <left style="medium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/>
      <top style="medium"/>
      <bottom style="thin"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medium"/>
      <right style="medium"/>
      <top style="thin"/>
      <bottom style="medium"/>
      <diagonal/>
    </border>
    <border>
      <left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 style="medium"/>
      <right/>
      <top style="thin"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 style="medium"/>
      <right/>
      <top/>
      <bottom style="thin"/>
      <diagonal/>
    </border>
    <border>
      <left style="medium"/>
      <right/>
      <top style="thin"/>
      <bottom style="double"/>
      <diagonal/>
    </border>
    <border>
      <left/>
      <right/>
      <top style="thin"/>
      <bottom style="double"/>
      <diagonal/>
    </border>
    <border>
      <left/>
      <right style="medium"/>
      <top style="thin"/>
      <bottom style="double"/>
      <diagonal/>
    </border>
    <border>
      <left style="thin"/>
      <right style="medium"/>
      <top/>
      <bottom/>
      <diagonal/>
    </border>
    <border>
      <left style="thin"/>
      <right style="medium"/>
      <top style="thin"/>
      <bottom style="thin"/>
      <diagonal/>
    </border>
    <border>
      <left style="thin"/>
      <right style="medium"/>
      <top/>
      <bottom style="thin"/>
      <diagonal/>
    </border>
    <border>
      <left style="thin"/>
      <right style="medium"/>
      <top style="thin"/>
      <bottom style="medium"/>
      <diagonal/>
    </border>
    <border>
      <left style="medium"/>
      <right style="medium"/>
      <top style="medium"/>
      <bottom style="medium"/>
      <diagonal/>
    </border>
  </borders>
  <cellStyleXfs count="6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6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center" vertical="bottom"/>
    </xf>
    <xf numFmtId="0" fontId="4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2" borderId="2" applyAlignment="1" pivotButton="0" quotePrefix="0" xfId="0">
      <alignment horizontal="center" vertical="bottom"/>
    </xf>
    <xf numFmtId="0" fontId="0" fillId="2" borderId="3" applyAlignment="1" pivotButton="0" quotePrefix="0" xfId="0">
      <alignment horizontal="center" vertical="bottom"/>
    </xf>
    <xf numFmtId="0" fontId="7" fillId="2" borderId="0" applyAlignment="1" pivotButton="0" quotePrefix="0" xfId="0">
      <alignment horizontal="general" vertical="bottom"/>
    </xf>
    <xf numFmtId="0" fontId="8" fillId="3" borderId="4" applyAlignment="1" pivotButton="0" quotePrefix="0" xfId="0">
      <alignment horizontal="general" vertical="bottom"/>
    </xf>
    <xf numFmtId="0" fontId="0" fillId="3" borderId="0" applyAlignment="1" pivotButton="0" quotePrefix="0" xfId="0">
      <alignment horizontal="center" vertical="bottom"/>
    </xf>
    <xf numFmtId="0" fontId="0" fillId="3" borderId="5" applyAlignment="1" pivotButton="0" quotePrefix="0" xfId="0">
      <alignment horizontal="center" vertical="bottom"/>
    </xf>
    <xf numFmtId="0" fontId="6" fillId="3" borderId="6" applyAlignment="1" pivotButton="0" quotePrefix="0" xfId="0">
      <alignment horizontal="general" vertical="bottom"/>
    </xf>
    <xf numFmtId="0" fontId="0" fillId="3" borderId="7" applyAlignment="1" pivotButton="0" quotePrefix="0" xfId="0">
      <alignment horizontal="center" vertical="bottom"/>
    </xf>
    <xf numFmtId="0" fontId="0" fillId="3" borderId="8" applyAlignment="1" pivotButton="0" quotePrefix="0" xfId="0">
      <alignment horizontal="center" vertical="bottom"/>
    </xf>
    <xf numFmtId="0" fontId="10" fillId="2" borderId="0" applyAlignment="1" pivotButton="0" quotePrefix="0" xfId="0">
      <alignment horizontal="general" vertical="bottom"/>
    </xf>
    <xf numFmtId="0" fontId="11" fillId="4" borderId="9" applyAlignment="1" pivotButton="0" quotePrefix="0" xfId="0">
      <alignment horizontal="left" vertical="bottom"/>
    </xf>
    <xf numFmtId="0" fontId="7" fillId="4" borderId="10" applyAlignment="1" pivotButton="0" quotePrefix="0" xfId="0">
      <alignment horizontal="general" vertical="bottom"/>
    </xf>
    <xf numFmtId="0" fontId="7" fillId="4" borderId="11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6" fillId="2" borderId="12" applyAlignment="1" pivotButton="0" quotePrefix="0" xfId="0">
      <alignment horizontal="left" vertical="top" wrapText="1"/>
    </xf>
    <xf numFmtId="0" fontId="8" fillId="2" borderId="0" applyAlignment="1" pivotButton="0" quotePrefix="0" xfId="0">
      <alignment horizontal="left" vertical="bottom"/>
    </xf>
    <xf numFmtId="0" fontId="8" fillId="2" borderId="4" applyAlignment="1" pivotButton="0" quotePrefix="0" xfId="0">
      <alignment horizontal="left" vertical="bottom"/>
    </xf>
    <xf numFmtId="0" fontId="0" fillId="2" borderId="5" applyAlignment="1" pivotButton="0" quotePrefix="0" xfId="0">
      <alignment horizontal="general" vertical="bottom"/>
    </xf>
    <xf numFmtId="0" fontId="12" fillId="2" borderId="4" applyAlignment="1" pivotButton="0" quotePrefix="0" xfId="0">
      <alignment horizontal="left" vertical="bottom"/>
    </xf>
    <xf numFmtId="0" fontId="6" fillId="2" borderId="4" applyAlignment="1" pivotButton="0" quotePrefix="0" xfId="0">
      <alignment horizontal="left" vertical="bottom"/>
    </xf>
    <xf numFmtId="0" fontId="13" fillId="2" borderId="0" applyAlignment="1" pivotButton="0" quotePrefix="0" xfId="0">
      <alignment horizontal="center" vertical="bottom"/>
    </xf>
    <xf numFmtId="0" fontId="13" fillId="2" borderId="5" applyAlignment="1" pivotButton="0" quotePrefix="0" xfId="0">
      <alignment horizontal="center" vertical="bottom"/>
    </xf>
    <xf numFmtId="0" fontId="6" fillId="2" borderId="4" applyAlignment="1" pivotButton="0" quotePrefix="0" xfId="0">
      <alignment horizontal="right" vertical="bottom" indent="2"/>
    </xf>
    <xf numFmtId="3" fontId="12" fillId="2" borderId="0" applyAlignment="1" pivotButton="0" quotePrefix="0" xfId="0">
      <alignment horizontal="center" vertical="bottom"/>
    </xf>
    <xf numFmtId="3" fontId="12" fillId="2" borderId="5" applyAlignment="1" pivotButton="0" quotePrefix="0" xfId="0">
      <alignment horizontal="center" vertical="bottom"/>
    </xf>
    <xf numFmtId="164" fontId="12" fillId="2" borderId="13" applyAlignment="1" pivotButton="0" quotePrefix="0" xfId="0">
      <alignment horizontal="center" vertical="bottom"/>
    </xf>
    <xf numFmtId="164" fontId="12" fillId="2" borderId="14" applyAlignment="1" pivotButton="0" quotePrefix="0" xfId="0">
      <alignment horizontal="center" vertical="bottom"/>
    </xf>
    <xf numFmtId="165" fontId="8" fillId="3" borderId="0" applyAlignment="1" pivotButton="0" quotePrefix="0" xfId="0">
      <alignment horizontal="center" vertical="bottom"/>
    </xf>
    <xf numFmtId="165" fontId="8" fillId="3" borderId="5" applyAlignment="1" pivotButton="0" quotePrefix="0" xfId="0">
      <alignment horizontal="center" vertical="bottom"/>
    </xf>
    <xf numFmtId="0" fontId="6" fillId="2" borderId="4" applyAlignment="1" pivotButton="0" quotePrefix="0" xfId="0">
      <alignment horizontal="center" vertical="bottom"/>
    </xf>
    <xf numFmtId="165" fontId="6" fillId="2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general" vertical="bottom"/>
    </xf>
    <xf numFmtId="0" fontId="6" fillId="2" borderId="5" applyAlignment="1" pivotButton="0" quotePrefix="0" xfId="0">
      <alignment horizontal="general" vertical="bottom"/>
    </xf>
    <xf numFmtId="3" fontId="0" fillId="2" borderId="0" applyAlignment="1" pivotButton="0" quotePrefix="0" xfId="0">
      <alignment horizontal="center" vertical="bottom"/>
    </xf>
    <xf numFmtId="0" fontId="12" fillId="2" borderId="4" applyAlignment="1" pivotButton="0" quotePrefix="0" xfId="0">
      <alignment horizontal="general" vertical="bottom"/>
    </xf>
    <xf numFmtId="0" fontId="6" fillId="2" borderId="4" applyAlignment="1" pivotButton="0" quotePrefix="0" xfId="0">
      <alignment horizontal="general" vertical="bottom"/>
    </xf>
    <xf numFmtId="0" fontId="9" fillId="3" borderId="0" applyAlignment="1" pivotButton="0" quotePrefix="0" xfId="0">
      <alignment horizontal="center" vertical="bottom"/>
    </xf>
    <xf numFmtId="0" fontId="9" fillId="3" borderId="5" applyAlignment="1" pivotButton="0" quotePrefix="0" xfId="0">
      <alignment horizontal="center" vertical="bottom"/>
    </xf>
    <xf numFmtId="10" fontId="12" fillId="2" borderId="0" applyAlignment="1" pivotButton="0" quotePrefix="0" xfId="0">
      <alignment horizontal="center" vertical="bottom"/>
    </xf>
    <xf numFmtId="10" fontId="12" fillId="2" borderId="5" applyAlignment="1" pivotButton="0" quotePrefix="0" xfId="0">
      <alignment horizontal="center" vertical="bottom"/>
    </xf>
    <xf numFmtId="0" fontId="14" fillId="2" borderId="0" applyAlignment="1" pivotButton="0" quotePrefix="0" xfId="0">
      <alignment horizontal="center" vertical="bottom"/>
    </xf>
    <xf numFmtId="0" fontId="14" fillId="2" borderId="5" applyAlignment="1" pivotButton="0" quotePrefix="0" xfId="0">
      <alignment horizontal="center" vertical="bottom"/>
    </xf>
    <xf numFmtId="166" fontId="8" fillId="3" borderId="0" applyAlignment="1" pivotButton="0" quotePrefix="0" xfId="0">
      <alignment horizontal="center" vertical="bottom"/>
    </xf>
    <xf numFmtId="166" fontId="12" fillId="2" borderId="0" applyAlignment="1" pivotButton="0" quotePrefix="0" xfId="0">
      <alignment horizontal="center" vertical="bottom"/>
    </xf>
    <xf numFmtId="0" fontId="6" fillId="2" borderId="4" applyAlignment="1" pivotButton="0" quotePrefix="0" xfId="0">
      <alignment horizontal="right" vertical="bottom" indent="9"/>
    </xf>
    <xf numFmtId="9" fontId="12" fillId="2" borderId="15" applyAlignment="1" pivotButton="0" quotePrefix="0" xfId="0">
      <alignment horizontal="center" vertical="bottom"/>
    </xf>
    <xf numFmtId="9" fontId="12" fillId="2" borderId="0" applyAlignment="1" pivotButton="0" quotePrefix="0" xfId="0">
      <alignment horizontal="center" vertical="bottom"/>
    </xf>
    <xf numFmtId="167" fontId="12" fillId="2" borderId="15" applyAlignment="1" pivotButton="0" quotePrefix="0" xfId="0">
      <alignment horizontal="center" vertical="bottom"/>
    </xf>
    <xf numFmtId="167" fontId="12" fillId="2" borderId="0" applyAlignment="1" pivotButton="0" quotePrefix="0" xfId="0">
      <alignment horizontal="center" vertical="bottom"/>
    </xf>
    <xf numFmtId="9" fontId="0" fillId="2" borderId="0" applyAlignment="1" pivotButton="0" quotePrefix="0" xfId="0">
      <alignment horizontal="center" vertical="bottom"/>
    </xf>
    <xf numFmtId="0" fontId="12" fillId="2" borderId="4" applyAlignment="1" pivotButton="0" quotePrefix="0" xfId="0">
      <alignment horizontal="general" vertical="bottom" wrapText="1"/>
    </xf>
    <xf numFmtId="166" fontId="12" fillId="2" borderId="15" applyAlignment="1" pivotButton="0" quotePrefix="0" xfId="0">
      <alignment horizontal="center" vertical="top"/>
    </xf>
    <xf numFmtId="0" fontId="0" fillId="2" borderId="6" applyAlignment="1" pivotButton="0" quotePrefix="0" xfId="0">
      <alignment horizontal="general" vertical="bottom"/>
    </xf>
    <xf numFmtId="0" fontId="0" fillId="2" borderId="7" applyAlignment="1" pivotButton="0" quotePrefix="0" xfId="0">
      <alignment horizontal="general" vertical="bottom"/>
    </xf>
    <xf numFmtId="0" fontId="0" fillId="2" borderId="8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15" fillId="4" borderId="9" applyAlignment="1" pivotButton="0" quotePrefix="0" xfId="0">
      <alignment horizontal="general" vertical="bottom"/>
    </xf>
    <xf numFmtId="0" fontId="7" fillId="4" borderId="10" applyAlignment="1" pivotButton="0" quotePrefix="0" xfId="0">
      <alignment horizontal="center" vertical="bottom"/>
    </xf>
    <xf numFmtId="0" fontId="7" fillId="4" borderId="11" applyAlignment="1" pivotButton="0" quotePrefix="0" xfId="0">
      <alignment horizontal="center" vertical="bottom"/>
    </xf>
    <xf numFmtId="0" fontId="0" fillId="2" borderId="4" applyAlignment="1" pivotButton="0" quotePrefix="0" xfId="0">
      <alignment horizontal="general" vertical="bottom"/>
    </xf>
    <xf numFmtId="0" fontId="12" fillId="2" borderId="0" applyAlignment="1" pivotButton="0" quotePrefix="0" xfId="0">
      <alignment horizontal="left" vertical="bottom"/>
    </xf>
    <xf numFmtId="10" fontId="6" fillId="2" borderId="0" applyAlignment="1" pivotButton="0" quotePrefix="0" xfId="0">
      <alignment horizontal="center" vertical="bottom"/>
    </xf>
    <xf numFmtId="10" fontId="6" fillId="2" borderId="5" applyAlignment="1" pivotButton="0" quotePrefix="0" xfId="0">
      <alignment horizontal="center" vertical="bottom"/>
    </xf>
    <xf numFmtId="0" fontId="6" fillId="2" borderId="7" applyAlignment="1" pivotButton="0" quotePrefix="0" xfId="0">
      <alignment horizontal="general" vertical="bottom"/>
    </xf>
    <xf numFmtId="0" fontId="0" fillId="2" borderId="7" applyAlignment="1" pivotButton="0" quotePrefix="0" xfId="0">
      <alignment horizontal="center" vertical="bottom"/>
    </xf>
    <xf numFmtId="10" fontId="6" fillId="2" borderId="7" applyAlignment="1" pivotButton="0" quotePrefix="0" xfId="0">
      <alignment horizontal="center" vertical="bottom"/>
    </xf>
    <xf numFmtId="10" fontId="6" fillId="2" borderId="8" applyAlignment="1" pivotButton="0" quotePrefix="0" xfId="0">
      <alignment horizontal="center" vertical="bottom"/>
    </xf>
    <xf numFmtId="9" fontId="12" fillId="2" borderId="0" applyAlignment="1" pivotButton="0" quotePrefix="0" xfId="0">
      <alignment horizontal="center" vertical="bottom"/>
    </xf>
    <xf numFmtId="0" fontId="0" fillId="5" borderId="16" applyAlignment="1" pivotButton="0" quotePrefix="0" xfId="0">
      <alignment horizontal="general" vertical="bottom"/>
    </xf>
    <xf numFmtId="0" fontId="0" fillId="5" borderId="17" applyAlignment="1" pivotButton="0" quotePrefix="0" xfId="0">
      <alignment horizontal="general" vertical="bottom"/>
    </xf>
    <xf numFmtId="0" fontId="0" fillId="5" borderId="17" applyAlignment="1" pivotButton="0" quotePrefix="0" xfId="0">
      <alignment horizontal="center" vertical="bottom"/>
    </xf>
    <xf numFmtId="168" fontId="16" fillId="5" borderId="17" applyAlignment="1" pivotButton="0" quotePrefix="0" xfId="0">
      <alignment horizontal="right" vertical="bottom"/>
    </xf>
    <xf numFmtId="168" fontId="16" fillId="5" borderId="18" applyAlignment="1" pivotButton="0" quotePrefix="0" xfId="0">
      <alignment horizontal="right" vertical="bottom"/>
    </xf>
    <xf numFmtId="166" fontId="0" fillId="2" borderId="0" applyAlignment="1" pivotButton="0" quotePrefix="0" xfId="0">
      <alignment horizontal="right" vertical="bottom"/>
    </xf>
    <xf numFmtId="166" fontId="0" fillId="2" borderId="5" applyAlignment="1" pivotButton="0" quotePrefix="0" xfId="0">
      <alignment horizontal="right" vertical="bottom"/>
    </xf>
    <xf numFmtId="166" fontId="8" fillId="3" borderId="0" applyAlignment="1" pivotButton="0" quotePrefix="0" xfId="0">
      <alignment horizontal="right" vertical="bottom"/>
    </xf>
    <xf numFmtId="166" fontId="8" fillId="3" borderId="5" applyAlignment="1" pivotButton="0" quotePrefix="0" xfId="0">
      <alignment horizontal="right" vertical="bottom"/>
    </xf>
    <xf numFmtId="0" fontId="6" fillId="2" borderId="13" applyAlignment="1" pivotButton="0" quotePrefix="0" xfId="0">
      <alignment horizontal="general" vertical="bottom"/>
    </xf>
    <xf numFmtId="0" fontId="0" fillId="2" borderId="13" applyAlignment="1" pivotButton="0" quotePrefix="0" xfId="0">
      <alignment horizontal="center" vertical="bottom"/>
    </xf>
    <xf numFmtId="167" fontId="8" fillId="3" borderId="13" applyAlignment="1" pivotButton="0" quotePrefix="0" xfId="0">
      <alignment horizontal="right" vertical="bottom"/>
    </xf>
    <xf numFmtId="167" fontId="8" fillId="3" borderId="14" applyAlignment="1" pivotButton="0" quotePrefix="0" xfId="0">
      <alignment horizontal="right" vertical="bottom"/>
    </xf>
    <xf numFmtId="0" fontId="12" fillId="2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bottom"/>
    </xf>
    <xf numFmtId="166" fontId="8" fillId="2" borderId="0" applyAlignment="1" pivotButton="0" quotePrefix="0" xfId="0">
      <alignment horizontal="right" vertical="bottom"/>
    </xf>
    <xf numFmtId="166" fontId="8" fillId="2" borderId="5" applyAlignment="1" pivotButton="0" quotePrefix="0" xfId="0">
      <alignment horizontal="right" vertical="bottom"/>
    </xf>
    <xf numFmtId="166" fontId="17" fillId="2" borderId="0" applyAlignment="1" pivotButton="0" quotePrefix="0" xfId="0">
      <alignment horizontal="right" vertical="bottom"/>
    </xf>
    <xf numFmtId="166" fontId="17" fillId="2" borderId="5" applyAlignment="1" pivotButton="0" quotePrefix="0" xfId="0">
      <alignment horizontal="right" vertical="bottom"/>
    </xf>
    <xf numFmtId="166" fontId="17" fillId="2" borderId="13" applyAlignment="1" pivotButton="0" quotePrefix="0" xfId="0">
      <alignment horizontal="right" vertical="bottom"/>
    </xf>
    <xf numFmtId="166" fontId="17" fillId="2" borderId="14" applyAlignment="1" pivotButton="0" quotePrefix="0" xfId="0">
      <alignment horizontal="right" vertical="bottom"/>
    </xf>
    <xf numFmtId="0" fontId="12" fillId="2" borderId="19" applyAlignment="1" pivotButton="0" quotePrefix="0" xfId="0">
      <alignment horizontal="general" vertical="bottom"/>
    </xf>
    <xf numFmtId="0" fontId="8" fillId="2" borderId="19" applyAlignment="1" pivotButton="0" quotePrefix="0" xfId="0">
      <alignment horizontal="center" vertical="bottom"/>
    </xf>
    <xf numFmtId="166" fontId="6" fillId="2" borderId="0" applyAlignment="1" pivotButton="0" quotePrefix="0" xfId="0">
      <alignment horizontal="right" vertical="bottom"/>
    </xf>
    <xf numFmtId="167" fontId="6" fillId="2" borderId="0" applyAlignment="1" pivotButton="0" quotePrefix="0" xfId="0">
      <alignment horizontal="right" vertical="bottom"/>
    </xf>
    <xf numFmtId="167" fontId="8" fillId="3" borderId="0" applyAlignment="1" pivotButton="0" quotePrefix="0" xfId="0">
      <alignment horizontal="right" vertical="bottom"/>
    </xf>
    <xf numFmtId="167" fontId="8" fillId="3" borderId="5" applyAlignment="1" pivotButton="0" quotePrefix="0" xfId="0">
      <alignment horizontal="right" vertical="bottom"/>
    </xf>
    <xf numFmtId="166" fontId="8" fillId="3" borderId="19" applyAlignment="1" pivotButton="0" quotePrefix="0" xfId="0">
      <alignment horizontal="right" vertical="bottom"/>
    </xf>
    <xf numFmtId="166" fontId="8" fillId="3" borderId="20" applyAlignment="1" pivotButton="0" quotePrefix="0" xfId="0">
      <alignment horizontal="right" vertical="bottom"/>
    </xf>
    <xf numFmtId="0" fontId="12" fillId="2" borderId="21" applyAlignment="1" pivotButton="0" quotePrefix="0" xfId="0">
      <alignment horizontal="general" vertical="bottom"/>
    </xf>
    <xf numFmtId="0" fontId="6" fillId="2" borderId="22" applyAlignment="1" pivotButton="0" quotePrefix="0" xfId="0">
      <alignment horizontal="general" vertical="bottom"/>
    </xf>
    <xf numFmtId="0" fontId="0" fillId="2" borderId="22" applyAlignment="1" pivotButton="0" quotePrefix="0" xfId="0">
      <alignment horizontal="center" vertical="bottom"/>
    </xf>
    <xf numFmtId="166" fontId="8" fillId="3" borderId="22" applyAlignment="1" pivotButton="0" quotePrefix="0" xfId="0">
      <alignment horizontal="right" vertical="bottom"/>
    </xf>
    <xf numFmtId="166" fontId="8" fillId="3" borderId="23" applyAlignment="1" pivotButton="0" quotePrefix="0" xfId="0">
      <alignment horizontal="right" vertical="bottom"/>
    </xf>
    <xf numFmtId="166" fontId="6" fillId="2" borderId="5" applyAlignment="1" pivotButton="0" quotePrefix="0" xfId="0">
      <alignment horizontal="right" vertical="bottom"/>
    </xf>
    <xf numFmtId="167" fontId="6" fillId="2" borderId="5" applyAlignment="1" pivotButton="0" quotePrefix="0" xfId="0">
      <alignment horizontal="right" vertical="bottom"/>
    </xf>
    <xf numFmtId="0" fontId="12" fillId="2" borderId="1" applyAlignment="1" pivotButton="0" quotePrefix="0" xfId="0">
      <alignment horizontal="general" vertical="bottom"/>
    </xf>
    <xf numFmtId="0" fontId="6" fillId="2" borderId="2" applyAlignment="1" pivotButton="0" quotePrefix="0" xfId="0">
      <alignment horizontal="general" vertical="bottom"/>
    </xf>
    <xf numFmtId="166" fontId="8" fillId="3" borderId="2" applyAlignment="1" pivotButton="0" quotePrefix="0" xfId="0">
      <alignment horizontal="right" vertical="bottom"/>
    </xf>
    <xf numFmtId="166" fontId="8" fillId="3" borderId="3" applyAlignment="1" pivotButton="0" quotePrefix="0" xfId="0">
      <alignment horizontal="right" vertical="bottom"/>
    </xf>
    <xf numFmtId="9" fontId="8" fillId="3" borderId="0" applyAlignment="1" pivotButton="0" quotePrefix="0" xfId="0">
      <alignment horizontal="center" vertical="bottom"/>
    </xf>
    <xf numFmtId="0" fontId="0" fillId="2" borderId="24" applyAlignment="1" pivotButton="0" quotePrefix="0" xfId="0">
      <alignment horizontal="general" vertical="bottom"/>
    </xf>
    <xf numFmtId="0" fontId="12" fillId="3" borderId="25" applyAlignment="1" pivotButton="0" quotePrefix="0" xfId="0">
      <alignment horizontal="general" vertical="bottom"/>
    </xf>
    <xf numFmtId="0" fontId="6" fillId="3" borderId="26" applyAlignment="1" pivotButton="0" quotePrefix="0" xfId="0">
      <alignment horizontal="general" vertical="bottom"/>
    </xf>
    <xf numFmtId="0" fontId="8" fillId="3" borderId="26" applyAlignment="1" pivotButton="0" quotePrefix="0" xfId="0">
      <alignment horizontal="center" vertical="bottom"/>
    </xf>
    <xf numFmtId="166" fontId="8" fillId="3" borderId="26" applyAlignment="1" pivotButton="0" quotePrefix="0" xfId="0">
      <alignment horizontal="right" vertical="bottom"/>
    </xf>
    <xf numFmtId="166" fontId="8" fillId="3" borderId="27" applyAlignment="1" pivotButton="0" quotePrefix="0" xfId="0">
      <alignment horizontal="right" vertical="bottom"/>
    </xf>
    <xf numFmtId="0" fontId="0" fillId="2" borderId="7" applyAlignment="1" pivotButton="0" quotePrefix="0" xfId="0">
      <alignment horizontal="right" vertical="bottom"/>
    </xf>
    <xf numFmtId="0" fontId="0" fillId="2" borderId="8" applyAlignment="1" pivotButton="0" quotePrefix="0" xfId="0">
      <alignment horizontal="right" vertical="bottom"/>
    </xf>
    <xf numFmtId="0" fontId="4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left" vertical="bottom"/>
    </xf>
    <xf numFmtId="0" fontId="12" fillId="2" borderId="0" applyAlignment="1" pivotButton="0" quotePrefix="0" xfId="0">
      <alignment horizontal="center" vertical="bottom"/>
    </xf>
    <xf numFmtId="0" fontId="12" fillId="5" borderId="16" applyAlignment="1" pivotButton="0" quotePrefix="0" xfId="0">
      <alignment horizontal="general" vertical="bottom"/>
    </xf>
    <xf numFmtId="0" fontId="6" fillId="5" borderId="17" applyAlignment="1" pivotButton="0" quotePrefix="0" xfId="0">
      <alignment horizontal="general" vertical="bottom"/>
    </xf>
    <xf numFmtId="168" fontId="12" fillId="5" borderId="17" applyAlignment="1" pivotButton="0" quotePrefix="0" xfId="0">
      <alignment horizontal="right" vertical="bottom"/>
    </xf>
    <xf numFmtId="168" fontId="12" fillId="5" borderId="18" applyAlignment="1" pivotButton="0" quotePrefix="0" xfId="0">
      <alignment horizontal="right" vertical="bottom"/>
    </xf>
    <xf numFmtId="167" fontId="6" fillId="3" borderId="0" applyAlignment="1" pivotButton="0" quotePrefix="0" xfId="0">
      <alignment horizontal="right" vertical="bottom"/>
    </xf>
    <xf numFmtId="167" fontId="6" fillId="3" borderId="5" applyAlignment="1" pivotButton="0" quotePrefix="0" xfId="0">
      <alignment horizontal="right" vertical="bottom"/>
    </xf>
    <xf numFmtId="166" fontId="6" fillId="3" borderId="0" applyAlignment="1" pivotButton="0" quotePrefix="0" xfId="0">
      <alignment horizontal="right" vertical="bottom"/>
    </xf>
    <xf numFmtId="166" fontId="6" fillId="3" borderId="5" applyAlignment="1" pivotButton="0" quotePrefix="0" xfId="0">
      <alignment horizontal="right" vertical="bottom"/>
    </xf>
    <xf numFmtId="0" fontId="12" fillId="2" borderId="26" applyAlignment="1" pivotButton="0" quotePrefix="0" xfId="0">
      <alignment horizontal="general" vertical="bottom"/>
    </xf>
    <xf numFmtId="166" fontId="0" fillId="2" borderId="0" applyAlignment="1" pivotButton="0" quotePrefix="0" xfId="0">
      <alignment horizontal="center" vertical="bottom"/>
    </xf>
    <xf numFmtId="166" fontId="0" fillId="2" borderId="5" applyAlignment="1" pivotButton="0" quotePrefix="0" xfId="0">
      <alignment horizontal="center" vertical="bottom"/>
    </xf>
    <xf numFmtId="0" fontId="12" fillId="5" borderId="4" applyAlignment="1" pivotButton="0" quotePrefix="0" xfId="0">
      <alignment horizontal="general" vertical="bottom"/>
    </xf>
    <xf numFmtId="0" fontId="6" fillId="5" borderId="0" applyAlignment="1" pivotButton="0" quotePrefix="0" xfId="0">
      <alignment horizontal="general" vertical="bottom"/>
    </xf>
    <xf numFmtId="168" fontId="12" fillId="5" borderId="0" applyAlignment="1" pivotButton="0" quotePrefix="0" xfId="0">
      <alignment horizontal="right" vertical="bottom"/>
    </xf>
    <xf numFmtId="168" fontId="12" fillId="5" borderId="5" applyAlignment="1" pivotButton="0" quotePrefix="0" xfId="0">
      <alignment horizontal="right" vertical="bottom"/>
    </xf>
    <xf numFmtId="166" fontId="6" fillId="2" borderId="13" applyAlignment="1" pivotButton="0" quotePrefix="0" xfId="0">
      <alignment horizontal="right" vertical="bottom"/>
    </xf>
    <xf numFmtId="166" fontId="6" fillId="2" borderId="14" applyAlignment="1" pivotButton="0" quotePrefix="0" xfId="0">
      <alignment horizontal="right" vertical="bottom"/>
    </xf>
    <xf numFmtId="167" fontId="12" fillId="2" borderId="0" applyAlignment="1" pivotButton="0" quotePrefix="0" xfId="0">
      <alignment horizontal="right" vertical="bottom"/>
    </xf>
    <xf numFmtId="0" fontId="12" fillId="3" borderId="26" applyAlignment="1" pivotButton="0" quotePrefix="0" xfId="0">
      <alignment horizontal="general" vertical="bottom"/>
    </xf>
    <xf numFmtId="165" fontId="8" fillId="2" borderId="7" applyAlignment="1" pivotButton="0" quotePrefix="0" xfId="0">
      <alignment horizontal="center" vertical="bottom"/>
    </xf>
    <xf numFmtId="165" fontId="8" fillId="2" borderId="8" applyAlignment="1" pivotButton="0" quotePrefix="0" xfId="0">
      <alignment horizontal="center" vertical="bottom"/>
    </xf>
    <xf numFmtId="0" fontId="12" fillId="5" borderId="18" applyAlignment="1" pivotButton="0" quotePrefix="0" xfId="0">
      <alignment horizontal="right" vertical="bottom"/>
    </xf>
    <xf numFmtId="0" fontId="0" fillId="2" borderId="0" applyAlignment="1" pivotButton="0" quotePrefix="0" xfId="0">
      <alignment horizontal="right" vertical="bottom"/>
    </xf>
    <xf numFmtId="0" fontId="0" fillId="2" borderId="5" applyAlignment="1" pivotButton="0" quotePrefix="0" xfId="0">
      <alignment horizontal="right" vertical="bottom"/>
    </xf>
    <xf numFmtId="166" fontId="8" fillId="3" borderId="28" applyAlignment="1" pivotButton="0" quotePrefix="0" xfId="0">
      <alignment horizontal="right" vertical="bottom"/>
    </xf>
    <xf numFmtId="167" fontId="8" fillId="3" borderId="28" applyAlignment="1" pivotButton="0" quotePrefix="0" xfId="0">
      <alignment horizontal="right" vertical="bottom"/>
    </xf>
    <xf numFmtId="0" fontId="12" fillId="2" borderId="2" applyAlignment="1" pivotButton="0" quotePrefix="0" xfId="0">
      <alignment horizontal="general" vertical="bottom"/>
    </xf>
    <xf numFmtId="166" fontId="8" fillId="3" borderId="29" applyAlignment="1" pivotButton="0" quotePrefix="0" xfId="0">
      <alignment horizontal="right" vertical="bottom"/>
    </xf>
    <xf numFmtId="166" fontId="8" fillId="2" borderId="28" applyAlignment="1" pivotButton="0" quotePrefix="0" xfId="0">
      <alignment horizontal="right" vertical="bottom"/>
    </xf>
    <xf numFmtId="166" fontId="8" fillId="6" borderId="28" applyAlignment="1" pivotButton="0" quotePrefix="0" xfId="0">
      <alignment horizontal="right" vertical="bottom"/>
    </xf>
    <xf numFmtId="0" fontId="12" fillId="2" borderId="24" applyAlignment="1" pivotButton="0" quotePrefix="0" xfId="0">
      <alignment horizontal="general" vertical="bottom"/>
    </xf>
    <xf numFmtId="166" fontId="8" fillId="3" borderId="13" applyAlignment="1" pivotButton="0" quotePrefix="0" xfId="0">
      <alignment horizontal="right" vertical="bottom"/>
    </xf>
    <xf numFmtId="166" fontId="8" fillId="6" borderId="30" applyAlignment="1" pivotButton="0" quotePrefix="0" xfId="0">
      <alignment horizontal="right" vertical="bottom"/>
    </xf>
    <xf numFmtId="0" fontId="12" fillId="3" borderId="6" applyAlignment="1" pivotButton="0" quotePrefix="0" xfId="0">
      <alignment horizontal="general" vertical="bottom"/>
    </xf>
    <xf numFmtId="0" fontId="6" fillId="3" borderId="7" applyAlignment="1" pivotButton="0" quotePrefix="0" xfId="0">
      <alignment horizontal="general" vertical="bottom"/>
    </xf>
    <xf numFmtId="166" fontId="8" fillId="3" borderId="7" applyAlignment="1" pivotButton="0" quotePrefix="0" xfId="0">
      <alignment horizontal="right" vertical="bottom"/>
    </xf>
    <xf numFmtId="166" fontId="8" fillId="6" borderId="31" applyAlignment="1" pivotButton="0" quotePrefix="0" xfId="0">
      <alignment horizontal="right" vertical="bottom"/>
    </xf>
    <xf numFmtId="167" fontId="0" fillId="2" borderId="0" applyAlignment="1" pivotButton="0" quotePrefix="0" xfId="0">
      <alignment horizontal="center" vertical="bottom"/>
    </xf>
    <xf numFmtId="169" fontId="0" fillId="2" borderId="0" applyAlignment="1" pivotButton="0" quotePrefix="0" xfId="0">
      <alignment horizontal="center" vertical="bottom"/>
    </xf>
    <xf numFmtId="167" fontId="0" fillId="2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general" vertical="bottom"/>
    </xf>
    <xf numFmtId="0" fontId="0" fillId="2" borderId="16" applyAlignment="1" pivotButton="0" quotePrefix="0" xfId="0">
      <alignment horizontal="general" vertical="bottom"/>
    </xf>
    <xf numFmtId="170" fontId="6" fillId="2" borderId="18" applyAlignment="1" pivotButton="0" quotePrefix="0" xfId="19">
      <alignment horizontal="center" vertical="bottom"/>
    </xf>
    <xf numFmtId="167" fontId="0" fillId="2" borderId="0" applyAlignment="1" pivotButton="0" quotePrefix="0" xfId="0">
      <alignment horizontal="center" vertical="bottom"/>
    </xf>
    <xf numFmtId="167" fontId="12" fillId="2" borderId="32" applyAlignment="1" pivotButton="0" quotePrefix="0" xfId="0">
      <alignment horizontal="center" vertical="bottom" wrapText="1"/>
    </xf>
    <xf numFmtId="10" fontId="6" fillId="3" borderId="5" applyAlignment="1" pivotButton="0" quotePrefix="0" xfId="19">
      <alignment horizontal="center" vertical="bottom"/>
    </xf>
    <xf numFmtId="167" fontId="0" fillId="2" borderId="0" applyAlignment="1" pivotButton="0" quotePrefix="0" xfId="19">
      <alignment horizontal="center" vertical="bottom"/>
    </xf>
    <xf numFmtId="166" fontId="6" fillId="3" borderId="5" applyAlignment="1" pivotButton="0" quotePrefix="0" xfId="0">
      <alignment horizontal="center" vertical="bottom"/>
    </xf>
    <xf numFmtId="3" fontId="6" fillId="2" borderId="5" applyAlignment="1" pivotButton="0" quotePrefix="0" xfId="0">
      <alignment horizontal="center" vertical="bottom"/>
    </xf>
    <xf numFmtId="171" fontId="6" fillId="3" borderId="8" applyAlignment="1" pivotButton="0" quotePrefix="0" xfId="0">
      <alignment horizontal="center" vertical="bottom"/>
    </xf>
    <xf numFmtId="171" fontId="0" fillId="2" borderId="0" applyAlignment="1" pivotButton="0" quotePrefix="0" xfId="0">
      <alignment horizontal="general" vertical="bottom"/>
    </xf>
    <xf numFmtId="0" fontId="12" fillId="2" borderId="16" applyAlignment="1" pivotButton="0" quotePrefix="0" xfId="0">
      <alignment horizontal="center" vertical="bottom"/>
    </xf>
    <xf numFmtId="167" fontId="12" fillId="2" borderId="17" applyAlignment="1" pivotButton="0" quotePrefix="0" xfId="0">
      <alignment horizontal="center" vertical="bottom"/>
    </xf>
    <xf numFmtId="169" fontId="12" fillId="2" borderId="17" applyAlignment="1" pivotButton="0" quotePrefix="0" xfId="0">
      <alignment horizontal="center" vertical="bottom"/>
    </xf>
    <xf numFmtId="167" fontId="12" fillId="2" borderId="18" applyAlignment="1" pivotButton="0" quotePrefix="0" xfId="0">
      <alignment horizontal="center" vertical="bottom"/>
    </xf>
    <xf numFmtId="0" fontId="0" fillId="2" borderId="24" applyAlignment="1" pivotButton="0" quotePrefix="0" xfId="0">
      <alignment horizontal="right" vertical="bottom" indent="3"/>
    </xf>
    <xf numFmtId="166" fontId="6" fillId="3" borderId="13" applyAlignment="1" pivotButton="0" quotePrefix="0" xfId="0">
      <alignment horizontal="right" vertical="bottom" indent="2"/>
    </xf>
    <xf numFmtId="166" fontId="6" fillId="3" borderId="13" applyAlignment="1" pivotButton="0" quotePrefix="0" xfId="0">
      <alignment horizontal="center" vertical="bottom"/>
    </xf>
    <xf numFmtId="166" fontId="6" fillId="3" borderId="13" applyAlignment="1" pivotButton="0" quotePrefix="0" xfId="19">
      <alignment horizontal="right" vertical="bottom" indent="1"/>
    </xf>
    <xf numFmtId="166" fontId="6" fillId="3" borderId="14" applyAlignment="1" pivotButton="0" quotePrefix="0" xfId="0">
      <alignment horizontal="right" vertical="bottom" indent="1"/>
    </xf>
    <xf numFmtId="0" fontId="0" fillId="2" borderId="1" applyAlignment="1" pivotButton="0" quotePrefix="0" xfId="0">
      <alignment horizontal="right" vertical="bottom" indent="3"/>
    </xf>
    <xf numFmtId="167" fontId="6" fillId="3" borderId="2" applyAlignment="1" pivotButton="0" quotePrefix="0" xfId="0">
      <alignment horizontal="right" vertical="bottom" indent="2"/>
    </xf>
    <xf numFmtId="167" fontId="6" fillId="3" borderId="2" applyAlignment="1" pivotButton="0" quotePrefix="0" xfId="0">
      <alignment horizontal="right" vertical="bottom" indent="3"/>
    </xf>
    <xf numFmtId="167" fontId="6" fillId="3" borderId="2" applyAlignment="1" pivotButton="0" quotePrefix="0" xfId="19">
      <alignment horizontal="right" vertical="bottom" indent="1"/>
    </xf>
    <xf numFmtId="0" fontId="0" fillId="2" borderId="21" applyAlignment="1" pivotButton="0" quotePrefix="0" xfId="0">
      <alignment horizontal="right" vertical="bottom" indent="3"/>
    </xf>
    <xf numFmtId="167" fontId="6" fillId="3" borderId="22" applyAlignment="1" pivotButton="0" quotePrefix="0" xfId="0">
      <alignment horizontal="right" vertical="bottom" indent="2"/>
    </xf>
    <xf numFmtId="167" fontId="6" fillId="3" borderId="22" applyAlignment="1" pivotButton="0" quotePrefix="0" xfId="0">
      <alignment horizontal="right" vertical="bottom" indent="3"/>
    </xf>
    <xf numFmtId="167" fontId="6" fillId="3" borderId="22" applyAlignment="1" pivotButton="0" quotePrefix="0" xfId="19">
      <alignment horizontal="right" vertical="bottom" indent="1"/>
    </xf>
    <xf numFmtId="166" fontId="6" fillId="3" borderId="8" applyAlignment="1" pivotButton="0" quotePrefix="0" xfId="0">
      <alignment horizontal="right" vertical="bottom" indent="1"/>
    </xf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center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2" borderId="2" applyAlignment="1" pivotButton="0" quotePrefix="0" xfId="0">
      <alignment horizontal="center" vertical="bottom"/>
    </xf>
    <xf numFmtId="0" fontId="0" fillId="2" borderId="3" applyAlignment="1" pivotButton="0" quotePrefix="0" xfId="0">
      <alignment horizontal="center" vertical="bottom"/>
    </xf>
    <xf numFmtId="0" fontId="7" fillId="2" borderId="0" applyAlignment="1" pivotButton="0" quotePrefix="0" xfId="0">
      <alignment horizontal="general" vertical="bottom"/>
    </xf>
    <xf numFmtId="0" fontId="8" fillId="3" borderId="4" applyAlignment="1" pivotButton="0" quotePrefix="0" xfId="0">
      <alignment horizontal="general" vertical="bottom"/>
    </xf>
    <xf numFmtId="0" fontId="0" fillId="3" borderId="0" applyAlignment="1" pivotButton="0" quotePrefix="0" xfId="0">
      <alignment horizontal="center" vertical="bottom"/>
    </xf>
    <xf numFmtId="0" fontId="0" fillId="3" borderId="5" applyAlignment="1" pivotButton="0" quotePrefix="0" xfId="0">
      <alignment horizontal="center" vertical="bottom"/>
    </xf>
    <xf numFmtId="0" fontId="6" fillId="3" borderId="6" applyAlignment="1" pivotButton="0" quotePrefix="0" xfId="0">
      <alignment horizontal="general" vertical="bottom"/>
    </xf>
    <xf numFmtId="0" fontId="0" fillId="3" borderId="7" applyAlignment="1" pivotButton="0" quotePrefix="0" xfId="0">
      <alignment horizontal="center" vertical="bottom"/>
    </xf>
    <xf numFmtId="0" fontId="0" fillId="3" borderId="8" applyAlignment="1" pivotButton="0" quotePrefix="0" xfId="0">
      <alignment horizontal="center" vertical="bottom"/>
    </xf>
    <xf numFmtId="0" fontId="10" fillId="2" borderId="0" applyAlignment="1" pivotButton="0" quotePrefix="0" xfId="0">
      <alignment horizontal="general" vertical="bottom"/>
    </xf>
    <xf numFmtId="0" fontId="11" fillId="4" borderId="9" applyAlignment="1" pivotButton="0" quotePrefix="0" xfId="0">
      <alignment horizontal="left" vertical="bottom"/>
    </xf>
    <xf numFmtId="0" fontId="7" fillId="4" borderId="10" applyAlignment="1" pivotButton="0" quotePrefix="0" xfId="0">
      <alignment horizontal="general" vertical="bottom"/>
    </xf>
    <xf numFmtId="0" fontId="7" fillId="4" borderId="11" applyAlignment="1" pivotButton="0" quotePrefix="0" xfId="0">
      <alignment horizontal="general" vertical="bottom"/>
    </xf>
    <xf numFmtId="0" fontId="6" fillId="2" borderId="12" applyAlignment="1" pivotButton="0" quotePrefix="0" xfId="0">
      <alignment horizontal="left" vertical="top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2" borderId="0" applyAlignment="1" pivotButton="0" quotePrefix="0" xfId="0">
      <alignment horizontal="left" vertical="bottom"/>
    </xf>
    <xf numFmtId="0" fontId="8" fillId="2" borderId="4" applyAlignment="1" pivotButton="0" quotePrefix="0" xfId="0">
      <alignment horizontal="left" vertical="bottom"/>
    </xf>
    <xf numFmtId="0" fontId="0" fillId="2" borderId="5" applyAlignment="1" pivotButton="0" quotePrefix="0" xfId="0">
      <alignment horizontal="general" vertical="bottom"/>
    </xf>
    <xf numFmtId="0" fontId="12" fillId="2" borderId="4" applyAlignment="1" pivotButton="0" quotePrefix="0" xfId="0">
      <alignment horizontal="left" vertical="bottom"/>
    </xf>
    <xf numFmtId="0" fontId="6" fillId="2" borderId="4" applyAlignment="1" pivotButton="0" quotePrefix="0" xfId="0">
      <alignment horizontal="left" vertical="bottom"/>
    </xf>
    <xf numFmtId="0" fontId="13" fillId="2" borderId="0" applyAlignment="1" pivotButton="0" quotePrefix="0" xfId="0">
      <alignment horizontal="center" vertical="bottom"/>
    </xf>
    <xf numFmtId="0" fontId="13" fillId="2" borderId="5" applyAlignment="1" pivotButton="0" quotePrefix="0" xfId="0">
      <alignment horizontal="center" vertical="bottom"/>
    </xf>
    <xf numFmtId="0" fontId="6" fillId="2" borderId="4" applyAlignment="1" pivotButton="0" quotePrefix="0" xfId="0">
      <alignment horizontal="right" vertical="bottom" indent="2"/>
    </xf>
    <xf numFmtId="3" fontId="12" fillId="2" borderId="0" applyAlignment="1" pivotButton="0" quotePrefix="0" xfId="0">
      <alignment horizontal="center" vertical="bottom"/>
    </xf>
    <xf numFmtId="3" fontId="12" fillId="2" borderId="5" applyAlignment="1" pivotButton="0" quotePrefix="0" xfId="0">
      <alignment horizontal="center" vertical="bottom"/>
    </xf>
    <xf numFmtId="164" fontId="12" fillId="2" borderId="13" applyAlignment="1" pivotButton="0" quotePrefix="0" xfId="0">
      <alignment horizontal="center" vertical="bottom"/>
    </xf>
    <xf numFmtId="164" fontId="12" fillId="2" borderId="14" applyAlignment="1" pivotButton="0" quotePrefix="0" xfId="0">
      <alignment horizontal="center" vertical="bottom"/>
    </xf>
    <xf numFmtId="165" fontId="8" fillId="3" borderId="0" applyAlignment="1" pivotButton="0" quotePrefix="0" xfId="0">
      <alignment horizontal="center" vertical="bottom"/>
    </xf>
    <xf numFmtId="165" fontId="8" fillId="3" borderId="5" applyAlignment="1" pivotButton="0" quotePrefix="0" xfId="0">
      <alignment horizontal="center" vertical="bottom"/>
    </xf>
    <xf numFmtId="0" fontId="6" fillId="2" borderId="4" applyAlignment="1" pivotButton="0" quotePrefix="0" xfId="0">
      <alignment horizontal="center" vertical="bottom"/>
    </xf>
    <xf numFmtId="165" fontId="6" fillId="2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general" vertical="bottom"/>
    </xf>
    <xf numFmtId="0" fontId="6" fillId="2" borderId="5" applyAlignment="1" pivotButton="0" quotePrefix="0" xfId="0">
      <alignment horizontal="general" vertical="bottom"/>
    </xf>
    <xf numFmtId="3" fontId="0" fillId="2" borderId="0" applyAlignment="1" pivotButton="0" quotePrefix="0" xfId="0">
      <alignment horizontal="center" vertical="bottom"/>
    </xf>
    <xf numFmtId="0" fontId="12" fillId="2" borderId="4" applyAlignment="1" pivotButton="0" quotePrefix="0" xfId="0">
      <alignment horizontal="general" vertical="bottom"/>
    </xf>
    <xf numFmtId="0" fontId="6" fillId="2" borderId="4" applyAlignment="1" pivotButton="0" quotePrefix="0" xfId="0">
      <alignment horizontal="general" vertical="bottom"/>
    </xf>
    <xf numFmtId="0" fontId="9" fillId="3" borderId="0" applyAlignment="1" pivotButton="0" quotePrefix="0" xfId="0">
      <alignment horizontal="center" vertical="bottom"/>
    </xf>
    <xf numFmtId="0" fontId="9" fillId="3" borderId="5" applyAlignment="1" pivotButton="0" quotePrefix="0" xfId="0">
      <alignment horizontal="center" vertical="bottom"/>
    </xf>
    <xf numFmtId="10" fontId="12" fillId="2" borderId="0" applyAlignment="1" pivotButton="0" quotePrefix="0" xfId="0">
      <alignment horizontal="center" vertical="bottom"/>
    </xf>
    <xf numFmtId="10" fontId="12" fillId="2" borderId="5" applyAlignment="1" pivotButton="0" quotePrefix="0" xfId="0">
      <alignment horizontal="center" vertical="bottom"/>
    </xf>
    <xf numFmtId="0" fontId="14" fillId="2" borderId="0" applyAlignment="1" pivotButton="0" quotePrefix="0" xfId="0">
      <alignment horizontal="center" vertical="bottom"/>
    </xf>
    <xf numFmtId="0" fontId="14" fillId="2" borderId="5" applyAlignment="1" pivotButton="0" quotePrefix="0" xfId="0">
      <alignment horizontal="center" vertical="bottom"/>
    </xf>
    <xf numFmtId="166" fontId="8" fillId="3" borderId="0" applyAlignment="1" pivotButton="0" quotePrefix="0" xfId="0">
      <alignment horizontal="center" vertical="bottom"/>
    </xf>
    <xf numFmtId="166" fontId="12" fillId="2" borderId="0" applyAlignment="1" pivotButton="0" quotePrefix="0" xfId="0">
      <alignment horizontal="center" vertical="bottom"/>
    </xf>
    <xf numFmtId="0" fontId="6" fillId="2" borderId="4" applyAlignment="1" pivotButton="0" quotePrefix="0" xfId="0">
      <alignment horizontal="right" vertical="bottom" indent="9"/>
    </xf>
    <xf numFmtId="9" fontId="12" fillId="2" borderId="15" applyAlignment="1" pivotButton="0" quotePrefix="0" xfId="0">
      <alignment horizontal="center" vertical="bottom"/>
    </xf>
    <xf numFmtId="9" fontId="12" fillId="2" borderId="0" applyAlignment="1" pivotButton="0" quotePrefix="0" xfId="0">
      <alignment horizontal="center" vertical="bottom"/>
    </xf>
    <xf numFmtId="167" fontId="12" fillId="2" borderId="15" applyAlignment="1" pivotButton="0" quotePrefix="0" xfId="0">
      <alignment horizontal="center" vertical="bottom"/>
    </xf>
    <xf numFmtId="167" fontId="12" fillId="2" borderId="0" applyAlignment="1" pivotButton="0" quotePrefix="0" xfId="0">
      <alignment horizontal="center" vertical="bottom"/>
    </xf>
    <xf numFmtId="9" fontId="0" fillId="2" borderId="0" applyAlignment="1" pivotButton="0" quotePrefix="0" xfId="0">
      <alignment horizontal="center" vertical="bottom"/>
    </xf>
    <xf numFmtId="0" fontId="12" fillId="2" borderId="4" applyAlignment="1" pivotButton="0" quotePrefix="0" xfId="0">
      <alignment horizontal="general" vertical="bottom" wrapText="1"/>
    </xf>
    <xf numFmtId="166" fontId="12" fillId="2" borderId="15" applyAlignment="1" pivotButton="0" quotePrefix="0" xfId="0">
      <alignment horizontal="center" vertical="top"/>
    </xf>
    <xf numFmtId="0" fontId="0" fillId="2" borderId="6" applyAlignment="1" pivotButton="0" quotePrefix="0" xfId="0">
      <alignment horizontal="general" vertical="bottom"/>
    </xf>
    <xf numFmtId="0" fontId="0" fillId="2" borderId="7" applyAlignment="1" pivotButton="0" quotePrefix="0" xfId="0">
      <alignment horizontal="general" vertical="bottom"/>
    </xf>
    <xf numFmtId="0" fontId="0" fillId="2" borderId="8" applyAlignment="1" pivotButton="0" quotePrefix="0" xfId="0">
      <alignment horizontal="general" vertical="bottom"/>
    </xf>
    <xf numFmtId="0" fontId="15" fillId="4" borderId="9" applyAlignment="1" pivotButton="0" quotePrefix="0" xfId="0">
      <alignment horizontal="general" vertical="bottom"/>
    </xf>
    <xf numFmtId="0" fontId="7" fillId="4" borderId="10" applyAlignment="1" pivotButton="0" quotePrefix="0" xfId="0">
      <alignment horizontal="center" vertical="bottom"/>
    </xf>
    <xf numFmtId="0" fontId="7" fillId="4" borderId="11" applyAlignment="1" pivotButton="0" quotePrefix="0" xfId="0">
      <alignment horizontal="center" vertical="bottom"/>
    </xf>
    <xf numFmtId="0" fontId="0" fillId="2" borderId="4" applyAlignment="1" pivotButton="0" quotePrefix="0" xfId="0">
      <alignment horizontal="general" vertical="bottom"/>
    </xf>
    <xf numFmtId="0" fontId="12" fillId="2" borderId="0" applyAlignment="1" pivotButton="0" quotePrefix="0" xfId="0">
      <alignment horizontal="left" vertical="bottom"/>
    </xf>
    <xf numFmtId="10" fontId="6" fillId="2" borderId="0" applyAlignment="1" pivotButton="0" quotePrefix="0" xfId="0">
      <alignment horizontal="center" vertical="bottom"/>
    </xf>
    <xf numFmtId="10" fontId="6" fillId="2" borderId="5" applyAlignment="1" pivotButton="0" quotePrefix="0" xfId="0">
      <alignment horizontal="center" vertical="bottom"/>
    </xf>
    <xf numFmtId="0" fontId="6" fillId="2" borderId="7" applyAlignment="1" pivotButton="0" quotePrefix="0" xfId="0">
      <alignment horizontal="general" vertical="bottom"/>
    </xf>
    <xf numFmtId="0" fontId="0" fillId="2" borderId="7" applyAlignment="1" pivotButton="0" quotePrefix="0" xfId="0">
      <alignment horizontal="center" vertical="bottom"/>
    </xf>
    <xf numFmtId="10" fontId="6" fillId="2" borderId="7" applyAlignment="1" pivotButton="0" quotePrefix="0" xfId="0">
      <alignment horizontal="center" vertical="bottom"/>
    </xf>
    <xf numFmtId="10" fontId="6" fillId="2" borderId="8" applyAlignment="1" pivotButton="0" quotePrefix="0" xfId="0">
      <alignment horizontal="center" vertical="bottom"/>
    </xf>
    <xf numFmtId="0" fontId="0" fillId="5" borderId="16" applyAlignment="1" pivotButton="0" quotePrefix="0" xfId="0">
      <alignment horizontal="general" vertical="bottom"/>
    </xf>
    <xf numFmtId="0" fontId="0" fillId="5" borderId="17" applyAlignment="1" pivotButton="0" quotePrefix="0" xfId="0">
      <alignment horizontal="general" vertical="bottom"/>
    </xf>
    <xf numFmtId="0" fontId="0" fillId="5" borderId="17" applyAlignment="1" pivotButton="0" quotePrefix="0" xfId="0">
      <alignment horizontal="center" vertical="bottom"/>
    </xf>
    <xf numFmtId="168" fontId="16" fillId="5" borderId="17" applyAlignment="1" pivotButton="0" quotePrefix="0" xfId="0">
      <alignment horizontal="right" vertical="bottom"/>
    </xf>
    <xf numFmtId="168" fontId="16" fillId="5" borderId="18" applyAlignment="1" pivotButton="0" quotePrefix="0" xfId="0">
      <alignment horizontal="right" vertical="bottom"/>
    </xf>
    <xf numFmtId="166" fontId="0" fillId="2" borderId="0" applyAlignment="1" pivotButton="0" quotePrefix="0" xfId="0">
      <alignment horizontal="right" vertical="bottom"/>
    </xf>
    <xf numFmtId="166" fontId="0" fillId="2" borderId="5" applyAlignment="1" pivotButton="0" quotePrefix="0" xfId="0">
      <alignment horizontal="right" vertical="bottom"/>
    </xf>
    <xf numFmtId="166" fontId="8" fillId="3" borderId="0" applyAlignment="1" pivotButton="0" quotePrefix="0" xfId="0">
      <alignment horizontal="right" vertical="bottom"/>
    </xf>
    <xf numFmtId="166" fontId="8" fillId="3" borderId="5" applyAlignment="1" pivotButton="0" quotePrefix="0" xfId="0">
      <alignment horizontal="right" vertical="bottom"/>
    </xf>
    <xf numFmtId="0" fontId="6" fillId="2" borderId="13" applyAlignment="1" pivotButton="0" quotePrefix="0" xfId="0">
      <alignment horizontal="general" vertical="bottom"/>
    </xf>
    <xf numFmtId="0" fontId="0" fillId="2" borderId="13" applyAlignment="1" pivotButton="0" quotePrefix="0" xfId="0">
      <alignment horizontal="center" vertical="bottom"/>
    </xf>
    <xf numFmtId="167" fontId="8" fillId="3" borderId="13" applyAlignment="1" pivotButton="0" quotePrefix="0" xfId="0">
      <alignment horizontal="right" vertical="bottom"/>
    </xf>
    <xf numFmtId="167" fontId="8" fillId="3" borderId="14" applyAlignment="1" pivotButton="0" quotePrefix="0" xfId="0">
      <alignment horizontal="right" vertical="bottom"/>
    </xf>
    <xf numFmtId="0" fontId="12" fillId="2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bottom"/>
    </xf>
    <xf numFmtId="166" fontId="8" fillId="2" borderId="0" applyAlignment="1" pivotButton="0" quotePrefix="0" xfId="0">
      <alignment horizontal="right" vertical="bottom"/>
    </xf>
    <xf numFmtId="166" fontId="8" fillId="2" borderId="5" applyAlignment="1" pivotButton="0" quotePrefix="0" xfId="0">
      <alignment horizontal="right" vertical="bottom"/>
    </xf>
    <xf numFmtId="166" fontId="17" fillId="2" borderId="0" applyAlignment="1" pivotButton="0" quotePrefix="0" xfId="0">
      <alignment horizontal="right" vertical="bottom"/>
    </xf>
    <xf numFmtId="166" fontId="17" fillId="2" borderId="5" applyAlignment="1" pivotButton="0" quotePrefix="0" xfId="0">
      <alignment horizontal="right" vertical="bottom"/>
    </xf>
    <xf numFmtId="166" fontId="17" fillId="2" borderId="13" applyAlignment="1" pivotButton="0" quotePrefix="0" xfId="0">
      <alignment horizontal="right" vertical="bottom"/>
    </xf>
    <xf numFmtId="166" fontId="17" fillId="2" borderId="14" applyAlignment="1" pivotButton="0" quotePrefix="0" xfId="0">
      <alignment horizontal="right" vertical="bottom"/>
    </xf>
    <xf numFmtId="0" fontId="12" fillId="2" borderId="19" applyAlignment="1" pivotButton="0" quotePrefix="0" xfId="0">
      <alignment horizontal="general" vertical="bottom"/>
    </xf>
    <xf numFmtId="0" fontId="8" fillId="2" borderId="19" applyAlignment="1" pivotButton="0" quotePrefix="0" xfId="0">
      <alignment horizontal="center" vertical="bottom"/>
    </xf>
    <xf numFmtId="166" fontId="6" fillId="2" borderId="0" applyAlignment="1" pivotButton="0" quotePrefix="0" xfId="0">
      <alignment horizontal="right" vertical="bottom"/>
    </xf>
    <xf numFmtId="167" fontId="6" fillId="2" borderId="0" applyAlignment="1" pivotButton="0" quotePrefix="0" xfId="0">
      <alignment horizontal="right" vertical="bottom"/>
    </xf>
    <xf numFmtId="167" fontId="8" fillId="3" borderId="0" applyAlignment="1" pivotButton="0" quotePrefix="0" xfId="0">
      <alignment horizontal="right" vertical="bottom"/>
    </xf>
    <xf numFmtId="167" fontId="8" fillId="3" borderId="5" applyAlignment="1" pivotButton="0" quotePrefix="0" xfId="0">
      <alignment horizontal="right" vertical="bottom"/>
    </xf>
    <xf numFmtId="166" fontId="8" fillId="3" borderId="19" applyAlignment="1" pivotButton="0" quotePrefix="0" xfId="0">
      <alignment horizontal="right" vertical="bottom"/>
    </xf>
    <xf numFmtId="166" fontId="8" fillId="3" borderId="20" applyAlignment="1" pivotButton="0" quotePrefix="0" xfId="0">
      <alignment horizontal="right" vertical="bottom"/>
    </xf>
    <xf numFmtId="0" fontId="12" fillId="2" borderId="21" applyAlignment="1" pivotButton="0" quotePrefix="0" xfId="0">
      <alignment horizontal="general" vertical="bottom"/>
    </xf>
    <xf numFmtId="0" fontId="6" fillId="2" borderId="22" applyAlignment="1" pivotButton="0" quotePrefix="0" xfId="0">
      <alignment horizontal="general" vertical="bottom"/>
    </xf>
    <xf numFmtId="0" fontId="0" fillId="2" borderId="22" applyAlignment="1" pivotButton="0" quotePrefix="0" xfId="0">
      <alignment horizontal="center" vertical="bottom"/>
    </xf>
    <xf numFmtId="166" fontId="8" fillId="3" borderId="22" applyAlignment="1" pivotButton="0" quotePrefix="0" xfId="0">
      <alignment horizontal="right" vertical="bottom"/>
    </xf>
    <xf numFmtId="166" fontId="8" fillId="3" borderId="23" applyAlignment="1" pivotButton="0" quotePrefix="0" xfId="0">
      <alignment horizontal="right" vertical="bottom"/>
    </xf>
    <xf numFmtId="166" fontId="6" fillId="2" borderId="5" applyAlignment="1" pivotButton="0" quotePrefix="0" xfId="0">
      <alignment horizontal="right" vertical="bottom"/>
    </xf>
    <xf numFmtId="167" fontId="6" fillId="2" borderId="5" applyAlignment="1" pivotButton="0" quotePrefix="0" xfId="0">
      <alignment horizontal="right" vertical="bottom"/>
    </xf>
    <xf numFmtId="0" fontId="12" fillId="2" borderId="1" applyAlignment="1" pivotButton="0" quotePrefix="0" xfId="0">
      <alignment horizontal="general" vertical="bottom"/>
    </xf>
    <xf numFmtId="0" fontId="6" fillId="2" borderId="2" applyAlignment="1" pivotButton="0" quotePrefix="0" xfId="0">
      <alignment horizontal="general" vertical="bottom"/>
    </xf>
    <xf numFmtId="166" fontId="8" fillId="3" borderId="2" applyAlignment="1" pivotButton="0" quotePrefix="0" xfId="0">
      <alignment horizontal="right" vertical="bottom"/>
    </xf>
    <xf numFmtId="166" fontId="8" fillId="3" borderId="3" applyAlignment="1" pivotButton="0" quotePrefix="0" xfId="0">
      <alignment horizontal="right" vertical="bottom"/>
    </xf>
    <xf numFmtId="9" fontId="8" fillId="3" borderId="0" applyAlignment="1" pivotButton="0" quotePrefix="0" xfId="0">
      <alignment horizontal="center" vertical="bottom"/>
    </xf>
    <xf numFmtId="0" fontId="0" fillId="2" borderId="24" applyAlignment="1" pivotButton="0" quotePrefix="0" xfId="0">
      <alignment horizontal="general" vertical="bottom"/>
    </xf>
    <xf numFmtId="0" fontId="12" fillId="3" borderId="25" applyAlignment="1" pivotButton="0" quotePrefix="0" xfId="0">
      <alignment horizontal="general" vertical="bottom"/>
    </xf>
    <xf numFmtId="0" fontId="6" fillId="3" borderId="26" applyAlignment="1" pivotButton="0" quotePrefix="0" xfId="0">
      <alignment horizontal="general" vertical="bottom"/>
    </xf>
    <xf numFmtId="0" fontId="8" fillId="3" borderId="26" applyAlignment="1" pivotButton="0" quotePrefix="0" xfId="0">
      <alignment horizontal="center" vertical="bottom"/>
    </xf>
    <xf numFmtId="166" fontId="8" fillId="3" borderId="26" applyAlignment="1" pivotButton="0" quotePrefix="0" xfId="0">
      <alignment horizontal="right" vertical="bottom"/>
    </xf>
    <xf numFmtId="166" fontId="8" fillId="3" borderId="27" applyAlignment="1" pivotButton="0" quotePrefix="0" xfId="0">
      <alignment horizontal="right" vertical="bottom"/>
    </xf>
    <xf numFmtId="0" fontId="0" fillId="2" borderId="7" applyAlignment="1" pivotButton="0" quotePrefix="0" xfId="0">
      <alignment horizontal="right" vertical="bottom"/>
    </xf>
    <xf numFmtId="0" fontId="0" fillId="2" borderId="8" applyAlignment="1" pivotButton="0" quotePrefix="0" xfId="0">
      <alignment horizontal="right" vertical="bottom"/>
    </xf>
    <xf numFmtId="0" fontId="6" fillId="2" borderId="0" applyAlignment="1" pivotButton="0" quotePrefix="0" xfId="0">
      <alignment horizontal="left" vertical="bottom"/>
    </xf>
    <xf numFmtId="0" fontId="12" fillId="2" borderId="0" applyAlignment="1" pivotButton="0" quotePrefix="0" xfId="0">
      <alignment horizontal="center" vertical="bottom"/>
    </xf>
    <xf numFmtId="0" fontId="12" fillId="5" borderId="16" applyAlignment="1" pivotButton="0" quotePrefix="0" xfId="0">
      <alignment horizontal="general" vertical="bottom"/>
    </xf>
    <xf numFmtId="0" fontId="6" fillId="5" borderId="17" applyAlignment="1" pivotButton="0" quotePrefix="0" xfId="0">
      <alignment horizontal="general" vertical="bottom"/>
    </xf>
    <xf numFmtId="168" fontId="12" fillId="5" borderId="17" applyAlignment="1" pivotButton="0" quotePrefix="0" xfId="0">
      <alignment horizontal="right" vertical="bottom"/>
    </xf>
    <xf numFmtId="168" fontId="12" fillId="5" borderId="18" applyAlignment="1" pivotButton="0" quotePrefix="0" xfId="0">
      <alignment horizontal="right" vertical="bottom"/>
    </xf>
    <xf numFmtId="167" fontId="6" fillId="3" borderId="0" applyAlignment="1" pivotButton="0" quotePrefix="0" xfId="0">
      <alignment horizontal="right" vertical="bottom"/>
    </xf>
    <xf numFmtId="167" fontId="6" fillId="3" borderId="5" applyAlignment="1" pivotButton="0" quotePrefix="0" xfId="0">
      <alignment horizontal="right" vertical="bottom"/>
    </xf>
    <xf numFmtId="166" fontId="6" fillId="3" borderId="0" applyAlignment="1" pivotButton="0" quotePrefix="0" xfId="0">
      <alignment horizontal="right" vertical="bottom"/>
    </xf>
    <xf numFmtId="166" fontId="6" fillId="3" borderId="5" applyAlignment="1" pivotButton="0" quotePrefix="0" xfId="0">
      <alignment horizontal="right" vertical="bottom"/>
    </xf>
    <xf numFmtId="0" fontId="12" fillId="2" borderId="26" applyAlignment="1" pivotButton="0" quotePrefix="0" xfId="0">
      <alignment horizontal="general" vertical="bottom"/>
    </xf>
    <xf numFmtId="166" fontId="0" fillId="2" borderId="0" applyAlignment="1" pivotButton="0" quotePrefix="0" xfId="0">
      <alignment horizontal="center" vertical="bottom"/>
    </xf>
    <xf numFmtId="166" fontId="0" fillId="2" borderId="5" applyAlignment="1" pivotButton="0" quotePrefix="0" xfId="0">
      <alignment horizontal="center" vertical="bottom"/>
    </xf>
    <xf numFmtId="0" fontId="12" fillId="5" borderId="4" applyAlignment="1" pivotButton="0" quotePrefix="0" xfId="0">
      <alignment horizontal="general" vertical="bottom"/>
    </xf>
    <xf numFmtId="0" fontId="6" fillId="5" borderId="0" applyAlignment="1" pivotButton="0" quotePrefix="0" xfId="0">
      <alignment horizontal="general" vertical="bottom"/>
    </xf>
    <xf numFmtId="168" fontId="12" fillId="5" borderId="0" applyAlignment="1" pivotButton="0" quotePrefix="0" xfId="0">
      <alignment horizontal="right" vertical="bottom"/>
    </xf>
    <xf numFmtId="168" fontId="12" fillId="5" borderId="5" applyAlignment="1" pivotButton="0" quotePrefix="0" xfId="0">
      <alignment horizontal="right" vertical="bottom"/>
    </xf>
    <xf numFmtId="166" fontId="6" fillId="2" borderId="13" applyAlignment="1" pivotButton="0" quotePrefix="0" xfId="0">
      <alignment horizontal="right" vertical="bottom"/>
    </xf>
    <xf numFmtId="166" fontId="6" fillId="2" borderId="14" applyAlignment="1" pivotButton="0" quotePrefix="0" xfId="0">
      <alignment horizontal="right" vertical="bottom"/>
    </xf>
    <xf numFmtId="167" fontId="12" fillId="2" borderId="0" applyAlignment="1" pivotButton="0" quotePrefix="0" xfId="0">
      <alignment horizontal="right" vertical="bottom"/>
    </xf>
    <xf numFmtId="0" fontId="12" fillId="3" borderId="26" applyAlignment="1" pivotButton="0" quotePrefix="0" xfId="0">
      <alignment horizontal="general" vertical="bottom"/>
    </xf>
    <xf numFmtId="165" fontId="8" fillId="2" borderId="7" applyAlignment="1" pivotButton="0" quotePrefix="0" xfId="0">
      <alignment horizontal="center" vertical="bottom"/>
    </xf>
    <xf numFmtId="165" fontId="8" fillId="2" borderId="8" applyAlignment="1" pivotButton="0" quotePrefix="0" xfId="0">
      <alignment horizontal="center" vertical="bottom"/>
    </xf>
    <xf numFmtId="0" fontId="12" fillId="5" borderId="18" applyAlignment="1" pivotButton="0" quotePrefix="0" xfId="0">
      <alignment horizontal="right" vertical="bottom"/>
    </xf>
    <xf numFmtId="0" fontId="0" fillId="2" borderId="0" applyAlignment="1" pivotButton="0" quotePrefix="0" xfId="0">
      <alignment horizontal="right" vertical="bottom"/>
    </xf>
    <xf numFmtId="0" fontId="0" fillId="2" borderId="5" applyAlignment="1" pivotButton="0" quotePrefix="0" xfId="0">
      <alignment horizontal="right" vertical="bottom"/>
    </xf>
    <xf numFmtId="166" fontId="8" fillId="3" borderId="28" applyAlignment="1" pivotButton="0" quotePrefix="0" xfId="0">
      <alignment horizontal="right" vertical="bottom"/>
    </xf>
    <xf numFmtId="167" fontId="8" fillId="3" borderId="28" applyAlignment="1" pivotButton="0" quotePrefix="0" xfId="0">
      <alignment horizontal="right" vertical="bottom"/>
    </xf>
    <xf numFmtId="0" fontId="12" fillId="2" borderId="2" applyAlignment="1" pivotButton="0" quotePrefix="0" xfId="0">
      <alignment horizontal="general" vertical="bottom"/>
    </xf>
    <xf numFmtId="166" fontId="8" fillId="3" borderId="29" applyAlignment="1" pivotButton="0" quotePrefix="0" xfId="0">
      <alignment horizontal="right" vertical="bottom"/>
    </xf>
    <xf numFmtId="166" fontId="8" fillId="2" borderId="28" applyAlignment="1" pivotButton="0" quotePrefix="0" xfId="0">
      <alignment horizontal="right" vertical="bottom"/>
    </xf>
    <xf numFmtId="166" fontId="8" fillId="6" borderId="28" applyAlignment="1" pivotButton="0" quotePrefix="0" xfId="0">
      <alignment horizontal="right" vertical="bottom"/>
    </xf>
    <xf numFmtId="0" fontId="12" fillId="2" borderId="24" applyAlignment="1" pivotButton="0" quotePrefix="0" xfId="0">
      <alignment horizontal="general" vertical="bottom"/>
    </xf>
    <xf numFmtId="166" fontId="8" fillId="3" borderId="13" applyAlignment="1" pivotButton="0" quotePrefix="0" xfId="0">
      <alignment horizontal="right" vertical="bottom"/>
    </xf>
    <xf numFmtId="166" fontId="8" fillId="6" borderId="30" applyAlignment="1" pivotButton="0" quotePrefix="0" xfId="0">
      <alignment horizontal="right" vertical="bottom"/>
    </xf>
    <xf numFmtId="0" fontId="12" fillId="3" borderId="6" applyAlignment="1" pivotButton="0" quotePrefix="0" xfId="0">
      <alignment horizontal="general" vertical="bottom"/>
    </xf>
    <xf numFmtId="0" fontId="6" fillId="3" borderId="7" applyAlignment="1" pivotButton="0" quotePrefix="0" xfId="0">
      <alignment horizontal="general" vertical="bottom"/>
    </xf>
    <xf numFmtId="166" fontId="8" fillId="3" borderId="7" applyAlignment="1" pivotButton="0" quotePrefix="0" xfId="0">
      <alignment horizontal="right" vertical="bottom"/>
    </xf>
    <xf numFmtId="166" fontId="8" fillId="6" borderId="31" applyAlignment="1" pivotButton="0" quotePrefix="0" xfId="0">
      <alignment horizontal="right" vertical="bottom"/>
    </xf>
    <xf numFmtId="167" fontId="0" fillId="2" borderId="0" applyAlignment="1" pivotButton="0" quotePrefix="0" xfId="0">
      <alignment horizontal="center" vertical="bottom"/>
    </xf>
    <xf numFmtId="169" fontId="0" fillId="2" borderId="0" applyAlignment="1" pivotButton="0" quotePrefix="0" xfId="0">
      <alignment horizontal="center" vertical="bottom"/>
    </xf>
    <xf numFmtId="167" fontId="0" fillId="2" borderId="0" applyAlignment="1" pivotButton="0" quotePrefix="0" xfId="0">
      <alignment horizontal="general" vertical="bottom"/>
    </xf>
    <xf numFmtId="0" fontId="0" fillId="2" borderId="16" applyAlignment="1" pivotButton="0" quotePrefix="0" xfId="0">
      <alignment horizontal="general" vertical="bottom"/>
    </xf>
    <xf numFmtId="170" fontId="6" fillId="2" borderId="18" applyAlignment="1" pivotButton="0" quotePrefix="0" xfId="19">
      <alignment horizontal="center" vertical="bottom"/>
    </xf>
    <xf numFmtId="167" fontId="12" fillId="2" borderId="32" applyAlignment="1" pivotButton="0" quotePrefix="0" xfId="0">
      <alignment horizontal="center" vertical="bottom" wrapText="1"/>
    </xf>
    <xf numFmtId="0" fontId="0" fillId="0" borderId="17" pivotButton="0" quotePrefix="0" xfId="0"/>
    <xf numFmtId="0" fontId="0" fillId="0" borderId="18" pivotButton="0" quotePrefix="0" xfId="0"/>
    <xf numFmtId="10" fontId="6" fillId="3" borderId="5" applyAlignment="1" pivotButton="0" quotePrefix="0" xfId="19">
      <alignment horizontal="center" vertical="bottom"/>
    </xf>
    <xf numFmtId="167" fontId="0" fillId="2" borderId="0" applyAlignment="1" pivotButton="0" quotePrefix="0" xfId="19">
      <alignment horizontal="center" vertical="bottom"/>
    </xf>
    <xf numFmtId="166" fontId="6" fillId="3" borderId="5" applyAlignment="1" pivotButton="0" quotePrefix="0" xfId="0">
      <alignment horizontal="center" vertical="bottom"/>
    </xf>
    <xf numFmtId="3" fontId="6" fillId="2" borderId="5" applyAlignment="1" pivotButton="0" quotePrefix="0" xfId="0">
      <alignment horizontal="center" vertical="bottom"/>
    </xf>
    <xf numFmtId="171" fontId="6" fillId="3" borderId="8" applyAlignment="1" pivotButton="0" quotePrefix="0" xfId="0">
      <alignment horizontal="center" vertical="bottom"/>
    </xf>
    <xf numFmtId="171" fontId="0" fillId="2" borderId="0" applyAlignment="1" pivotButton="0" quotePrefix="0" xfId="0">
      <alignment horizontal="general" vertical="bottom"/>
    </xf>
    <xf numFmtId="0" fontId="12" fillId="2" borderId="16" applyAlignment="1" pivotButton="0" quotePrefix="0" xfId="0">
      <alignment horizontal="center" vertical="bottom"/>
    </xf>
    <xf numFmtId="167" fontId="12" fillId="2" borderId="17" applyAlignment="1" pivotButton="0" quotePrefix="0" xfId="0">
      <alignment horizontal="center" vertical="bottom"/>
    </xf>
    <xf numFmtId="169" fontId="12" fillId="2" borderId="17" applyAlignment="1" pivotButton="0" quotePrefix="0" xfId="0">
      <alignment horizontal="center" vertical="bottom"/>
    </xf>
    <xf numFmtId="167" fontId="12" fillId="2" borderId="18" applyAlignment="1" pivotButton="0" quotePrefix="0" xfId="0">
      <alignment horizontal="center" vertical="bottom"/>
    </xf>
    <xf numFmtId="0" fontId="0" fillId="2" borderId="24" applyAlignment="1" pivotButton="0" quotePrefix="0" xfId="0">
      <alignment horizontal="right" vertical="bottom" indent="3"/>
    </xf>
    <xf numFmtId="166" fontId="6" fillId="3" borderId="13" applyAlignment="1" pivotButton="0" quotePrefix="0" xfId="0">
      <alignment horizontal="right" vertical="bottom" indent="2"/>
    </xf>
    <xf numFmtId="166" fontId="6" fillId="3" borderId="13" applyAlignment="1" pivotButton="0" quotePrefix="0" xfId="0">
      <alignment horizontal="center" vertical="bottom"/>
    </xf>
    <xf numFmtId="166" fontId="6" fillId="3" borderId="13" applyAlignment="1" pivotButton="0" quotePrefix="0" xfId="19">
      <alignment horizontal="right" vertical="bottom" indent="1"/>
    </xf>
    <xf numFmtId="166" fontId="6" fillId="3" borderId="14" applyAlignment="1" pivotButton="0" quotePrefix="0" xfId="0">
      <alignment horizontal="right" vertical="bottom" indent="1"/>
    </xf>
    <xf numFmtId="0" fontId="0" fillId="2" borderId="1" applyAlignment="1" pivotButton="0" quotePrefix="0" xfId="0">
      <alignment horizontal="right" vertical="bottom" indent="3"/>
    </xf>
    <xf numFmtId="167" fontId="6" fillId="3" borderId="2" applyAlignment="1" pivotButton="0" quotePrefix="0" xfId="0">
      <alignment horizontal="right" vertical="bottom" indent="2"/>
    </xf>
    <xf numFmtId="167" fontId="6" fillId="3" borderId="2" applyAlignment="1" pivotButton="0" quotePrefix="0" xfId="0">
      <alignment horizontal="right" vertical="bottom" indent="3"/>
    </xf>
    <xf numFmtId="167" fontId="6" fillId="3" borderId="2" applyAlignment="1" pivotButton="0" quotePrefix="0" xfId="19">
      <alignment horizontal="right" vertical="bottom" indent="1"/>
    </xf>
    <xf numFmtId="0" fontId="0" fillId="2" borderId="21" applyAlignment="1" pivotButton="0" quotePrefix="0" xfId="0">
      <alignment horizontal="right" vertical="bottom" indent="3"/>
    </xf>
    <xf numFmtId="167" fontId="6" fillId="3" borderId="22" applyAlignment="1" pivotButton="0" quotePrefix="0" xfId="0">
      <alignment horizontal="right" vertical="bottom" indent="2"/>
    </xf>
    <xf numFmtId="167" fontId="6" fillId="3" borderId="22" applyAlignment="1" pivotButton="0" quotePrefix="0" xfId="0">
      <alignment horizontal="right" vertical="bottom" indent="3"/>
    </xf>
    <xf numFmtId="167" fontId="6" fillId="3" borderId="22" applyAlignment="1" pivotButton="0" quotePrefix="0" xfId="19">
      <alignment horizontal="right" vertical="bottom" indent="1"/>
    </xf>
    <xf numFmtId="166" fontId="6" fillId="3" borderId="8" applyAlignment="1" pivotButton="0" quotePrefix="0" xfId="0">
      <alignment horizontal="right" vertical="bottom" indent="1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6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tabColor rgb="FFCCCCFF"/>
    <outlinePr summaryBelow="1" summaryRight="1"/>
    <pageSetUpPr fitToPage="1"/>
  </sheetPr>
  <dimension ref="B1:G4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zeroHeight="0" outlineLevelRow="0"/>
  <cols>
    <col width="4.98" customWidth="1" style="197" min="1" max="1"/>
    <col width="46.09" customWidth="1" style="197" min="2" max="2"/>
    <col width="15.68" customWidth="1" style="197" min="3" max="6"/>
    <col width="16.83" customWidth="1" style="197" min="7" max="7"/>
    <col width="15.83" customWidth="1" style="198" min="8" max="8"/>
    <col width="19.97" customWidth="1" style="198" min="9" max="9"/>
    <col width="19.26" customWidth="1" style="198" min="10" max="10"/>
    <col width="16.54" customWidth="1" style="198" min="11" max="11"/>
    <col width="14.27" customWidth="1" style="198" min="12" max="12"/>
    <col width="9.130000000000001" customWidth="1" style="198" min="13" max="13"/>
    <col width="24.53" customWidth="1" style="198" min="14" max="14"/>
    <col width="2.41" customWidth="1" style="197" min="15" max="15"/>
    <col width="9.130000000000001" customWidth="1" style="197" min="16" max="257"/>
  </cols>
  <sheetData>
    <row r="1" ht="15.75" customHeight="1" s="199">
      <c r="B1" s="200" t="inlineStr">
        <is>
          <t>[Company Name]</t>
        </is>
      </c>
    </row>
    <row r="2" ht="15.75" customHeight="1" s="199">
      <c r="B2" s="200" t="inlineStr">
        <is>
          <t>5-Year Financial Plan—Manufacturing</t>
        </is>
      </c>
      <c r="C2" s="198" t="n"/>
      <c r="D2" s="198" t="n"/>
      <c r="E2" s="198" t="n"/>
      <c r="F2" s="198" t="n"/>
    </row>
    <row r="3" ht="15.75" customHeight="1" s="199">
      <c r="B3" s="200" t="inlineStr">
        <is>
          <t>Model inputs and investor scenario</t>
        </is>
      </c>
      <c r="C3" s="198" t="n"/>
      <c r="D3" s="198" t="n"/>
      <c r="E3" s="198" t="n"/>
      <c r="F3" s="198" t="n"/>
    </row>
    <row r="4" ht="13.5" customHeight="1" s="199">
      <c r="B4" s="201" t="n"/>
    </row>
    <row r="5" ht="12.75" customHeight="1" s="199">
      <c r="B5" s="202" t="inlineStr">
        <is>
          <t>Enter data in white cells only.</t>
        </is>
      </c>
      <c r="C5" s="203" t="n"/>
      <c r="D5" s="204" t="n"/>
      <c r="E5" s="205" t="n"/>
      <c r="F5" s="198" t="n"/>
      <c r="G5" s="198" t="n"/>
    </row>
    <row r="6" ht="12.75" customHeight="1" s="199">
      <c r="B6" s="206" t="inlineStr">
        <is>
          <t>Italicized numbers in gray cells are calculations that should not be overwritten.</t>
        </is>
      </c>
      <c r="C6" s="207" t="n"/>
      <c r="D6" s="208" t="n"/>
      <c r="E6" s="205" t="n"/>
      <c r="F6" s="198" t="n"/>
      <c r="G6" s="198" t="n"/>
    </row>
    <row r="7" ht="13.5" customHeight="1" s="199">
      <c r="B7" s="209" t="inlineStr">
        <is>
          <t>Non-italicized numbers in gray cells are calculations that can be overwritten.</t>
        </is>
      </c>
      <c r="C7" s="210" t="n"/>
      <c r="D7" s="211" t="n"/>
      <c r="E7" s="205" t="n"/>
      <c r="F7" s="198" t="n"/>
      <c r="G7" s="198" t="n"/>
    </row>
    <row r="8" ht="13.5" customHeight="1" s="199">
      <c r="E8" s="212" t="n"/>
      <c r="F8" s="198" t="n"/>
      <c r="G8" s="198" t="n"/>
    </row>
    <row r="9" ht="15" customHeight="1" s="199">
      <c r="B9" s="213" t="inlineStr">
        <is>
          <t>General notes and assumptions</t>
        </is>
      </c>
      <c r="C9" s="214" t="n"/>
      <c r="D9" s="214" t="n"/>
      <c r="E9" s="215" t="n"/>
      <c r="F9" s="197" t="n"/>
      <c r="G9" s="197" t="n"/>
    </row>
    <row r="10" ht="12.75" customHeight="1" s="199">
      <c r="B10" s="216" t="inlineStr">
        <is>
          <t>[Document key financial planning assumptions here.]</t>
        </is>
      </c>
      <c r="C10" s="217" t="n"/>
      <c r="D10" s="217" t="n"/>
      <c r="E10" s="218" t="n"/>
      <c r="F10" s="197" t="n"/>
      <c r="G10" s="197" t="n"/>
    </row>
    <row r="11" ht="12.75" customHeight="1" s="199">
      <c r="B11" s="219" t="n"/>
      <c r="E11" s="220" t="n"/>
      <c r="F11" s="197" t="n"/>
      <c r="G11" s="197" t="n"/>
    </row>
    <row r="12" ht="12.75" customHeight="1" s="199">
      <c r="B12" s="219" t="n"/>
      <c r="E12" s="220" t="n"/>
      <c r="F12" s="197" t="n"/>
      <c r="G12" s="197" t="n"/>
    </row>
    <row r="13" ht="12.75" customHeight="1" s="199">
      <c r="B13" s="219" t="n"/>
      <c r="E13" s="220" t="n"/>
      <c r="F13" s="197" t="n"/>
      <c r="G13" s="197" t="n"/>
    </row>
    <row r="14" ht="12.75" customHeight="1" s="199">
      <c r="B14" s="219" t="n"/>
      <c r="E14" s="220" t="n"/>
      <c r="F14" s="197" t="n"/>
      <c r="G14" s="197" t="n"/>
    </row>
    <row r="15" ht="12.75" customHeight="1" s="199">
      <c r="B15" s="219" t="n"/>
      <c r="E15" s="220" t="n"/>
      <c r="F15" s="197" t="n"/>
      <c r="G15" s="197" t="n"/>
    </row>
    <row r="16" ht="13.5" customHeight="1" s="199">
      <c r="B16" s="221" t="n"/>
      <c r="C16" s="222" t="n"/>
      <c r="D16" s="222" t="n"/>
      <c r="E16" s="223" t="n"/>
      <c r="F16" s="197" t="n"/>
      <c r="G16" s="197" t="n"/>
    </row>
    <row r="17" ht="13.5" customHeight="1" s="199">
      <c r="B17" s="224" t="n"/>
      <c r="C17" s="197" t="n"/>
      <c r="D17" s="197" t="n"/>
      <c r="E17" s="197" t="n"/>
      <c r="F17" s="197" t="n"/>
      <c r="G17" s="197" t="n"/>
    </row>
    <row r="18" ht="13.5" customHeight="1" s="199">
      <c r="B18" s="198" t="n"/>
    </row>
    <row r="19" ht="15" customHeight="1" s="199">
      <c r="B19" s="213" t="inlineStr">
        <is>
          <t>Year 1 model inputs</t>
        </is>
      </c>
      <c r="C19" s="214" t="n"/>
      <c r="D19" s="214" t="n"/>
      <c r="E19" s="214" t="n"/>
      <c r="F19" s="215" t="n"/>
    </row>
    <row r="20" ht="12.75" customHeight="1" s="199">
      <c r="B20" s="225" t="inlineStr">
        <is>
          <t>Use this area to capture key components of the Profit and Loss Statement and the Balance Sheet for the first year only.</t>
        </is>
      </c>
      <c r="C20" s="197" t="n"/>
      <c r="D20" s="197" t="n"/>
      <c r="E20" s="197" t="n"/>
      <c r="F20" s="226" t="n"/>
    </row>
    <row r="21" ht="12.75" customHeight="1" s="199">
      <c r="B21" s="225" t="n"/>
      <c r="C21" s="197" t="n"/>
      <c r="D21" s="197" t="n"/>
      <c r="E21" s="197" t="n"/>
      <c r="F21" s="226" t="n"/>
    </row>
    <row r="22" ht="12.75" customHeight="1" s="199">
      <c r="B22" s="227" t="inlineStr">
        <is>
          <t>1. Year-one revenue expectancy</t>
        </is>
      </c>
      <c r="C22" s="197" t="n"/>
      <c r="D22" s="197" t="n"/>
      <c r="E22" s="197" t="n"/>
      <c r="F22" s="226" t="n"/>
    </row>
    <row r="23" ht="12.75" customHeight="1" s="199">
      <c r="B23" s="228" t="n"/>
      <c r="C23" s="229" t="inlineStr">
        <is>
          <t>&lt;Product 1&gt;</t>
        </is>
      </c>
      <c r="D23" s="229" t="inlineStr">
        <is>
          <t>&lt;Product 2&gt;</t>
        </is>
      </c>
      <c r="E23" s="229" t="inlineStr">
        <is>
          <t>&lt;Product 3&gt;</t>
        </is>
      </c>
      <c r="F23" s="230" t="inlineStr">
        <is>
          <t>&lt;Product 4&gt;</t>
        </is>
      </c>
    </row>
    <row r="24" ht="12.75" customHeight="1" s="199">
      <c r="B24" s="231" t="inlineStr">
        <is>
          <t>Number of units sold annually</t>
        </is>
      </c>
      <c r="C24" s="232" t="n">
        <v>2800</v>
      </c>
      <c r="D24" s="232" t="n">
        <v>1200</v>
      </c>
      <c r="E24" s="232" t="n">
        <v>1600</v>
      </c>
      <c r="F24" s="233" t="n">
        <v>0</v>
      </c>
    </row>
    <row r="25" ht="12.75" customHeight="1" s="199">
      <c r="B25" s="231" t="inlineStr">
        <is>
          <t>Average sales price per unit</t>
        </is>
      </c>
      <c r="C25" s="234" t="n">
        <v>120</v>
      </c>
      <c r="D25" s="234" t="n">
        <v>80</v>
      </c>
      <c r="E25" s="234" t="n">
        <v>40</v>
      </c>
      <c r="F25" s="235" t="n">
        <v>0</v>
      </c>
    </row>
    <row r="26" ht="12.75" customHeight="1" s="199">
      <c r="B26" s="231" t="inlineStr">
        <is>
          <t>Annual revenue per product</t>
        </is>
      </c>
      <c r="C26" s="236">
        <f>+C24*C25</f>
        <v/>
      </c>
      <c r="D26" s="236">
        <f>+D24*D25</f>
        <v/>
      </c>
      <c r="E26" s="236">
        <f>+E24*E25</f>
        <v/>
      </c>
      <c r="F26" s="237">
        <f>+F24*F25</f>
        <v/>
      </c>
    </row>
    <row r="27" ht="12.75" customHeight="1" s="199">
      <c r="B27" s="238" t="n"/>
      <c r="C27" s="239" t="n"/>
      <c r="D27" s="240" t="n"/>
      <c r="E27" s="240" t="n"/>
      <c r="F27" s="241" t="n"/>
    </row>
    <row r="28" ht="12.75" customHeight="1" s="199">
      <c r="B28" s="231" t="inlineStr">
        <is>
          <t>Total year 1 revenue</t>
        </is>
      </c>
      <c r="C28" s="236">
        <f>SUM(C26:F26)</f>
        <v/>
      </c>
      <c r="D28" s="240" t="n"/>
      <c r="E28" s="240" t="n"/>
      <c r="F28" s="241" t="n"/>
    </row>
    <row r="29" ht="12.75" customHeight="1" s="199">
      <c r="B29" s="228" t="n"/>
      <c r="C29" s="242" t="n"/>
      <c r="D29" s="197" t="n"/>
      <c r="E29" s="197" t="n"/>
      <c r="F29" s="226" t="n"/>
    </row>
    <row r="30" ht="12.75" customHeight="1" s="199">
      <c r="B30" s="243" t="inlineStr">
        <is>
          <t>2. Year 1 cost of goods sold</t>
        </is>
      </c>
      <c r="C30" s="197" t="n"/>
      <c r="D30" s="197" t="n"/>
      <c r="E30" s="197" t="n"/>
      <c r="F30" s="226" t="n"/>
    </row>
    <row r="31" ht="12.75" customHeight="1" s="199">
      <c r="B31" s="244" t="n"/>
      <c r="C31" s="245">
        <f>C32</f>
        <v/>
      </c>
      <c r="D31" s="245">
        <f>D32</f>
        <v/>
      </c>
      <c r="E31" s="245">
        <f>E32</f>
        <v/>
      </c>
      <c r="F31" s="246">
        <f>F32</f>
        <v/>
      </c>
    </row>
    <row r="32" ht="12.75" customHeight="1" s="199">
      <c r="B32" s="231" t="inlineStr">
        <is>
          <t>Expected gross margin per product</t>
        </is>
      </c>
      <c r="C32" s="247" t="n">
        <v>0.5</v>
      </c>
      <c r="D32" s="247" t="n">
        <v>0.4</v>
      </c>
      <c r="E32" s="247" t="n">
        <v>0.25</v>
      </c>
      <c r="F32" s="248" t="n">
        <v>0</v>
      </c>
    </row>
    <row r="33" ht="12.75" customHeight="1" s="199">
      <c r="B33" s="231" t="inlineStr">
        <is>
          <t>Annual cost of goods sold per product</t>
        </is>
      </c>
      <c r="C33" s="236">
        <f>+C26*(1-C32)</f>
        <v/>
      </c>
      <c r="D33" s="236">
        <f>+D26*(1-D32)</f>
        <v/>
      </c>
      <c r="E33" s="236">
        <f>+E26*(1-E32)</f>
        <v/>
      </c>
      <c r="F33" s="237">
        <f>+F26*(1-F32)</f>
        <v/>
      </c>
    </row>
    <row r="34" ht="12.75" customHeight="1" s="199">
      <c r="B34" s="238" t="n"/>
      <c r="C34" s="249" t="n"/>
      <c r="D34" s="249" t="n"/>
      <c r="E34" s="249" t="n"/>
      <c r="F34" s="250" t="n"/>
    </row>
    <row r="35" ht="12.75" customHeight="1" s="199">
      <c r="B35" s="231" t="inlineStr">
        <is>
          <t>Total year 1 cost of goods sold</t>
        </is>
      </c>
      <c r="C35" s="251">
        <f>SUM(C33:F33)</f>
        <v/>
      </c>
      <c r="D35" s="197" t="n"/>
      <c r="E35" s="197" t="n"/>
      <c r="F35" s="226" t="n"/>
    </row>
    <row r="36" ht="12.75" customHeight="1" s="199">
      <c r="B36" s="244" t="n"/>
      <c r="C36" s="252" t="n"/>
      <c r="D36" s="197" t="n"/>
      <c r="E36" s="197" t="n"/>
      <c r="F36" s="226" t="n"/>
    </row>
    <row r="37" ht="12.75" customHeight="1" s="199">
      <c r="B37" s="243" t="inlineStr">
        <is>
          <t>3. Annual maintenance, repair, and overhaul</t>
        </is>
      </c>
      <c r="C37" s="252" t="n"/>
      <c r="D37" s="197" t="n"/>
      <c r="E37" s="197" t="n"/>
      <c r="F37" s="226" t="n"/>
    </row>
    <row r="38" ht="12.75" customHeight="1" s="199">
      <c r="B38" s="253" t="inlineStr">
        <is>
          <t>Factor (%) on capital equipment</t>
        </is>
      </c>
      <c r="C38" s="254" t="n">
        <v>0.15</v>
      </c>
      <c r="D38" s="197" t="n"/>
      <c r="E38" s="197" t="n"/>
      <c r="F38" s="226" t="n"/>
    </row>
    <row r="39" ht="12.75" customHeight="1" s="199">
      <c r="B39" s="244" t="n"/>
      <c r="C39" s="255" t="n"/>
      <c r="D39" s="197" t="n"/>
      <c r="E39" s="197" t="n"/>
      <c r="F39" s="226" t="n"/>
    </row>
    <row r="40" ht="12.75" customHeight="1" s="199">
      <c r="B40" s="243" t="inlineStr">
        <is>
          <t>4. Number of years for straight-line depreciation</t>
        </is>
      </c>
      <c r="C40" s="256" t="n">
        <v>5</v>
      </c>
      <c r="D40" s="197" t="n"/>
      <c r="E40" s="197" t="n"/>
      <c r="F40" s="226" t="n"/>
    </row>
    <row r="41" ht="12.75" customHeight="1" s="199">
      <c r="B41" s="244" t="n"/>
      <c r="C41" s="257" t="n"/>
      <c r="D41" s="197" t="n"/>
      <c r="E41" s="197" t="n"/>
      <c r="F41" s="226" t="n"/>
    </row>
    <row r="42" ht="12.75" customHeight="1" s="199">
      <c r="B42" s="243" t="inlineStr">
        <is>
          <t>5. Annual tax rate</t>
        </is>
      </c>
      <c r="C42" s="254" t="n">
        <v>0.3</v>
      </c>
      <c r="D42" s="197" t="n"/>
      <c r="E42" s="197" t="n"/>
      <c r="F42" s="226" t="n"/>
    </row>
    <row r="43" ht="12.75" customHeight="1" s="199">
      <c r="B43" s="244" t="n"/>
      <c r="C43" s="258" t="n"/>
      <c r="D43" s="197" t="n"/>
      <c r="E43" s="197" t="n"/>
      <c r="F43" s="226" t="n"/>
    </row>
    <row r="44" ht="25.5" customHeight="1" s="199">
      <c r="B44" s="259" t="inlineStr">
        <is>
          <t>6. If long-term debt is being used to finance
     operations, enter the total loan value.</t>
        </is>
      </c>
      <c r="C44" s="260" t="n">
        <v>80000</v>
      </c>
      <c r="D44" s="197" t="n"/>
      <c r="E44" s="197" t="n"/>
      <c r="F44" s="226" t="n"/>
    </row>
    <row r="45" ht="12.75" customHeight="1" s="199">
      <c r="B45" s="243" t="n"/>
      <c r="D45" s="197" t="n"/>
      <c r="E45" s="197" t="n"/>
      <c r="F45" s="226" t="n"/>
    </row>
    <row r="46" ht="13.5" customHeight="1" s="199">
      <c r="B46" s="261" t="n"/>
      <c r="C46" s="262" t="n"/>
      <c r="D46" s="262" t="n"/>
      <c r="E46" s="262" t="n"/>
      <c r="F46" s="263" t="n"/>
    </row>
  </sheetData>
  <mergeCells count="1">
    <mergeCell ref="B10:E16"/>
  </mergeCells>
  <printOptions horizontalCentered="1" verticalCentered="0" headings="0" gridLines="0" gridLinesSet="1"/>
  <pageMargins left="0.747916666666667" right="0.747916666666667" top="0.470138888888889" bottom="0.529861111111111" header="0.511805555555555" footer="0.511805555555555"/>
  <pageSetup orientation="landscape" paperSize="1" scale="100" fitToHeight="1" fitToWidth="1" firstPageNumber="0" useFirstPageNumber="0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E6E6E6"/>
    <outlinePr summaryBelow="1" summaryRight="1"/>
    <pageSetUpPr fitToPage="1"/>
  </sheetPr>
  <dimension ref="A1:I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zeroHeight="0" outlineLevelRow="0"/>
  <cols>
    <col width="4.98" customWidth="1" style="197" min="1" max="1"/>
    <col width="5.55" customWidth="1" style="197" min="2" max="2"/>
    <col width="34.24" customWidth="1" style="240" min="3" max="3"/>
    <col width="8.69" customWidth="1" style="198" min="4" max="4"/>
    <col width="13.69" customWidth="1" style="198" min="5" max="9"/>
    <col width="9.130000000000001" customWidth="1" style="197" min="10" max="257"/>
  </cols>
  <sheetData>
    <row r="1" ht="15.75" customHeight="1" s="199">
      <c r="B1" s="200">
        <f>+'Model Inputs'!B1</f>
        <v/>
      </c>
    </row>
    <row r="2" ht="15.75" customHeight="1" s="199">
      <c r="B2" s="200">
        <f>+'Model Inputs'!B2</f>
        <v/>
      </c>
    </row>
    <row r="3" ht="15.75" customHeight="1" s="199">
      <c r="B3" s="200" t="inlineStr">
        <is>
          <t>Profit and loss projections</t>
        </is>
      </c>
    </row>
    <row r="4" ht="12.75" customHeight="1" s="199">
      <c r="A4" s="200" t="n"/>
    </row>
    <row r="5" ht="12.75" customHeight="1" s="199">
      <c r="A5" s="200" t="n"/>
    </row>
    <row r="6" ht="13.5" customHeight="1" s="199">
      <c r="A6" s="200" t="n"/>
      <c r="B6" s="264" t="inlineStr">
        <is>
          <t>Year-by-year profit and loss assumptions</t>
        </is>
      </c>
      <c r="C6" s="214" t="n"/>
      <c r="D6" s="265" t="n"/>
      <c r="E6" s="265" t="n"/>
      <c r="F6" s="265" t="n"/>
      <c r="G6" s="265" t="n"/>
      <c r="H6" s="265" t="n"/>
      <c r="I6" s="266" t="n"/>
    </row>
    <row r="7" ht="12.75" customHeight="1" s="199">
      <c r="B7" s="267" t="n"/>
      <c r="C7" s="268" t="n"/>
      <c r="D7" s="198" t="n"/>
      <c r="E7" s="229" t="inlineStr">
        <is>
          <t>Year 1</t>
        </is>
      </c>
      <c r="F7" s="229" t="inlineStr">
        <is>
          <t>Year 2</t>
        </is>
      </c>
      <c r="G7" s="229" t="inlineStr">
        <is>
          <t>Year 3</t>
        </is>
      </c>
      <c r="H7" s="229" t="inlineStr">
        <is>
          <t>Year 4</t>
        </is>
      </c>
      <c r="I7" s="230" t="inlineStr">
        <is>
          <t>Year 5</t>
        </is>
      </c>
    </row>
    <row r="8" ht="12.75" customHeight="1" s="199">
      <c r="B8" s="267" t="n"/>
      <c r="C8" s="240" t="inlineStr">
        <is>
          <t>Annual cumulative price (revenue) increase</t>
        </is>
      </c>
      <c r="D8" s="198" t="n"/>
      <c r="E8" s="269" t="inlineStr">
        <is>
          <t>-</t>
        </is>
      </c>
      <c r="F8" s="269" t="n">
        <v>0.02</v>
      </c>
      <c r="G8" s="269" t="n">
        <v>0.04</v>
      </c>
      <c r="H8" s="269" t="n">
        <v>0.06</v>
      </c>
      <c r="I8" s="270" t="n">
        <v>0.08</v>
      </c>
    </row>
    <row r="9" ht="12.75" customHeight="1" s="199">
      <c r="B9" s="267" t="n"/>
      <c r="C9" s="240" t="inlineStr">
        <is>
          <t>Annual cumulative inflation (expense) increase</t>
        </is>
      </c>
      <c r="D9" s="198" t="n"/>
      <c r="E9" s="269" t="inlineStr">
        <is>
          <t>-</t>
        </is>
      </c>
      <c r="F9" s="269" t="n">
        <v>0.02</v>
      </c>
      <c r="G9" s="269" t="n">
        <v>0.04</v>
      </c>
      <c r="H9" s="269" t="n">
        <v>0.06</v>
      </c>
      <c r="I9" s="270" t="n">
        <v>0.08</v>
      </c>
    </row>
    <row r="10" ht="13.5" customHeight="1" s="199">
      <c r="B10" s="261" t="n"/>
      <c r="C10" s="271" t="inlineStr">
        <is>
          <t>Interest rate on ending cash balance</t>
        </is>
      </c>
      <c r="D10" s="272" t="n"/>
      <c r="E10" s="273" t="n">
        <v>0.005</v>
      </c>
      <c r="F10" s="273" t="n">
        <v>0.005</v>
      </c>
      <c r="G10" s="273" t="n">
        <v>0.005</v>
      </c>
      <c r="H10" s="273" t="n">
        <v>0.005</v>
      </c>
      <c r="I10" s="274" t="n">
        <v>0.005</v>
      </c>
    </row>
    <row r="11" ht="12.75" customHeight="1" s="199">
      <c r="E11" s="255" t="n"/>
      <c r="F11" s="255" t="n"/>
      <c r="G11" s="255" t="n"/>
      <c r="H11" s="255" t="n"/>
      <c r="I11" s="255" t="n"/>
    </row>
    <row r="12" ht="13.5" customHeight="1" s="199"/>
    <row r="13" ht="12.75" customHeight="1" s="199">
      <c r="B13" s="275" t="n"/>
      <c r="C13" s="276" t="n"/>
      <c r="D13" s="277" t="n"/>
      <c r="E13" s="278">
        <f>+E7</f>
        <v/>
      </c>
      <c r="F13" s="278">
        <f>+F7</f>
        <v/>
      </c>
      <c r="G13" s="278">
        <f>+G7</f>
        <v/>
      </c>
      <c r="H13" s="278">
        <f>+H7</f>
        <v/>
      </c>
      <c r="I13" s="279">
        <f>+I7</f>
        <v/>
      </c>
    </row>
    <row r="14" ht="12.75" customHeight="1" s="199">
      <c r="B14" s="243" t="inlineStr">
        <is>
          <t>Revenue</t>
        </is>
      </c>
      <c r="C14" s="240" t="n"/>
      <c r="D14" s="198" t="n"/>
      <c r="E14" s="280" t="n"/>
      <c r="F14" s="280" t="n"/>
      <c r="G14" s="280" t="n"/>
      <c r="H14" s="280" t="n"/>
      <c r="I14" s="281" t="n"/>
    </row>
    <row r="15" ht="12.75" customHeight="1" s="199">
      <c r="B15" s="267" t="n"/>
      <c r="C15" s="240" t="inlineStr">
        <is>
          <t>Gross revenue</t>
        </is>
      </c>
      <c r="D15" s="258" t="n"/>
      <c r="E15" s="282">
        <f>+'Model Inputs'!C28</f>
        <v/>
      </c>
      <c r="F15" s="282">
        <f>+E15*(1+F8)</f>
        <v/>
      </c>
      <c r="G15" s="282">
        <f>+F15*(1+G8)</f>
        <v/>
      </c>
      <c r="H15" s="282">
        <f>+G15*(1+H8)</f>
        <v/>
      </c>
      <c r="I15" s="283">
        <f>+H15*(1+I8)</f>
        <v/>
      </c>
    </row>
    <row r="16" ht="12.75" customHeight="1" s="199">
      <c r="B16" s="267" t="n"/>
      <c r="C16" s="284" t="inlineStr">
        <is>
          <t>Cost of goods sold</t>
        </is>
      </c>
      <c r="D16" s="285" t="n"/>
      <c r="E16" s="286">
        <f>+'Model Inputs'!C35</f>
        <v/>
      </c>
      <c r="F16" s="286">
        <f>+E16*(1+F9)</f>
        <v/>
      </c>
      <c r="G16" s="286">
        <f>+F16*(1+G9)</f>
        <v/>
      </c>
      <c r="H16" s="286">
        <f>+G16*(1+H9)</f>
        <v/>
      </c>
      <c r="I16" s="287">
        <f>+H16*(1+I9)</f>
        <v/>
      </c>
    </row>
    <row r="17" ht="12.75" customHeight="1" s="199">
      <c r="B17" s="267" t="n"/>
      <c r="C17" s="288" t="inlineStr">
        <is>
          <t>Gross margin</t>
        </is>
      </c>
      <c r="D17" s="289" t="n"/>
      <c r="E17" s="282">
        <f>E15-E16</f>
        <v/>
      </c>
      <c r="F17" s="282">
        <f>F15-F16</f>
        <v/>
      </c>
      <c r="G17" s="282">
        <f>G15-G16</f>
        <v/>
      </c>
      <c r="H17" s="282">
        <f>H15-H16</f>
        <v/>
      </c>
      <c r="I17" s="283">
        <f>I15-I16</f>
        <v/>
      </c>
    </row>
    <row r="18" ht="12.75" customHeight="1" s="199">
      <c r="B18" s="267" t="n"/>
      <c r="C18" s="240" t="n"/>
      <c r="D18" s="289" t="n"/>
      <c r="E18" s="290" t="n"/>
      <c r="F18" s="290" t="n"/>
      <c r="G18" s="290" t="n"/>
      <c r="H18" s="290" t="n"/>
      <c r="I18" s="291" t="n"/>
    </row>
    <row r="19" ht="12.75" customHeight="1" s="199">
      <c r="B19" s="267" t="n"/>
      <c r="C19" s="240" t="inlineStr">
        <is>
          <t>Other revenue [source]</t>
        </is>
      </c>
      <c r="D19" s="289" t="n"/>
      <c r="E19" s="292" t="n">
        <v>0</v>
      </c>
      <c r="F19" s="292" t="n">
        <v>0</v>
      </c>
      <c r="G19" s="292" t="n">
        <v>10000</v>
      </c>
      <c r="H19" s="292" t="n">
        <v>0</v>
      </c>
      <c r="I19" s="293" t="n">
        <v>0</v>
      </c>
    </row>
    <row r="20" ht="12.75" customHeight="1" s="199">
      <c r="B20" s="267" t="n"/>
      <c r="C20" s="240" t="inlineStr">
        <is>
          <t>Interest income</t>
        </is>
      </c>
      <c r="D20" s="289" t="n"/>
      <c r="E20" s="294" t="n">
        <v>1000</v>
      </c>
      <c r="F20" s="294" t="n">
        <v>0</v>
      </c>
      <c r="G20" s="294" t="n">
        <v>0</v>
      </c>
      <c r="H20" s="294" t="n">
        <v>0</v>
      </c>
      <c r="I20" s="295" t="n">
        <v>0</v>
      </c>
    </row>
    <row r="21" ht="12.75" customHeight="1" s="199">
      <c r="B21" s="267" t="n"/>
      <c r="C21" s="296" t="inlineStr">
        <is>
          <t>Total revenue</t>
        </is>
      </c>
      <c r="D21" s="297" t="n"/>
      <c r="E21" s="282">
        <f>+E17+E19+E20</f>
        <v/>
      </c>
      <c r="F21" s="282">
        <f>+F17+F19+F20</f>
        <v/>
      </c>
      <c r="G21" s="282">
        <f>+G17+G19+G20</f>
        <v/>
      </c>
      <c r="H21" s="282">
        <f>+H17+H19+H20</f>
        <v/>
      </c>
      <c r="I21" s="283">
        <f>+I17+I19+I20</f>
        <v/>
      </c>
    </row>
    <row r="22" ht="12.75" customHeight="1" s="199">
      <c r="B22" s="267" t="n"/>
      <c r="C22" s="240" t="n"/>
      <c r="D22" s="198" t="n"/>
      <c r="E22" s="280" t="n"/>
      <c r="F22" s="280" t="n"/>
      <c r="G22" s="280" t="n"/>
      <c r="H22" s="280" t="n"/>
      <c r="I22" s="281" t="n"/>
    </row>
    <row r="23" ht="12.75" customHeight="1" s="199">
      <c r="B23" s="243" t="inlineStr">
        <is>
          <t>Operating expenses</t>
        </is>
      </c>
      <c r="C23" s="240" t="n"/>
      <c r="D23" s="198" t="n"/>
      <c r="E23" s="280" t="n"/>
      <c r="F23" s="280" t="n"/>
      <c r="G23" s="280" t="n"/>
      <c r="H23" s="280" t="n"/>
      <c r="I23" s="281" t="n"/>
    </row>
    <row r="24" ht="12.75" customHeight="1" s="199">
      <c r="B24" s="267" t="n"/>
      <c r="C24" s="240" t="inlineStr">
        <is>
          <t>Sales and marketing</t>
        </is>
      </c>
      <c r="D24" s="198" t="n"/>
      <c r="E24" s="298" t="n">
        <v>40000</v>
      </c>
      <c r="F24" s="282">
        <f>+E24*(1+F$9)</f>
        <v/>
      </c>
      <c r="G24" s="282">
        <f>+F24*(1+G$9)</f>
        <v/>
      </c>
      <c r="H24" s="282">
        <f>+G24*(1+H$9)</f>
        <v/>
      </c>
      <c r="I24" s="283">
        <f>+H24*(1+I$9)</f>
        <v/>
      </c>
    </row>
    <row r="25" ht="12.75" customHeight="1" s="199">
      <c r="B25" s="267" t="n"/>
      <c r="C25" s="240" t="inlineStr">
        <is>
          <t>Payroll and payroll taxes</t>
        </is>
      </c>
      <c r="D25" s="198" t="n"/>
      <c r="E25" s="299" t="n">
        <v>60000</v>
      </c>
      <c r="F25" s="282">
        <f>+E25*(1+F$9)</f>
        <v/>
      </c>
      <c r="G25" s="282">
        <f>+F25*(1+G$9)</f>
        <v/>
      </c>
      <c r="H25" s="282">
        <f>+G25*(1+H$9)</f>
        <v/>
      </c>
      <c r="I25" s="283">
        <f>+H25*(1+I$9)</f>
        <v/>
      </c>
    </row>
    <row r="26" ht="12.75" customHeight="1" s="199">
      <c r="B26" s="267" t="n"/>
      <c r="C26" s="240" t="inlineStr">
        <is>
          <t>Depreciation</t>
        </is>
      </c>
      <c r="D26" s="198" t="n"/>
      <c r="E26" s="300">
        <f>('Balance Sheet'!D15+'Balance Sheet'!D17+'Balance Sheet'!D18)/'Model Inputs'!$C$40</f>
        <v/>
      </c>
      <c r="F26" s="300">
        <f>('Balance Sheet'!E15+'Balance Sheet'!E17+'Balance Sheet'!E18)/'Model Inputs'!$C$40*(1+F$9)</f>
        <v/>
      </c>
      <c r="G26" s="300">
        <f>('Balance Sheet'!F15+'Balance Sheet'!F17+'Balance Sheet'!F18)/'Model Inputs'!$C$40*(1+G$9)</f>
        <v/>
      </c>
      <c r="H26" s="300">
        <f>('Balance Sheet'!G15+'Balance Sheet'!G17+'Balance Sheet'!G18)/'Model Inputs'!$C$40*(1+H$9)</f>
        <v/>
      </c>
      <c r="I26" s="301">
        <f>('Balance Sheet'!H15+'Balance Sheet'!H17+'Balance Sheet'!H18)/'Model Inputs'!$C$40*(1+I$9)</f>
        <v/>
      </c>
    </row>
    <row r="27" ht="12.75" customHeight="1" s="199">
      <c r="B27" s="267" t="n"/>
      <c r="C27" s="240" t="inlineStr">
        <is>
          <t>Insurance</t>
        </is>
      </c>
      <c r="D27" s="198" t="n"/>
      <c r="E27" s="299" t="n">
        <v>40000</v>
      </c>
      <c r="F27" s="282">
        <f>+E27*(1+F$9)</f>
        <v/>
      </c>
      <c r="G27" s="282">
        <f>+F27*(1+G$9)</f>
        <v/>
      </c>
      <c r="H27" s="282">
        <f>+G27*(1+H$9)</f>
        <v/>
      </c>
      <c r="I27" s="283">
        <f>+H27*(1+I$9)</f>
        <v/>
      </c>
    </row>
    <row r="28" ht="12.75" customHeight="1" s="199">
      <c r="B28" s="267" t="n"/>
      <c r="C28" s="240" t="inlineStr">
        <is>
          <t>Maintenance, repair, and overhaul</t>
        </is>
      </c>
      <c r="D28" s="198" t="n"/>
      <c r="E28" s="300">
        <f>+'Balance Sheet'!D18*'Model Inputs'!$C$38</f>
        <v/>
      </c>
      <c r="F28" s="300">
        <f>('Balance Sheet'!E18*'Model Inputs'!$C$38)*(1+F$9)</f>
        <v/>
      </c>
      <c r="G28" s="300">
        <f>('Balance Sheet'!F18*'Model Inputs'!$C$38)*(1+G$9)</f>
        <v/>
      </c>
      <c r="H28" s="300">
        <f>('Balance Sheet'!G18*'Model Inputs'!$C$38)*(1+H$9)</f>
        <v/>
      </c>
      <c r="I28" s="301">
        <f>('Balance Sheet'!H18*'Model Inputs'!$C$38)*(1+I$9)</f>
        <v/>
      </c>
    </row>
    <row r="29" ht="12.75" customHeight="1" s="199">
      <c r="B29" s="267" t="n"/>
      <c r="C29" s="240" t="inlineStr">
        <is>
          <t>Utilities</t>
        </is>
      </c>
      <c r="D29" s="198" t="n"/>
      <c r="E29" s="299" t="n">
        <v>30000</v>
      </c>
      <c r="F29" s="282">
        <f>+E29*(1+F$9)</f>
        <v/>
      </c>
      <c r="G29" s="282">
        <f>+F29*(1+G$9)</f>
        <v/>
      </c>
      <c r="H29" s="282">
        <f>+G29*(1+H$9)</f>
        <v/>
      </c>
      <c r="I29" s="283">
        <f>+H29*(1+I$9)</f>
        <v/>
      </c>
    </row>
    <row r="30" ht="12.75" customHeight="1" s="199">
      <c r="B30" s="267" t="n"/>
      <c r="C30" s="240" t="inlineStr">
        <is>
          <t>Property taxes</t>
        </is>
      </c>
      <c r="D30" s="198" t="n"/>
      <c r="E30" s="299" t="n">
        <v>15000</v>
      </c>
      <c r="F30" s="282">
        <f>+E30*(1+F$9)</f>
        <v/>
      </c>
      <c r="G30" s="282">
        <f>+F30*(1+G$9)</f>
        <v/>
      </c>
      <c r="H30" s="282">
        <f>+G30*(1+H$9)</f>
        <v/>
      </c>
      <c r="I30" s="283">
        <f>+H30*(1+I$9)</f>
        <v/>
      </c>
    </row>
    <row r="31" ht="12.75" customHeight="1" s="199">
      <c r="B31" s="267" t="n"/>
      <c r="C31" s="240" t="inlineStr">
        <is>
          <t>Administrative fees</t>
        </is>
      </c>
      <c r="D31" s="198" t="n"/>
      <c r="E31" s="299" t="n">
        <v>18000</v>
      </c>
      <c r="F31" s="282">
        <f>+E31*(1+F$9)</f>
        <v/>
      </c>
      <c r="G31" s="282">
        <f>+F31*(1+G$9)</f>
        <v/>
      </c>
      <c r="H31" s="282">
        <f>+G31*(1+H$9)</f>
        <v/>
      </c>
      <c r="I31" s="283">
        <f>+H31*(1+I$9)</f>
        <v/>
      </c>
    </row>
    <row r="32" ht="12.75" customHeight="1" s="199">
      <c r="B32" s="267" t="n"/>
      <c r="C32" s="240" t="inlineStr">
        <is>
          <t>Other</t>
        </is>
      </c>
      <c r="D32" s="198" t="n"/>
      <c r="E32" s="299" t="n">
        <v>4000</v>
      </c>
      <c r="F32" s="282">
        <f>+E32*(1+F$9)</f>
        <v/>
      </c>
      <c r="G32" s="282">
        <f>+F32*(1+G$9)</f>
        <v/>
      </c>
      <c r="H32" s="282">
        <f>+G32*(1+H$9)</f>
        <v/>
      </c>
      <c r="I32" s="283">
        <f>+H32*(1+I$9)</f>
        <v/>
      </c>
    </row>
    <row r="33" ht="12.75" customHeight="1" s="199">
      <c r="B33" s="267" t="n"/>
      <c r="C33" s="296" t="inlineStr">
        <is>
          <t>Total operating expenses</t>
        </is>
      </c>
      <c r="D33" s="297" t="n"/>
      <c r="E33" s="302">
        <f>SUM(E24:E32)</f>
        <v/>
      </c>
      <c r="F33" s="302">
        <f>SUM(F24:F32)</f>
        <v/>
      </c>
      <c r="G33" s="302">
        <f>SUM(G24:G32)</f>
        <v/>
      </c>
      <c r="H33" s="302">
        <f>SUM(H24:H32)</f>
        <v/>
      </c>
      <c r="I33" s="303">
        <f>SUM(I24:I32)</f>
        <v/>
      </c>
    </row>
    <row r="34" ht="12.75" customHeight="1" s="199">
      <c r="B34" s="267" t="n"/>
      <c r="C34" s="240" t="n"/>
      <c r="D34" s="198" t="n"/>
      <c r="E34" s="280" t="n"/>
      <c r="F34" s="280" t="n"/>
      <c r="G34" s="280" t="n"/>
      <c r="H34" s="280" t="n"/>
      <c r="I34" s="281" t="n"/>
    </row>
    <row r="35" ht="13.5" customHeight="1" s="199">
      <c r="B35" s="304" t="inlineStr">
        <is>
          <t>Operating income</t>
        </is>
      </c>
      <c r="C35" s="305" t="n"/>
      <c r="D35" s="306" t="n"/>
      <c r="E35" s="307">
        <f>E21-E33</f>
        <v/>
      </c>
      <c r="F35" s="307">
        <f>F21-F33</f>
        <v/>
      </c>
      <c r="G35" s="307">
        <f>G21-G33</f>
        <v/>
      </c>
      <c r="H35" s="307">
        <f>H21-H33</f>
        <v/>
      </c>
      <c r="I35" s="308">
        <f>I21-I33</f>
        <v/>
      </c>
    </row>
    <row r="36" ht="12.75" customHeight="1" s="199">
      <c r="B36" s="267" t="n"/>
      <c r="C36" s="240" t="n"/>
      <c r="D36" s="198" t="n"/>
      <c r="E36" s="298" t="n"/>
      <c r="F36" s="298" t="n"/>
      <c r="G36" s="298" t="n"/>
      <c r="H36" s="298" t="n"/>
      <c r="I36" s="309" t="n"/>
    </row>
    <row r="37" ht="12.75" customHeight="1" s="199">
      <c r="B37" s="267" t="n"/>
      <c r="C37" s="240" t="inlineStr">
        <is>
          <t>Interest expense on long-term debt</t>
        </is>
      </c>
      <c r="D37" s="198" t="n"/>
      <c r="E37" s="300">
        <f>-SUM('Loan Payment Calculator'!F12:F23)</f>
        <v/>
      </c>
      <c r="F37" s="300">
        <f>-SUM('Loan Payment Calculator'!F24:F35)</f>
        <v/>
      </c>
      <c r="G37" s="300">
        <f>-SUM('Loan Payment Calculator'!F36:F47)</f>
        <v/>
      </c>
      <c r="H37" s="300">
        <f>-SUM('Loan Payment Calculator'!F48:F59)</f>
        <v/>
      </c>
      <c r="I37" s="301">
        <f>-SUM('Loan Payment Calculator'!F60:F71)</f>
        <v/>
      </c>
    </row>
    <row r="38" ht="12.75" customHeight="1" s="199">
      <c r="B38" s="267" t="n"/>
      <c r="C38" s="240" t="n"/>
      <c r="D38" s="198" t="n"/>
      <c r="E38" s="298" t="n"/>
      <c r="F38" s="298" t="n"/>
      <c r="G38" s="298" t="n"/>
      <c r="H38" s="298" t="n"/>
      <c r="I38" s="309" t="n"/>
    </row>
    <row r="39" ht="13.5" customHeight="1" s="199">
      <c r="B39" s="304" t="inlineStr">
        <is>
          <t>Operating income before other items</t>
        </is>
      </c>
      <c r="C39" s="305" t="n"/>
      <c r="D39" s="306" t="n"/>
      <c r="E39" s="307">
        <f>+E35-E37</f>
        <v/>
      </c>
      <c r="F39" s="307">
        <f>+F35-F37</f>
        <v/>
      </c>
      <c r="G39" s="307">
        <f>+G35-G37</f>
        <v/>
      </c>
      <c r="H39" s="307">
        <f>+H35-H37</f>
        <v/>
      </c>
      <c r="I39" s="308">
        <f>+I35-I37</f>
        <v/>
      </c>
    </row>
    <row r="40" ht="12.75" customHeight="1" s="199">
      <c r="B40" s="267" t="n"/>
      <c r="C40" s="240" t="n"/>
      <c r="D40" s="198" t="n"/>
      <c r="E40" s="280" t="n"/>
      <c r="F40" s="280" t="n"/>
      <c r="G40" s="280" t="n"/>
      <c r="H40" s="280" t="n"/>
      <c r="I40" s="281" t="n"/>
    </row>
    <row r="41" ht="12.75" customHeight="1" s="199">
      <c r="B41" s="267" t="n"/>
      <c r="C41" s="240" t="inlineStr">
        <is>
          <t>Loss (gain) on sale of assets</t>
        </is>
      </c>
      <c r="D41" s="198" t="n"/>
      <c r="E41" s="299" t="n">
        <v>0</v>
      </c>
      <c r="F41" s="299" t="n">
        <v>0</v>
      </c>
      <c r="G41" s="299" t="n">
        <v>1000</v>
      </c>
      <c r="H41" s="299" t="n">
        <v>0</v>
      </c>
      <c r="I41" s="310" t="n">
        <v>0</v>
      </c>
    </row>
    <row r="42" ht="12.75" customHeight="1" s="199">
      <c r="B42" s="267" t="n"/>
      <c r="C42" s="240" t="inlineStr">
        <is>
          <t>Other unusual expenses (income)</t>
        </is>
      </c>
      <c r="D42" s="198" t="n"/>
      <c r="E42" s="299" t="n">
        <v>0</v>
      </c>
      <c r="F42" s="299" t="n">
        <v>0</v>
      </c>
      <c r="G42" s="299" t="n">
        <v>0</v>
      </c>
      <c r="H42" s="299" t="n">
        <v>0</v>
      </c>
      <c r="I42" s="310" t="n">
        <v>0</v>
      </c>
    </row>
    <row r="43" ht="12.75" customHeight="1" s="199">
      <c r="B43" s="267" t="n"/>
      <c r="C43" s="240" t="n"/>
      <c r="D43" s="198" t="n"/>
      <c r="E43" s="280" t="n"/>
      <c r="F43" s="280" t="n"/>
      <c r="G43" s="280" t="n"/>
      <c r="H43" s="280" t="n"/>
      <c r="I43" s="281" t="n"/>
    </row>
    <row r="44" ht="12.75" customHeight="1" s="199">
      <c r="B44" s="311" t="inlineStr">
        <is>
          <t>Earnings before taxes</t>
        </is>
      </c>
      <c r="C44" s="312" t="n"/>
      <c r="D44" s="203" t="n"/>
      <c r="E44" s="313">
        <f>E39+E41+E42</f>
        <v/>
      </c>
      <c r="F44" s="313">
        <f>F39+F41+F42</f>
        <v/>
      </c>
      <c r="G44" s="313">
        <f>G39+G41+G42</f>
        <v/>
      </c>
      <c r="H44" s="313">
        <f>H39+H41+H42</f>
        <v/>
      </c>
      <c r="I44" s="314">
        <f>I39+I41+I42</f>
        <v/>
      </c>
    </row>
    <row r="45" ht="12.75" customHeight="1" s="199">
      <c r="B45" s="267" t="n"/>
      <c r="C45" s="240" t="n"/>
      <c r="D45" s="198" t="n"/>
      <c r="E45" s="280" t="n"/>
      <c r="F45" s="280" t="n"/>
      <c r="G45" s="280" t="n"/>
      <c r="H45" s="280" t="n"/>
      <c r="I45" s="281" t="n"/>
    </row>
    <row r="46" ht="12.75" customHeight="1" s="199">
      <c r="B46" s="243" t="inlineStr">
        <is>
          <t>Taxes on income</t>
        </is>
      </c>
      <c r="C46" s="240" t="n"/>
      <c r="D46" s="315">
        <f>'Model Inputs'!C42</f>
        <v/>
      </c>
      <c r="E46" s="300">
        <f>IF(E44&lt;0,0,$D$46*E44)</f>
        <v/>
      </c>
      <c r="F46" s="300">
        <f>IF(F44&lt;0,0,$D$46*F44)</f>
        <v/>
      </c>
      <c r="G46" s="300">
        <f>IF(G44&lt;0,0,$D$46*G44)</f>
        <v/>
      </c>
      <c r="H46" s="300">
        <f>IF(H44&lt;0,0,$D$46*H44)</f>
        <v/>
      </c>
      <c r="I46" s="301">
        <f>IF(I44&lt;0,0,$D$46*I44)</f>
        <v/>
      </c>
    </row>
    <row r="47" ht="12.75" customHeight="1" s="199">
      <c r="B47" s="316" t="n"/>
      <c r="C47" s="240" t="n"/>
      <c r="D47" s="198" t="n"/>
      <c r="E47" s="280" t="n"/>
      <c r="F47" s="280" t="n"/>
      <c r="G47" s="280" t="n"/>
      <c r="H47" s="280" t="n"/>
      <c r="I47" s="281" t="n"/>
    </row>
    <row r="48" ht="13.5" customHeight="1" s="199">
      <c r="B48" s="317" t="inlineStr">
        <is>
          <t>Net income (loss)</t>
        </is>
      </c>
      <c r="C48" s="318" t="n"/>
      <c r="D48" s="319" t="n"/>
      <c r="E48" s="320">
        <f>E44-E46</f>
        <v/>
      </c>
      <c r="F48" s="320">
        <f>F44-F46</f>
        <v/>
      </c>
      <c r="G48" s="320">
        <f>G44-G46</f>
        <v/>
      </c>
      <c r="H48" s="320">
        <f>H44-H46</f>
        <v/>
      </c>
      <c r="I48" s="321">
        <f>I44-I46</f>
        <v/>
      </c>
    </row>
    <row r="49" ht="14.25" customHeight="1" s="199">
      <c r="B49" s="261" t="n"/>
      <c r="C49" s="271" t="n"/>
      <c r="D49" s="272" t="n"/>
      <c r="E49" s="322" t="n"/>
      <c r="F49" s="322" t="n"/>
      <c r="G49" s="322" t="n"/>
      <c r="H49" s="322" t="n"/>
      <c r="I49" s="323" t="n"/>
    </row>
  </sheetData>
  <printOptions horizontalCentered="1" verticalCentered="0" headings="0" gridLines="0" gridLinesSet="1"/>
  <pageMargins left="0.747916666666667" right="0.747916666666667" top="0.470138888888889" bottom="0.529861111111111" header="0.511805555555555" footer="0.511805555555555"/>
  <pageSetup orientation="landscape" paperSize="1" scale="100" fitToHeight="1" fitToWidth="1" firstPageNumber="0" useFirstPageNumber="0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E6E6E6"/>
    <outlinePr summaryBelow="1" summaryRight="1"/>
    <pageSetUpPr fitToPage="1"/>
  </sheetPr>
  <dimension ref="B1:I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zeroHeight="0" outlineLevelRow="0"/>
  <cols>
    <col width="4.98" customWidth="1" style="197" min="1" max="1"/>
    <col width="5.55" customWidth="1" style="197" min="2" max="2"/>
    <col width="40.8" customWidth="1" style="240" min="3" max="3"/>
    <col width="18.26" customWidth="1" style="197" min="4" max="4"/>
    <col width="13.69" customWidth="1" style="197" min="5" max="5"/>
    <col width="13.55" customWidth="1" style="197" min="6" max="6"/>
    <col width="12.55" customWidth="1" style="197" min="7" max="7"/>
    <col width="12.98" customWidth="1" style="197" min="8" max="8"/>
    <col width="13.4" customWidth="1" style="197" min="9" max="9"/>
    <col width="9.130000000000001" customWidth="1" style="197" min="10" max="10"/>
    <col width="11.27" customWidth="1" style="197" min="11" max="11"/>
    <col width="9.130000000000001" customWidth="1" style="197" min="12" max="257"/>
  </cols>
  <sheetData>
    <row r="1" ht="15.75" customHeight="1" s="199">
      <c r="B1" s="200">
        <f>+'Model Inputs'!B1</f>
        <v/>
      </c>
      <c r="D1" s="197" t="n"/>
      <c r="E1" s="197" t="n"/>
      <c r="F1" s="197" t="n"/>
      <c r="G1" s="197" t="n"/>
      <c r="H1" s="197" t="n"/>
      <c r="I1" s="197" t="n"/>
    </row>
    <row r="2" ht="15.75" customHeight="1" s="199">
      <c r="B2" s="200">
        <f>+'Model Inputs'!B2</f>
        <v/>
      </c>
      <c r="D2" s="197" t="n"/>
      <c r="E2" s="197" t="n"/>
      <c r="F2" s="197" t="n"/>
      <c r="G2" s="197" t="n"/>
      <c r="H2" s="197" t="n"/>
      <c r="I2" s="197" t="n"/>
    </row>
    <row r="3" ht="15.75" customHeight="1" s="199">
      <c r="B3" s="200" t="inlineStr">
        <is>
          <t>Balance sheet projections</t>
        </is>
      </c>
      <c r="D3" s="197" t="n"/>
      <c r="E3" s="197" t="n"/>
      <c r="F3" s="197" t="n"/>
      <c r="G3" s="197" t="n"/>
      <c r="H3" s="197" t="n"/>
      <c r="I3" s="197" t="n"/>
    </row>
    <row r="4" ht="12.75" customHeight="1" s="199">
      <c r="B4" s="197" t="n"/>
      <c r="C4" s="324" t="n"/>
      <c r="D4" s="197" t="n"/>
      <c r="E4" s="197" t="n"/>
      <c r="F4" s="197" t="n"/>
      <c r="G4" s="197" t="n"/>
      <c r="H4" s="197" t="n"/>
      <c r="I4" s="197" t="n"/>
    </row>
    <row r="5" ht="13.5" customHeight="1" s="199">
      <c r="B5" s="197" t="n"/>
      <c r="C5" s="240" t="n"/>
      <c r="D5" s="288" t="n"/>
      <c r="E5" s="325" t="n"/>
      <c r="F5" s="325" t="n"/>
      <c r="G5" s="325" t="n"/>
      <c r="H5" s="325" t="n"/>
      <c r="I5" s="325" t="n"/>
    </row>
    <row r="6" ht="12.75" customHeight="1" s="199">
      <c r="B6" s="326" t="inlineStr">
        <is>
          <t>Assets</t>
        </is>
      </c>
      <c r="C6" s="327" t="n"/>
      <c r="D6" s="328" t="inlineStr">
        <is>
          <t>Initial balance</t>
        </is>
      </c>
      <c r="E6" s="328" t="inlineStr">
        <is>
          <t>Year 1</t>
        </is>
      </c>
      <c r="F6" s="328" t="inlineStr">
        <is>
          <t>Year 2</t>
        </is>
      </c>
      <c r="G6" s="328" t="inlineStr">
        <is>
          <t>Year 3</t>
        </is>
      </c>
      <c r="H6" s="328" t="inlineStr">
        <is>
          <t>Year 4</t>
        </is>
      </c>
      <c r="I6" s="329" t="inlineStr">
        <is>
          <t>Year 5</t>
        </is>
      </c>
    </row>
    <row r="7" ht="12.75" customHeight="1" s="199">
      <c r="B7" s="267" t="n"/>
      <c r="C7" s="240" t="inlineStr">
        <is>
          <t>Cash and short-term investments</t>
        </is>
      </c>
      <c r="D7" s="298" t="n">
        <v>50000</v>
      </c>
      <c r="E7" s="282">
        <f>+'Cash Flow'!D36</f>
        <v/>
      </c>
      <c r="F7" s="282">
        <f>+'Cash Flow'!E36</f>
        <v/>
      </c>
      <c r="G7" s="282">
        <f>+'Cash Flow'!F36</f>
        <v/>
      </c>
      <c r="H7" s="282">
        <f>+'Cash Flow'!G36</f>
        <v/>
      </c>
      <c r="I7" s="283">
        <f>+'Cash Flow'!H36</f>
        <v/>
      </c>
    </row>
    <row r="8" ht="12.75" customHeight="1" s="199">
      <c r="B8" s="267" t="n"/>
      <c r="C8" s="240" t="inlineStr">
        <is>
          <t>Accounts receivable</t>
        </is>
      </c>
      <c r="D8" s="299" t="n">
        <v>3000</v>
      </c>
      <c r="E8" s="330">
        <f>D8</f>
        <v/>
      </c>
      <c r="F8" s="330">
        <f>E8</f>
        <v/>
      </c>
      <c r="G8" s="330">
        <f>F8</f>
        <v/>
      </c>
      <c r="H8" s="330">
        <f>G8</f>
        <v/>
      </c>
      <c r="I8" s="331">
        <f>H8</f>
        <v/>
      </c>
    </row>
    <row r="9" ht="12.75" customHeight="1" s="199">
      <c r="B9" s="267" t="n"/>
      <c r="C9" s="240" t="inlineStr">
        <is>
          <t>Total inventory</t>
        </is>
      </c>
      <c r="D9" s="299" t="n">
        <v>25000</v>
      </c>
      <c r="E9" s="330">
        <f>D9</f>
        <v/>
      </c>
      <c r="F9" s="330">
        <f>E9</f>
        <v/>
      </c>
      <c r="G9" s="330">
        <f>F9</f>
        <v/>
      </c>
      <c r="H9" s="330">
        <f>G9</f>
        <v/>
      </c>
      <c r="I9" s="331">
        <f>H9</f>
        <v/>
      </c>
    </row>
    <row r="10" ht="12.75" customHeight="1" s="199">
      <c r="B10" s="267" t="n"/>
      <c r="C10" s="240" t="inlineStr">
        <is>
          <t>Prepaid expenses</t>
        </is>
      </c>
      <c r="D10" s="299" t="n">
        <v>0</v>
      </c>
      <c r="E10" s="330">
        <f>+D10</f>
        <v/>
      </c>
      <c r="F10" s="330">
        <f>+E10</f>
        <v/>
      </c>
      <c r="G10" s="330">
        <f>+F10</f>
        <v/>
      </c>
      <c r="H10" s="330">
        <f>+G10</f>
        <v/>
      </c>
      <c r="I10" s="331">
        <f>+H10</f>
        <v/>
      </c>
    </row>
    <row r="11" ht="12.75" customHeight="1" s="199">
      <c r="B11" s="267" t="n"/>
      <c r="C11" s="240" t="inlineStr">
        <is>
          <t>Deferred income tax</t>
        </is>
      </c>
      <c r="D11" s="299" t="n">
        <v>0</v>
      </c>
      <c r="E11" s="330">
        <f>+D11</f>
        <v/>
      </c>
      <c r="F11" s="330">
        <f>+E11</f>
        <v/>
      </c>
      <c r="G11" s="330">
        <f>+F11</f>
        <v/>
      </c>
      <c r="H11" s="330">
        <f>+G11</f>
        <v/>
      </c>
      <c r="I11" s="331">
        <f>+H11</f>
        <v/>
      </c>
    </row>
    <row r="12" ht="12.75" customHeight="1" s="199">
      <c r="B12" s="267" t="n"/>
      <c r="C12" s="240" t="inlineStr">
        <is>
          <t>Other current assets</t>
        </is>
      </c>
      <c r="D12" s="299" t="n">
        <v>5000</v>
      </c>
      <c r="E12" s="330">
        <f>+D12</f>
        <v/>
      </c>
      <c r="F12" s="330">
        <f>+E12</f>
        <v/>
      </c>
      <c r="G12" s="330">
        <f>+F12</f>
        <v/>
      </c>
      <c r="H12" s="330">
        <f>+G12</f>
        <v/>
      </c>
      <c r="I12" s="331">
        <f>+H12</f>
        <v/>
      </c>
    </row>
    <row r="13" ht="12.75" customHeight="1" s="199">
      <c r="B13" s="267" t="n"/>
      <c r="C13" s="296" t="inlineStr">
        <is>
          <t>Total current assets</t>
        </is>
      </c>
      <c r="D13" s="302">
        <f>SUM(D7:D12)</f>
        <v/>
      </c>
      <c r="E13" s="302">
        <f>SUM(E7:E12)</f>
        <v/>
      </c>
      <c r="F13" s="302">
        <f>SUM(F7:F12)</f>
        <v/>
      </c>
      <c r="G13" s="302">
        <f>SUM(G7:G12)</f>
        <v/>
      </c>
      <c r="H13" s="302">
        <f>SUM(H7:H12)</f>
        <v/>
      </c>
      <c r="I13" s="303">
        <f>SUM(I7:I12)</f>
        <v/>
      </c>
    </row>
    <row r="14" ht="12.75" customHeight="1" s="199">
      <c r="B14" s="267" t="n"/>
      <c r="C14" s="240" t="n"/>
      <c r="D14" s="280" t="n"/>
      <c r="E14" s="280" t="n"/>
      <c r="F14" s="280" t="n"/>
      <c r="G14" s="280" t="n"/>
      <c r="H14" s="280" t="n"/>
      <c r="I14" s="281" t="n"/>
    </row>
    <row r="15" ht="12.75" customHeight="1" s="199">
      <c r="B15" s="267" t="n"/>
      <c r="C15" s="240" t="inlineStr">
        <is>
          <t>Buildings</t>
        </is>
      </c>
      <c r="D15" s="298" t="n">
        <v>100000</v>
      </c>
      <c r="E15" s="332">
        <f>+D15</f>
        <v/>
      </c>
      <c r="F15" s="332">
        <f>+E15</f>
        <v/>
      </c>
      <c r="G15" s="332">
        <f>+F15</f>
        <v/>
      </c>
      <c r="H15" s="332">
        <f>+G15</f>
        <v/>
      </c>
      <c r="I15" s="333">
        <f>+H15</f>
        <v/>
      </c>
    </row>
    <row r="16" ht="12.75" customHeight="1" s="199">
      <c r="B16" s="267" t="n"/>
      <c r="C16" s="240" t="inlineStr">
        <is>
          <t>Land</t>
        </is>
      </c>
      <c r="D16" s="299" t="n">
        <v>100000</v>
      </c>
      <c r="E16" s="330">
        <f>+D16</f>
        <v/>
      </c>
      <c r="F16" s="330">
        <f>+E16</f>
        <v/>
      </c>
      <c r="G16" s="330">
        <f>+F16</f>
        <v/>
      </c>
      <c r="H16" s="330">
        <f>+G16</f>
        <v/>
      </c>
      <c r="I16" s="331">
        <f>+H16</f>
        <v/>
      </c>
    </row>
    <row r="17" ht="12.75" customHeight="1" s="199">
      <c r="B17" s="267" t="n"/>
      <c r="C17" s="240" t="inlineStr">
        <is>
          <t>Capital improvements</t>
        </is>
      </c>
      <c r="D17" s="299" t="n">
        <v>0</v>
      </c>
      <c r="E17" s="330">
        <f>+D17</f>
        <v/>
      </c>
      <c r="F17" s="330">
        <f>+E17</f>
        <v/>
      </c>
      <c r="G17" s="330">
        <f>+F17</f>
        <v/>
      </c>
      <c r="H17" s="330">
        <f>+G17</f>
        <v/>
      </c>
      <c r="I17" s="331">
        <f>+H17</f>
        <v/>
      </c>
    </row>
    <row r="18" ht="12.75" customHeight="1" s="199">
      <c r="B18" s="267" t="n"/>
      <c r="C18" s="240" t="inlineStr">
        <is>
          <t>Machinery and equipment</t>
        </is>
      </c>
      <c r="D18" s="299" t="n">
        <v>100000</v>
      </c>
      <c r="E18" s="330">
        <f>D18</f>
        <v/>
      </c>
      <c r="F18" s="330">
        <f>+E18</f>
        <v/>
      </c>
      <c r="G18" s="330">
        <f>F18</f>
        <v/>
      </c>
      <c r="H18" s="330">
        <f>G18</f>
        <v/>
      </c>
      <c r="I18" s="331">
        <f>H18</f>
        <v/>
      </c>
    </row>
    <row r="19" ht="12.75" customHeight="1" s="199">
      <c r="B19" s="267" t="n"/>
      <c r="C19" s="240" t="inlineStr">
        <is>
          <t>Less: Accumulated depreciation expense</t>
        </is>
      </c>
      <c r="D19" s="300" t="n">
        <v>0</v>
      </c>
      <c r="E19" s="300">
        <f>+D19+'Profit and Loss'!E26</f>
        <v/>
      </c>
      <c r="F19" s="300">
        <f>+E19+'Profit and Loss'!F26</f>
        <v/>
      </c>
      <c r="G19" s="300">
        <f>+F19+'Profit and Loss'!G26</f>
        <v/>
      </c>
      <c r="H19" s="300">
        <f>+G19+'Profit and Loss'!H26</f>
        <v/>
      </c>
      <c r="I19" s="287">
        <f>+H19+'Profit and Loss'!I26</f>
        <v/>
      </c>
    </row>
    <row r="20" ht="12.75" customHeight="1" s="199">
      <c r="B20" s="267" t="n"/>
      <c r="C20" s="296" t="inlineStr">
        <is>
          <t>Net property/equipment</t>
        </is>
      </c>
      <c r="D20" s="302">
        <f>SUM(D15:D18)-D19</f>
        <v/>
      </c>
      <c r="E20" s="302">
        <f>SUM(E15:E18)-E19</f>
        <v/>
      </c>
      <c r="F20" s="302">
        <f>SUM(F15:F18)-F19</f>
        <v/>
      </c>
      <c r="G20" s="302">
        <f>SUM(G15:G18)-G19</f>
        <v/>
      </c>
      <c r="H20" s="302">
        <f>SUM(H15:H18)-H19</f>
        <v/>
      </c>
      <c r="I20" s="303">
        <f>SUM(I15:I18)-I19</f>
        <v/>
      </c>
    </row>
    <row r="21" ht="12.75" customHeight="1" s="199">
      <c r="B21" s="267" t="n"/>
      <c r="C21" s="240" t="n"/>
      <c r="D21" s="280" t="n"/>
      <c r="E21" s="280" t="n"/>
      <c r="F21" s="280" t="n"/>
      <c r="G21" s="280" t="n"/>
      <c r="H21" s="280" t="n"/>
      <c r="I21" s="281" t="n"/>
    </row>
    <row r="22" ht="12.75" customHeight="1" s="199">
      <c r="B22" s="267" t="n"/>
      <c r="C22" s="240" t="inlineStr">
        <is>
          <t>Goodwill</t>
        </is>
      </c>
      <c r="D22" s="298" t="n">
        <v>0</v>
      </c>
      <c r="E22" s="332">
        <f>+D22</f>
        <v/>
      </c>
      <c r="F22" s="332">
        <f>+E22</f>
        <v/>
      </c>
      <c r="G22" s="332">
        <f>+F22</f>
        <v/>
      </c>
      <c r="H22" s="332">
        <f>+G22</f>
        <v/>
      </c>
      <c r="I22" s="333">
        <f>+H22</f>
        <v/>
      </c>
    </row>
    <row r="23" ht="12.75" customHeight="1" s="199">
      <c r="B23" s="267" t="n"/>
      <c r="C23" s="240" t="inlineStr">
        <is>
          <t>Deferred income tax</t>
        </is>
      </c>
      <c r="D23" s="299" t="n">
        <v>0</v>
      </c>
      <c r="E23" s="330">
        <f>+D23</f>
        <v/>
      </c>
      <c r="F23" s="330">
        <f>+E23</f>
        <v/>
      </c>
      <c r="G23" s="330">
        <f>+F23</f>
        <v/>
      </c>
      <c r="H23" s="330">
        <f>+G23</f>
        <v/>
      </c>
      <c r="I23" s="331">
        <f>+H23</f>
        <v/>
      </c>
    </row>
    <row r="24" ht="12.75" customHeight="1" s="199">
      <c r="B24" s="267" t="n"/>
      <c r="C24" s="240" t="inlineStr">
        <is>
          <t>Long-term investments</t>
        </is>
      </c>
      <c r="D24" s="299" t="n">
        <v>0</v>
      </c>
      <c r="E24" s="330">
        <f>+D24</f>
        <v/>
      </c>
      <c r="F24" s="330">
        <f>+E24</f>
        <v/>
      </c>
      <c r="G24" s="330">
        <f>+F24</f>
        <v/>
      </c>
      <c r="H24" s="330">
        <f>+G24</f>
        <v/>
      </c>
      <c r="I24" s="331">
        <f>+H24</f>
        <v/>
      </c>
    </row>
    <row r="25" ht="12.75" customHeight="1" s="199">
      <c r="B25" s="267" t="n"/>
      <c r="C25" s="240" t="inlineStr">
        <is>
          <t>Deposits</t>
        </is>
      </c>
      <c r="D25" s="299" t="n">
        <v>0</v>
      </c>
      <c r="E25" s="330">
        <f>+D25</f>
        <v/>
      </c>
      <c r="F25" s="330">
        <f>+E25</f>
        <v/>
      </c>
      <c r="G25" s="330">
        <f>+F25</f>
        <v/>
      </c>
      <c r="H25" s="330">
        <f>+G25</f>
        <v/>
      </c>
      <c r="I25" s="331">
        <f>+H25</f>
        <v/>
      </c>
    </row>
    <row r="26" ht="12.75" customHeight="1" s="199">
      <c r="B26" s="267" t="n"/>
      <c r="C26" s="240" t="inlineStr">
        <is>
          <t>Other long-term assets</t>
        </is>
      </c>
      <c r="D26" s="299" t="n">
        <v>0</v>
      </c>
      <c r="E26" s="330">
        <f>+D26</f>
        <v/>
      </c>
      <c r="F26" s="330">
        <f>+E26</f>
        <v/>
      </c>
      <c r="G26" s="330">
        <f>+F26</f>
        <v/>
      </c>
      <c r="H26" s="330">
        <f>+G26</f>
        <v/>
      </c>
      <c r="I26" s="331">
        <f>+H26</f>
        <v/>
      </c>
    </row>
    <row r="27" ht="13.5" customHeight="1" s="199">
      <c r="B27" s="267" t="n"/>
      <c r="C27" s="334" t="inlineStr">
        <is>
          <t>Total assets</t>
        </is>
      </c>
      <c r="D27" s="320">
        <f>SUM(D22:D26)+D20+D13</f>
        <v/>
      </c>
      <c r="E27" s="320">
        <f>SUM(E22:E26)+E20+E13</f>
        <v/>
      </c>
      <c r="F27" s="320">
        <f>SUM(F22:F26)+F20+F13</f>
        <v/>
      </c>
      <c r="G27" s="320">
        <f>SUM(G22:G26)+G20+G13</f>
        <v/>
      </c>
      <c r="H27" s="320">
        <f>SUM(H22:H26)+H20+H13</f>
        <v/>
      </c>
      <c r="I27" s="321">
        <f>SUM(I22:I26)+I20+I13</f>
        <v/>
      </c>
    </row>
    <row r="28" ht="13.5" customHeight="1" s="199">
      <c r="B28" s="267" t="n"/>
      <c r="C28" s="240" t="n"/>
      <c r="D28" s="335" t="n"/>
      <c r="E28" s="335" t="n"/>
      <c r="F28" s="335" t="n"/>
      <c r="G28" s="335" t="n"/>
      <c r="H28" s="335" t="n"/>
      <c r="I28" s="336" t="n"/>
    </row>
    <row r="29" ht="12.75" customHeight="1" s="199">
      <c r="B29" s="337" t="inlineStr">
        <is>
          <t>Liabilities</t>
        </is>
      </c>
      <c r="C29" s="338" t="n"/>
      <c r="D29" s="339" t="inlineStr">
        <is>
          <t>Initial balance</t>
        </is>
      </c>
      <c r="E29" s="339">
        <f>E6</f>
        <v/>
      </c>
      <c r="F29" s="339">
        <f>F6</f>
        <v/>
      </c>
      <c r="G29" s="339">
        <f>G6</f>
        <v/>
      </c>
      <c r="H29" s="339">
        <f>H6</f>
        <v/>
      </c>
      <c r="I29" s="340">
        <f>I6</f>
        <v/>
      </c>
    </row>
    <row r="30" ht="12.75" customHeight="1" s="199">
      <c r="B30" s="267" t="n"/>
      <c r="C30" s="240" t="inlineStr">
        <is>
          <t>Accounts payable</t>
        </is>
      </c>
      <c r="D30" s="298" t="n">
        <v>2000</v>
      </c>
      <c r="E30" s="332">
        <f>+D30</f>
        <v/>
      </c>
      <c r="F30" s="332" t="n">
        <v>3000</v>
      </c>
      <c r="G30" s="332">
        <f>+F30</f>
        <v/>
      </c>
      <c r="H30" s="332" t="n">
        <v>1500</v>
      </c>
      <c r="I30" s="333">
        <f>+H30</f>
        <v/>
      </c>
    </row>
    <row r="31" ht="12.75" customHeight="1" s="199">
      <c r="B31" s="267" t="n"/>
      <c r="C31" s="240" t="inlineStr">
        <is>
          <t>Accrued expenses</t>
        </is>
      </c>
      <c r="D31" s="299" t="n">
        <v>0</v>
      </c>
      <c r="E31" s="330">
        <f>+D31</f>
        <v/>
      </c>
      <c r="F31" s="330">
        <f>+E31</f>
        <v/>
      </c>
      <c r="G31" s="330">
        <f>+F31</f>
        <v/>
      </c>
      <c r="H31" s="330">
        <f>+G31</f>
        <v/>
      </c>
      <c r="I31" s="331">
        <f>+H31</f>
        <v/>
      </c>
    </row>
    <row r="32" ht="12.75" customHeight="1" s="199">
      <c r="B32" s="267" t="n"/>
      <c r="C32" s="240" t="inlineStr">
        <is>
          <t>Notes payable/short-term debt</t>
        </is>
      </c>
      <c r="D32" s="299" t="n">
        <v>0</v>
      </c>
      <c r="E32" s="330">
        <f>+D32</f>
        <v/>
      </c>
      <c r="F32" s="330">
        <f>+E32</f>
        <v/>
      </c>
      <c r="G32" s="330">
        <f>+F32</f>
        <v/>
      </c>
      <c r="H32" s="330">
        <f>+G32</f>
        <v/>
      </c>
      <c r="I32" s="331">
        <f>+H32</f>
        <v/>
      </c>
    </row>
    <row r="33" ht="12.75" customHeight="1" s="199">
      <c r="B33" s="267" t="n"/>
      <c r="C33" s="240" t="inlineStr">
        <is>
          <t>Capital leases</t>
        </is>
      </c>
      <c r="D33" s="299" t="n">
        <v>0</v>
      </c>
      <c r="E33" s="330">
        <f>+D33</f>
        <v/>
      </c>
      <c r="F33" s="330">
        <f>+E33</f>
        <v/>
      </c>
      <c r="G33" s="330">
        <f>+F33</f>
        <v/>
      </c>
      <c r="H33" s="330">
        <f>+G33</f>
        <v/>
      </c>
      <c r="I33" s="331">
        <f>+H33</f>
        <v/>
      </c>
    </row>
    <row r="34" ht="12.75" customHeight="1" s="199">
      <c r="B34" s="267" t="n"/>
      <c r="C34" s="240" t="inlineStr">
        <is>
          <t>Other current liabilities</t>
        </is>
      </c>
      <c r="D34" s="299" t="n">
        <v>100</v>
      </c>
      <c r="E34" s="330">
        <f>+D34</f>
        <v/>
      </c>
      <c r="F34" s="330">
        <f>+E34</f>
        <v/>
      </c>
      <c r="G34" s="330">
        <f>+F34</f>
        <v/>
      </c>
      <c r="H34" s="330">
        <f>+G34</f>
        <v/>
      </c>
      <c r="I34" s="331">
        <f>+H34</f>
        <v/>
      </c>
    </row>
    <row r="35" ht="12.75" customHeight="1" s="199">
      <c r="B35" s="267" t="n"/>
      <c r="C35" s="296" t="inlineStr">
        <is>
          <t>Total current liabilities</t>
        </is>
      </c>
      <c r="D35" s="302">
        <f>SUM(D30:D34)</f>
        <v/>
      </c>
      <c r="E35" s="302">
        <f>SUM(E30:E34)</f>
        <v/>
      </c>
      <c r="F35" s="302">
        <f>SUM(F30:F34)</f>
        <v/>
      </c>
      <c r="G35" s="302">
        <f>SUM(G30:G34)</f>
        <v/>
      </c>
      <c r="H35" s="302">
        <f>SUM(H30:H34)</f>
        <v/>
      </c>
      <c r="I35" s="303">
        <f>SUM(I30:I34)</f>
        <v/>
      </c>
    </row>
    <row r="36" ht="12.75" customHeight="1" s="199">
      <c r="B36" s="267" t="n"/>
      <c r="C36" s="240" t="n"/>
      <c r="D36" s="280" t="n"/>
      <c r="E36" s="280" t="n"/>
      <c r="F36" s="280" t="n"/>
      <c r="G36" s="280" t="n"/>
      <c r="H36" s="280" t="n"/>
      <c r="I36" s="281" t="n"/>
    </row>
    <row r="37" ht="12.75" customHeight="1" s="199">
      <c r="B37" s="267" t="n"/>
      <c r="C37" s="240" t="inlineStr">
        <is>
          <t>Long-term debt from loan payment calculator</t>
        </is>
      </c>
      <c r="D37" s="282">
        <f>+'Model Inputs'!C44</f>
        <v/>
      </c>
      <c r="E37" s="282">
        <f>'Loan Payment Calculator'!D24</f>
        <v/>
      </c>
      <c r="F37" s="282">
        <f>'Loan Payment Calculator'!D36</f>
        <v/>
      </c>
      <c r="G37" s="282">
        <f>'Loan Payment Calculator'!D48</f>
        <v/>
      </c>
      <c r="H37" s="282">
        <f>'Loan Payment Calculator'!D60</f>
        <v/>
      </c>
      <c r="I37" s="283">
        <f>'Loan Payment Calculator'!D72</f>
        <v/>
      </c>
    </row>
    <row r="38" ht="12.75" customHeight="1" s="199">
      <c r="B38" s="267" t="n"/>
      <c r="C38" s="240" t="inlineStr">
        <is>
          <t>Other long-term debt</t>
        </is>
      </c>
      <c r="D38" s="341" t="n">
        <v>100000</v>
      </c>
      <c r="E38" s="341" t="n">
        <v>200000</v>
      </c>
      <c r="F38" s="341" t="n">
        <v>150000</v>
      </c>
      <c r="G38" s="341" t="n">
        <v>175000</v>
      </c>
      <c r="H38" s="341" t="n">
        <v>225000</v>
      </c>
      <c r="I38" s="342" t="n">
        <v>150000</v>
      </c>
    </row>
    <row r="39" ht="12.75" customHeight="1" s="199">
      <c r="B39" s="267" t="n"/>
      <c r="C39" s="296" t="inlineStr">
        <is>
          <t>Total debt</t>
        </is>
      </c>
      <c r="D39" s="282">
        <f>D35+D37+D38</f>
        <v/>
      </c>
      <c r="E39" s="282">
        <f>E35+E37+E38</f>
        <v/>
      </c>
      <c r="F39" s="282">
        <f>F35+F37+F38</f>
        <v/>
      </c>
      <c r="G39" s="282">
        <f>G35+G37+G38</f>
        <v/>
      </c>
      <c r="H39" s="282">
        <f>H35+H37+H38</f>
        <v/>
      </c>
      <c r="I39" s="283">
        <f>I35+I37+I38</f>
        <v/>
      </c>
    </row>
    <row r="40" ht="12.75" customHeight="1" s="199">
      <c r="B40" s="267" t="n"/>
      <c r="C40" s="240" t="n"/>
      <c r="D40" s="280" t="n"/>
      <c r="E40" s="280" t="n"/>
      <c r="F40" s="280" t="n"/>
      <c r="G40" s="280" t="n"/>
      <c r="H40" s="280" t="n"/>
      <c r="I40" s="281" t="n"/>
    </row>
    <row r="41" ht="12.75" customHeight="1" s="199">
      <c r="B41" s="267" t="n"/>
      <c r="C41" s="240" t="inlineStr">
        <is>
          <t>Other liabilities</t>
        </is>
      </c>
      <c r="D41" s="343" t="n">
        <v>0</v>
      </c>
      <c r="E41" s="330">
        <f>+D41</f>
        <v/>
      </c>
      <c r="F41" s="330">
        <f>+E41</f>
        <v/>
      </c>
      <c r="G41" s="330">
        <f>+F41</f>
        <v/>
      </c>
      <c r="H41" s="330">
        <f>+G41</f>
        <v/>
      </c>
      <c r="I41" s="331">
        <f>+H41</f>
        <v/>
      </c>
    </row>
    <row r="42" ht="12.75" customHeight="1" s="199">
      <c r="B42" s="267" t="n"/>
      <c r="C42" s="240" t="n"/>
      <c r="D42" s="280" t="n"/>
      <c r="E42" s="280" t="n"/>
      <c r="F42" s="280" t="n"/>
      <c r="G42" s="280" t="n"/>
      <c r="H42" s="280" t="n"/>
      <c r="I42" s="281" t="n"/>
    </row>
    <row r="43" ht="13.5" customHeight="1" s="199">
      <c r="B43" s="267" t="n"/>
      <c r="C43" s="334" t="inlineStr">
        <is>
          <t>Total liabilities</t>
        </is>
      </c>
      <c r="D43" s="320">
        <f>D35+D37+D38+D41</f>
        <v/>
      </c>
      <c r="E43" s="320">
        <f>E35+E37+E38+E41</f>
        <v/>
      </c>
      <c r="F43" s="320">
        <f>F35+F37+F38+F41</f>
        <v/>
      </c>
      <c r="G43" s="320">
        <f>G35+G37+G38+G41</f>
        <v/>
      </c>
      <c r="H43" s="320">
        <f>H35+H37+H38+H41</f>
        <v/>
      </c>
      <c r="I43" s="321">
        <f>I35+I37+I38+I41</f>
        <v/>
      </c>
    </row>
    <row r="44" ht="13.5" customHeight="1" s="199">
      <c r="B44" s="267" t="n"/>
      <c r="C44" s="240" t="n"/>
      <c r="D44" s="335" t="n"/>
      <c r="E44" s="335" t="n"/>
      <c r="F44" s="335" t="n"/>
      <c r="G44" s="335" t="n"/>
      <c r="H44" s="335" t="n"/>
      <c r="I44" s="336" t="n"/>
    </row>
    <row r="45" ht="12.75" customHeight="1" s="199">
      <c r="B45" s="337" t="inlineStr">
        <is>
          <t>Equity</t>
        </is>
      </c>
      <c r="C45" s="338" t="n"/>
      <c r="D45" s="339" t="inlineStr">
        <is>
          <t>Initial balance</t>
        </is>
      </c>
      <c r="E45" s="339">
        <f>E6</f>
        <v/>
      </c>
      <c r="F45" s="339">
        <f>F6</f>
        <v/>
      </c>
      <c r="G45" s="339">
        <f>G6</f>
        <v/>
      </c>
      <c r="H45" s="339">
        <f>H6</f>
        <v/>
      </c>
      <c r="I45" s="340">
        <f>I6</f>
        <v/>
      </c>
    </row>
    <row r="46" ht="12.75" customHeight="1" s="199">
      <c r="B46" s="267" t="n"/>
      <c r="C46" s="240" t="inlineStr">
        <is>
          <t>Owner's equity (common)</t>
        </is>
      </c>
      <c r="D46" s="298" t="n">
        <v>50000</v>
      </c>
      <c r="E46" s="332">
        <f>D46</f>
        <v/>
      </c>
      <c r="F46" s="332">
        <f>E46</f>
        <v/>
      </c>
      <c r="G46" s="332">
        <f>F46</f>
        <v/>
      </c>
      <c r="H46" s="332">
        <f>G46</f>
        <v/>
      </c>
      <c r="I46" s="333">
        <f>H46</f>
        <v/>
      </c>
    </row>
    <row r="47" ht="12.75" customHeight="1" s="199">
      <c r="B47" s="267" t="n"/>
      <c r="C47" s="240" t="inlineStr">
        <is>
          <t>Paid-in capital</t>
        </is>
      </c>
      <c r="D47" s="299" t="n">
        <v>250000</v>
      </c>
      <c r="E47" s="330">
        <f>+D47</f>
        <v/>
      </c>
      <c r="F47" s="330">
        <f>E47</f>
        <v/>
      </c>
      <c r="G47" s="330">
        <f>F47</f>
        <v/>
      </c>
      <c r="H47" s="330">
        <f>G47</f>
        <v/>
      </c>
      <c r="I47" s="331">
        <f>H47</f>
        <v/>
      </c>
    </row>
    <row r="48" ht="12.75" customHeight="1" s="199">
      <c r="B48" s="267" t="n"/>
      <c r="C48" s="240" t="inlineStr">
        <is>
          <t>Preferred equity</t>
        </is>
      </c>
      <c r="D48" s="299" t="n">
        <v>0</v>
      </c>
      <c r="E48" s="330">
        <f>+D48</f>
        <v/>
      </c>
      <c r="F48" s="330">
        <f>E48</f>
        <v/>
      </c>
      <c r="G48" s="330">
        <f>F48</f>
        <v/>
      </c>
      <c r="H48" s="330">
        <f>G48</f>
        <v/>
      </c>
      <c r="I48" s="331">
        <f>H48</f>
        <v/>
      </c>
    </row>
    <row r="49" ht="12.75" customHeight="1" s="199">
      <c r="B49" s="267" t="n"/>
      <c r="C49" s="240" t="inlineStr">
        <is>
          <t>Retained earnings</t>
        </is>
      </c>
      <c r="D49" s="299" t="n">
        <v>0</v>
      </c>
      <c r="E49" s="300">
        <f>+'Profit and Loss'!E48</f>
        <v/>
      </c>
      <c r="F49" s="300">
        <f>+E49+'Profit and Loss'!F48</f>
        <v/>
      </c>
      <c r="G49" s="300">
        <f>+F49+'Profit and Loss'!G48</f>
        <v/>
      </c>
      <c r="H49" s="300">
        <f>+G49+'Profit and Loss'!H48</f>
        <v/>
      </c>
      <c r="I49" s="287">
        <f>+H49+'Profit and Loss'!I48</f>
        <v/>
      </c>
    </row>
    <row r="50" ht="13.5" customHeight="1" s="199">
      <c r="B50" s="267" t="n"/>
      <c r="C50" s="334" t="inlineStr">
        <is>
          <t>Total equity</t>
        </is>
      </c>
      <c r="D50" s="320">
        <f>SUM(D46:D49)</f>
        <v/>
      </c>
      <c r="E50" s="320">
        <f>SUM(E46:E49)</f>
        <v/>
      </c>
      <c r="F50" s="320">
        <f>SUM(F46:F49)</f>
        <v/>
      </c>
      <c r="G50" s="320">
        <f>SUM(G46:G49)</f>
        <v/>
      </c>
      <c r="H50" s="320">
        <f>SUM(H46:H49)</f>
        <v/>
      </c>
      <c r="I50" s="321">
        <f>SUM(I46:I49)</f>
        <v/>
      </c>
    </row>
    <row r="51" ht="13.5" customHeight="1" s="199">
      <c r="B51" s="267" t="n"/>
      <c r="C51" s="240" t="n"/>
      <c r="D51" s="298" t="n"/>
      <c r="E51" s="298" t="n"/>
      <c r="F51" s="298" t="n"/>
      <c r="G51" s="298" t="n"/>
      <c r="H51" s="298" t="n"/>
      <c r="I51" s="309" t="n"/>
    </row>
    <row r="52" ht="13.5" customHeight="1" s="199">
      <c r="B52" s="267" t="n"/>
      <c r="C52" s="344" t="inlineStr">
        <is>
          <t>Total liabilities and equity</t>
        </is>
      </c>
      <c r="D52" s="320">
        <f>D50+D43</f>
        <v/>
      </c>
      <c r="E52" s="320">
        <f>E50+E43</f>
        <v/>
      </c>
      <c r="F52" s="320">
        <f>F50+F43</f>
        <v/>
      </c>
      <c r="G52" s="320">
        <f>G50+G43</f>
        <v/>
      </c>
      <c r="H52" s="320">
        <f>H50+H43</f>
        <v/>
      </c>
      <c r="I52" s="321">
        <f>I50+I43</f>
        <v/>
      </c>
    </row>
    <row r="53" ht="14.25" customHeight="1" s="199">
      <c r="B53" s="261" t="n"/>
      <c r="C53" s="271" t="n"/>
      <c r="D53" s="345" t="n"/>
      <c r="E53" s="345" t="n"/>
      <c r="F53" s="345" t="n"/>
      <c r="G53" s="345" t="n"/>
      <c r="H53" s="345" t="n"/>
      <c r="I53" s="346" t="n"/>
    </row>
  </sheetData>
  <printOptions horizontalCentered="1" verticalCentered="0" headings="0" gridLines="0" gridLinesSet="1"/>
  <pageMargins left="0.747916666666667" right="0.747916666666667" top="0.470138888888889" bottom="0.529861111111111" header="0.511805555555555" footer="0.511805555555555"/>
  <pageSetup orientation="landscape" paperSize="1" scale="100" fitToHeight="1" fitToWidth="1" firstPageNumber="0" useFirstPageNumber="0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E6E6E6"/>
    <outlinePr summaryBelow="1" summaryRight="1"/>
    <pageSetUpPr fitToPage="1"/>
  </sheetPr>
  <dimension ref="B1:I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zeroHeight="0" outlineLevelRow="0"/>
  <cols>
    <col width="4.98" customWidth="1" style="197" min="1" max="1"/>
    <col width="5.55" customWidth="1" style="197" min="2" max="2"/>
    <col width="30.24" customWidth="1" style="240" min="3" max="3"/>
    <col width="13.69" customWidth="1" style="198" min="4" max="9"/>
    <col width="9.130000000000001" customWidth="1" style="197" min="10" max="257"/>
  </cols>
  <sheetData>
    <row r="1" ht="15.75" customHeight="1" s="199">
      <c r="B1" s="200">
        <f>+'Model Inputs'!B1</f>
        <v/>
      </c>
      <c r="C1" s="240" t="n"/>
      <c r="D1" s="198" t="n"/>
      <c r="E1" s="198" t="n"/>
      <c r="F1" s="198" t="n"/>
      <c r="G1" s="198" t="n"/>
      <c r="H1" s="198" t="n"/>
      <c r="I1" s="198" t="n"/>
    </row>
    <row r="2" ht="15.75" customHeight="1" s="199">
      <c r="B2" s="200">
        <f>+'Model Inputs'!B2</f>
        <v/>
      </c>
      <c r="C2" s="240" t="n"/>
      <c r="D2" s="198" t="n"/>
      <c r="E2" s="198" t="n"/>
      <c r="F2" s="198" t="n"/>
      <c r="G2" s="198" t="n"/>
      <c r="H2" s="198" t="n"/>
      <c r="I2" s="198" t="n"/>
    </row>
    <row r="3" ht="15.75" customHeight="1" s="199">
      <c r="B3" s="200" t="inlineStr">
        <is>
          <t>Cash flow</t>
        </is>
      </c>
      <c r="C3" s="240" t="n"/>
      <c r="D3" s="198" t="n"/>
      <c r="E3" s="198" t="n"/>
      <c r="F3" s="198" t="n"/>
      <c r="G3" s="198" t="n"/>
      <c r="H3" s="198" t="n"/>
      <c r="I3" s="198" t="n"/>
    </row>
    <row r="4" ht="12.75" customHeight="1" s="199">
      <c r="B4" s="200" t="n"/>
      <c r="C4" s="240" t="n"/>
      <c r="D4" s="198" t="n"/>
      <c r="E4" s="198" t="n"/>
      <c r="F4" s="198" t="n"/>
      <c r="G4" s="198" t="n"/>
      <c r="H4" s="198" t="n"/>
      <c r="I4" s="198" t="n"/>
    </row>
    <row r="5" ht="12.75" customHeight="1" s="199">
      <c r="B5" s="200" t="n"/>
      <c r="C5" s="240" t="n"/>
      <c r="D5" s="325" t="n"/>
      <c r="E5" s="325" t="n"/>
      <c r="F5" s="325" t="n"/>
      <c r="G5" s="325" t="n"/>
      <c r="H5" s="325" t="n"/>
      <c r="I5" s="249" t="n"/>
    </row>
    <row r="6" ht="12.75" customHeight="1" s="199">
      <c r="B6" s="326" t="n"/>
      <c r="C6" s="327" t="n"/>
      <c r="D6" s="328" t="inlineStr">
        <is>
          <t>Year 1</t>
        </is>
      </c>
      <c r="E6" s="328" t="inlineStr">
        <is>
          <t>Year 2</t>
        </is>
      </c>
      <c r="F6" s="328" t="inlineStr">
        <is>
          <t>Year 3</t>
        </is>
      </c>
      <c r="G6" s="328" t="inlineStr">
        <is>
          <t>Year 4</t>
        </is>
      </c>
      <c r="H6" s="328" t="inlineStr">
        <is>
          <t>Year 5</t>
        </is>
      </c>
      <c r="I6" s="347" t="inlineStr">
        <is>
          <t>Total</t>
        </is>
      </c>
    </row>
    <row r="7" ht="12.75" customHeight="1" s="199">
      <c r="B7" s="243" t="inlineStr">
        <is>
          <t>Operating activities</t>
        </is>
      </c>
      <c r="C7" s="240" t="n"/>
      <c r="D7" s="348" t="n"/>
      <c r="E7" s="348" t="n"/>
      <c r="F7" s="348" t="n"/>
      <c r="G7" s="348" t="n"/>
      <c r="H7" s="348" t="n"/>
      <c r="I7" s="349" t="n"/>
    </row>
    <row r="8" ht="12.75" customHeight="1" s="199">
      <c r="B8" s="267" t="n"/>
      <c r="C8" s="240" t="inlineStr">
        <is>
          <t>Net income</t>
        </is>
      </c>
      <c r="D8" s="282">
        <f>+'Profit and Loss'!E48</f>
        <v/>
      </c>
      <c r="E8" s="282">
        <f>+'Profit and Loss'!F48</f>
        <v/>
      </c>
      <c r="F8" s="282">
        <f>+'Profit and Loss'!G48</f>
        <v/>
      </c>
      <c r="G8" s="282">
        <f>+'Profit and Loss'!H48</f>
        <v/>
      </c>
      <c r="H8" s="282">
        <f>+'Profit and Loss'!I48</f>
        <v/>
      </c>
      <c r="I8" s="350">
        <f>SUM(D8:H8)</f>
        <v/>
      </c>
    </row>
    <row r="9" ht="12.75" customHeight="1" s="199">
      <c r="B9" s="267" t="n"/>
      <c r="C9" s="240" t="inlineStr">
        <is>
          <t>Depreciation</t>
        </is>
      </c>
      <c r="D9" s="300">
        <f>'Profit and Loss'!E26</f>
        <v/>
      </c>
      <c r="E9" s="300">
        <f>'Profit and Loss'!F26</f>
        <v/>
      </c>
      <c r="F9" s="300">
        <f>'Profit and Loss'!G26</f>
        <v/>
      </c>
      <c r="G9" s="300">
        <f>'Profit and Loss'!H26</f>
        <v/>
      </c>
      <c r="H9" s="300">
        <f>'Profit and Loss'!I26</f>
        <v/>
      </c>
      <c r="I9" s="351">
        <f>SUM(D9:H9)</f>
        <v/>
      </c>
    </row>
    <row r="10" ht="12.75" customHeight="1" s="199">
      <c r="B10" s="267" t="n"/>
      <c r="C10" s="240" t="inlineStr">
        <is>
          <t>Accounts receivable</t>
        </is>
      </c>
      <c r="D10" s="300">
        <f>+'Balance Sheet'!D8-'Balance Sheet'!E8</f>
        <v/>
      </c>
      <c r="E10" s="300">
        <f>+'Balance Sheet'!E8-'Balance Sheet'!F8</f>
        <v/>
      </c>
      <c r="F10" s="300">
        <f>+'Balance Sheet'!F8-'Balance Sheet'!G8</f>
        <v/>
      </c>
      <c r="G10" s="300">
        <f>+'Balance Sheet'!G8-'Balance Sheet'!H8</f>
        <v/>
      </c>
      <c r="H10" s="300">
        <f>+'Balance Sheet'!H8-'Balance Sheet'!I8</f>
        <v/>
      </c>
      <c r="I10" s="351">
        <f>SUM(D10:H10)</f>
        <v/>
      </c>
    </row>
    <row r="11" ht="12.75" customHeight="1" s="199">
      <c r="B11" s="267" t="n"/>
      <c r="C11" s="240" t="inlineStr">
        <is>
          <t>Inventories</t>
        </is>
      </c>
      <c r="D11" s="300">
        <f>+'Balance Sheet'!D9-'Balance Sheet'!E9</f>
        <v/>
      </c>
      <c r="E11" s="300">
        <f>+'Balance Sheet'!E9-'Balance Sheet'!F9</f>
        <v/>
      </c>
      <c r="F11" s="300">
        <f>+'Balance Sheet'!F9-'Balance Sheet'!G9</f>
        <v/>
      </c>
      <c r="G11" s="300">
        <f>+'Balance Sheet'!G9-'Balance Sheet'!H9</f>
        <v/>
      </c>
      <c r="H11" s="300">
        <f>+'Balance Sheet'!H9-'Balance Sheet'!I9</f>
        <v/>
      </c>
      <c r="I11" s="351">
        <f>SUM(D11:H11)</f>
        <v/>
      </c>
    </row>
    <row r="12" ht="12.75" customHeight="1" s="199">
      <c r="B12" s="267" t="n"/>
      <c r="C12" s="240" t="inlineStr">
        <is>
          <t>Accounts payable</t>
        </is>
      </c>
      <c r="D12" s="300">
        <f>+'Balance Sheet'!E30-'Balance Sheet'!D30</f>
        <v/>
      </c>
      <c r="E12" s="300">
        <f>+'Balance Sheet'!F30-'Balance Sheet'!E30</f>
        <v/>
      </c>
      <c r="F12" s="300">
        <f>+'Balance Sheet'!G30-'Balance Sheet'!F30</f>
        <v/>
      </c>
      <c r="G12" s="300">
        <f>+'Balance Sheet'!H30-'Balance Sheet'!G30</f>
        <v/>
      </c>
      <c r="H12" s="300">
        <f>+'Balance Sheet'!I30-'Balance Sheet'!H30</f>
        <v/>
      </c>
      <c r="I12" s="351">
        <f>SUM(D12:H12)</f>
        <v/>
      </c>
    </row>
    <row r="13" ht="12.75" customHeight="1" s="199">
      <c r="B13" s="267" t="n"/>
      <c r="C13" s="240" t="inlineStr">
        <is>
          <t>Amortization</t>
        </is>
      </c>
      <c r="D13" s="299" t="n">
        <v>0</v>
      </c>
      <c r="E13" s="330">
        <f>D13</f>
        <v/>
      </c>
      <c r="F13" s="330">
        <f>E13</f>
        <v/>
      </c>
      <c r="G13" s="330">
        <f>F13</f>
        <v/>
      </c>
      <c r="H13" s="330">
        <f>G13</f>
        <v/>
      </c>
      <c r="I13" s="351">
        <f>SUM(D13:H13)</f>
        <v/>
      </c>
    </row>
    <row r="14" ht="12.75" customHeight="1" s="199">
      <c r="B14" s="267" t="n"/>
      <c r="C14" s="240" t="inlineStr">
        <is>
          <t>Other liabilities</t>
        </is>
      </c>
      <c r="D14" s="299" t="n">
        <v>0</v>
      </c>
      <c r="E14" s="330">
        <f>D14</f>
        <v/>
      </c>
      <c r="F14" s="330">
        <f>E14</f>
        <v/>
      </c>
      <c r="G14" s="330">
        <f>F14</f>
        <v/>
      </c>
      <c r="H14" s="330">
        <f>G14</f>
        <v/>
      </c>
      <c r="I14" s="351">
        <f>SUM(D14:H14)</f>
        <v/>
      </c>
    </row>
    <row r="15" ht="12.75" customHeight="1" s="199">
      <c r="B15" s="267" t="n"/>
      <c r="C15" s="240" t="inlineStr">
        <is>
          <t>Other operating cash flow items</t>
        </is>
      </c>
      <c r="D15" s="299" t="n">
        <v>0</v>
      </c>
      <c r="E15" s="330">
        <f>D15</f>
        <v/>
      </c>
      <c r="F15" s="330">
        <f>E15</f>
        <v/>
      </c>
      <c r="G15" s="330">
        <f>F15</f>
        <v/>
      </c>
      <c r="H15" s="330">
        <f>G15</f>
        <v/>
      </c>
      <c r="I15" s="351">
        <f>SUM(D15:H15)</f>
        <v/>
      </c>
    </row>
    <row r="16" ht="12.75" customHeight="1" s="199">
      <c r="B16" s="267" t="n"/>
      <c r="C16" s="352" t="inlineStr">
        <is>
          <t>Total operating activities</t>
        </is>
      </c>
      <c r="D16" s="313">
        <f>SUM(D8:D15)</f>
        <v/>
      </c>
      <c r="E16" s="313">
        <f>SUM(E8:E15)</f>
        <v/>
      </c>
      <c r="F16" s="313">
        <f>SUM(F8:F15)</f>
        <v/>
      </c>
      <c r="G16" s="313">
        <f>SUM(G8:G15)</f>
        <v/>
      </c>
      <c r="H16" s="313">
        <f>SUM(H8:H15)</f>
        <v/>
      </c>
      <c r="I16" s="353">
        <f>SUM(D16:H16)</f>
        <v/>
      </c>
    </row>
    <row r="17" ht="12.75" customHeight="1" s="199">
      <c r="B17" s="267" t="n"/>
      <c r="C17" s="240" t="n"/>
      <c r="D17" s="280" t="n"/>
      <c r="E17" s="280" t="n"/>
      <c r="F17" s="280" t="n"/>
      <c r="G17" s="280" t="n"/>
      <c r="H17" s="280" t="n"/>
      <c r="I17" s="354" t="n"/>
    </row>
    <row r="18" ht="12.75" customHeight="1" s="199">
      <c r="B18" s="243" t="inlineStr">
        <is>
          <t>Investing activities</t>
        </is>
      </c>
      <c r="C18" s="240" t="n"/>
      <c r="D18" s="280" t="n"/>
      <c r="E18" s="280" t="n"/>
      <c r="F18" s="280" t="n"/>
      <c r="G18" s="280" t="n"/>
      <c r="H18" s="280" t="n"/>
      <c r="I18" s="354" t="n"/>
    </row>
    <row r="19" ht="12.75" customHeight="1" s="199">
      <c r="B19" s="267" t="n"/>
      <c r="C19" s="240" t="inlineStr">
        <is>
          <t>Capital expenditures</t>
        </is>
      </c>
      <c r="D19" s="282">
        <f>-1*MAX(0,SUM('Balance Sheet'!E15:E18)-SUM('Balance Sheet'!D15:D18))</f>
        <v/>
      </c>
      <c r="E19" s="282">
        <f>-1*MAX(0,SUM('Balance Sheet'!F15:F18)-SUM('Balance Sheet'!E15:E18))</f>
        <v/>
      </c>
      <c r="F19" s="282">
        <f>-1*MAX(0,SUM('Balance Sheet'!G15:G18)-SUM('Balance Sheet'!F15:F18))</f>
        <v/>
      </c>
      <c r="G19" s="282">
        <f>-1*MAX(0,SUM('Balance Sheet'!H15:H18)-SUM('Balance Sheet'!G15:G18))</f>
        <v/>
      </c>
      <c r="H19" s="282">
        <f>-1*MAX(0,SUM('Balance Sheet'!I15:I18)-SUM('Balance Sheet'!H15:H18))</f>
        <v/>
      </c>
      <c r="I19" s="350">
        <f>SUM(D19:H19)</f>
        <v/>
      </c>
    </row>
    <row r="20" ht="12.75" customHeight="1" s="199">
      <c r="B20" s="267" t="n"/>
      <c r="C20" s="240" t="inlineStr">
        <is>
          <t>Acquisition of business</t>
        </is>
      </c>
      <c r="D20" s="299" t="n">
        <v>0</v>
      </c>
      <c r="E20" s="299" t="n">
        <v>0</v>
      </c>
      <c r="F20" s="299" t="n">
        <v>0</v>
      </c>
      <c r="G20" s="299" t="n">
        <v>0</v>
      </c>
      <c r="H20" s="299" t="n">
        <v>0</v>
      </c>
      <c r="I20" s="351">
        <f>SUM(D20:H20)</f>
        <v/>
      </c>
    </row>
    <row r="21" ht="12.75" customHeight="1" s="199">
      <c r="B21" s="267" t="n"/>
      <c r="C21" s="240" t="inlineStr">
        <is>
          <t>Sale of fixed assets</t>
        </is>
      </c>
      <c r="D21" s="282">
        <f>(-1*MIN(0,SUM('Balance Sheet'!E15:E18)-SUM('Balance Sheet'!D15:D18))-'Profit and Loss'!E41)</f>
        <v/>
      </c>
      <c r="E21" s="282">
        <f>(-1*MIN(0,SUM('Balance Sheet'!F15:F18)-SUM('Balance Sheet'!E15:E18))-'Profit and Loss'!F41)</f>
        <v/>
      </c>
      <c r="F21" s="282">
        <f>(-1*MIN(0,SUM('Balance Sheet'!G15:G18)-SUM('Balance Sheet'!F15:F18))-'Profit and Loss'!G41)</f>
        <v/>
      </c>
      <c r="G21" s="282">
        <f>(-1*MIN(0,SUM('Balance Sheet'!H15:H18)-SUM('Balance Sheet'!G15:G18))-'Profit and Loss'!H41)</f>
        <v/>
      </c>
      <c r="H21" s="282">
        <f>(-1*MIN(0,SUM('Balance Sheet'!I15:I18)-SUM('Balance Sheet'!H15:H18))-'Profit and Loss'!I41)</f>
        <v/>
      </c>
      <c r="I21" s="351">
        <f>SUM(D21:H21)</f>
        <v/>
      </c>
    </row>
    <row r="22" ht="12.75" customHeight="1" s="199">
      <c r="B22" s="267" t="n"/>
      <c r="C22" s="240" t="inlineStr">
        <is>
          <t>Other investing cash flow items</t>
        </is>
      </c>
      <c r="D22" s="299" t="n">
        <v>0</v>
      </c>
      <c r="E22" s="299" t="n">
        <v>0</v>
      </c>
      <c r="F22" s="299" t="n">
        <v>0</v>
      </c>
      <c r="G22" s="299" t="n">
        <v>0</v>
      </c>
      <c r="H22" s="299" t="n">
        <v>0</v>
      </c>
      <c r="I22" s="351">
        <f>SUM(D22:H22)</f>
        <v/>
      </c>
    </row>
    <row r="23" ht="12.75" customHeight="1" s="199">
      <c r="B23" s="267" t="n"/>
      <c r="C23" s="352" t="inlineStr">
        <is>
          <t>Total investing activities</t>
        </is>
      </c>
      <c r="D23" s="313">
        <f>SUM(D19:D22)</f>
        <v/>
      </c>
      <c r="E23" s="313">
        <f>SUM(E19:E22)</f>
        <v/>
      </c>
      <c r="F23" s="313">
        <f>SUM(F19:F22)</f>
        <v/>
      </c>
      <c r="G23" s="313">
        <f>SUM(G19:G22)</f>
        <v/>
      </c>
      <c r="H23" s="313">
        <f>SUM(H19:H22)</f>
        <v/>
      </c>
      <c r="I23" s="353">
        <f>SUM(D23:H23)</f>
        <v/>
      </c>
    </row>
    <row r="24" ht="12.75" customHeight="1" s="199">
      <c r="B24" s="267" t="n"/>
      <c r="C24" s="240" t="n"/>
      <c r="D24" s="280" t="n"/>
      <c r="E24" s="280" t="n"/>
      <c r="F24" s="280" t="n"/>
      <c r="G24" s="280" t="n"/>
      <c r="H24" s="280" t="n"/>
      <c r="I24" s="354" t="n"/>
    </row>
    <row r="25" ht="12.75" customHeight="1" s="199">
      <c r="B25" s="243" t="inlineStr">
        <is>
          <t>Financing activities</t>
        </is>
      </c>
      <c r="C25" s="240" t="n"/>
      <c r="D25" s="280" t="n"/>
      <c r="E25" s="280" t="n"/>
      <c r="F25" s="280" t="n"/>
      <c r="G25" s="280" t="n"/>
      <c r="H25" s="280" t="n"/>
      <c r="I25" s="354" t="n"/>
    </row>
    <row r="26" ht="12.75" customHeight="1" s="199">
      <c r="B26" s="267" t="n"/>
      <c r="C26" s="240" t="inlineStr">
        <is>
          <t>Long-term debt/financing</t>
        </is>
      </c>
      <c r="D26" s="282">
        <f>'Balance Sheet'!E37+'Balance Sheet'!E38-('Balance Sheet'!D37+'Balance Sheet'!D38)</f>
        <v/>
      </c>
      <c r="E26" s="282">
        <f>+'Balance Sheet'!F37+'Balance Sheet'!F38-('Balance Sheet'!E37+'Balance Sheet'!E38)</f>
        <v/>
      </c>
      <c r="F26" s="282">
        <f>'Balance Sheet'!G37+'Balance Sheet'!G38-('Balance Sheet'!F37+'Balance Sheet'!F38)</f>
        <v/>
      </c>
      <c r="G26" s="282">
        <f>'Balance Sheet'!H37+'Balance Sheet'!H38-('Balance Sheet'!G37+'Balance Sheet'!G38)</f>
        <v/>
      </c>
      <c r="H26" s="282">
        <f>'Balance Sheet'!I37+'Balance Sheet'!I38-('Balance Sheet'!H37+'Balance Sheet'!H38)</f>
        <v/>
      </c>
      <c r="I26" s="350">
        <f>SUM(D26:H26)</f>
        <v/>
      </c>
    </row>
    <row r="27" ht="12.75" customHeight="1" s="199">
      <c r="B27" s="267" t="n"/>
      <c r="C27" s="240" t="inlineStr">
        <is>
          <t>Preferred stock</t>
        </is>
      </c>
      <c r="D27" s="299" t="n">
        <v>0</v>
      </c>
      <c r="E27" s="330">
        <f>D27</f>
        <v/>
      </c>
      <c r="F27" s="330">
        <f>E27</f>
        <v/>
      </c>
      <c r="G27" s="330">
        <f>F27</f>
        <v/>
      </c>
      <c r="H27" s="330">
        <f>G27</f>
        <v/>
      </c>
      <c r="I27" s="351">
        <f>SUM(D27:H27)</f>
        <v/>
      </c>
    </row>
    <row r="28" ht="12.75" customHeight="1" s="199">
      <c r="B28" s="267" t="n"/>
      <c r="C28" s="240" t="inlineStr">
        <is>
          <t>Total cash dividends paid</t>
        </is>
      </c>
      <c r="D28" s="299" t="n">
        <v>0</v>
      </c>
      <c r="E28" s="330">
        <f>D28</f>
        <v/>
      </c>
      <c r="F28" s="330">
        <f>E28</f>
        <v/>
      </c>
      <c r="G28" s="330">
        <f>F28</f>
        <v/>
      </c>
      <c r="H28" s="330">
        <f>G28</f>
        <v/>
      </c>
      <c r="I28" s="351">
        <f>SUM(D28:H28)</f>
        <v/>
      </c>
    </row>
    <row r="29" ht="12.75" customHeight="1" s="199">
      <c r="B29" s="267" t="n"/>
      <c r="C29" s="240" t="inlineStr">
        <is>
          <t>Common stock</t>
        </is>
      </c>
      <c r="D29" s="299" t="n">
        <v>0</v>
      </c>
      <c r="E29" s="330">
        <f>D29</f>
        <v/>
      </c>
      <c r="F29" s="330">
        <f>E29</f>
        <v/>
      </c>
      <c r="G29" s="330">
        <f>F29</f>
        <v/>
      </c>
      <c r="H29" s="330">
        <f>G29</f>
        <v/>
      </c>
      <c r="I29" s="351">
        <f>SUM(D29:H29)</f>
        <v/>
      </c>
    </row>
    <row r="30" ht="12.75" customHeight="1" s="199">
      <c r="B30" s="267" t="n"/>
      <c r="C30" s="240" t="inlineStr">
        <is>
          <t>Other financing cash flow items</t>
        </is>
      </c>
      <c r="D30" s="299" t="n">
        <v>0</v>
      </c>
      <c r="E30" s="330">
        <f>D30</f>
        <v/>
      </c>
      <c r="F30" s="330">
        <f>E30</f>
        <v/>
      </c>
      <c r="G30" s="330">
        <f>F30</f>
        <v/>
      </c>
      <c r="H30" s="330">
        <f>G30</f>
        <v/>
      </c>
      <c r="I30" s="351">
        <f>SUM(D30:H30)</f>
        <v/>
      </c>
    </row>
    <row r="31" ht="12.75" customHeight="1" s="199">
      <c r="B31" s="267" t="n"/>
      <c r="C31" s="352" t="inlineStr">
        <is>
          <t>Total financing activities</t>
        </is>
      </c>
      <c r="D31" s="313">
        <f>SUM(D26:D30)</f>
        <v/>
      </c>
      <c r="E31" s="313">
        <f>SUM(E26:E30)</f>
        <v/>
      </c>
      <c r="F31" s="313">
        <f>SUM(F26:F30)</f>
        <v/>
      </c>
      <c r="G31" s="313">
        <f>SUM(G26:G30)</f>
        <v/>
      </c>
      <c r="H31" s="313">
        <f>SUM(H26:H30)</f>
        <v/>
      </c>
      <c r="I31" s="353">
        <f>SUM(D31:H31)</f>
        <v/>
      </c>
    </row>
    <row r="32" ht="12.75" customHeight="1" s="199">
      <c r="B32" s="267" t="n"/>
      <c r="C32" s="240" t="n"/>
      <c r="D32" s="298" t="n"/>
      <c r="E32" s="298" t="n"/>
      <c r="F32" s="298" t="n"/>
      <c r="G32" s="298" t="n"/>
      <c r="H32" s="298" t="n"/>
      <c r="I32" s="354" t="n"/>
    </row>
    <row r="33" ht="12.75" customHeight="1" s="199">
      <c r="B33" s="243" t="inlineStr">
        <is>
          <t>Cumulative cash flow</t>
        </is>
      </c>
      <c r="C33" s="240" t="n"/>
      <c r="D33" s="282">
        <f>D16+D23+D31</f>
        <v/>
      </c>
      <c r="E33" s="282">
        <f>E16+E23+E31</f>
        <v/>
      </c>
      <c r="F33" s="282">
        <f>F16+F23+F31</f>
        <v/>
      </c>
      <c r="G33" s="282">
        <f>G16+G23+G31</f>
        <v/>
      </c>
      <c r="H33" s="282">
        <f>H16+H23+H31</f>
        <v/>
      </c>
      <c r="I33" s="350">
        <f>SUM(D33:H33)</f>
        <v/>
      </c>
    </row>
    <row r="34" ht="12.75" customHeight="1" s="199">
      <c r="B34" s="267" t="n"/>
      <c r="C34" s="240" t="n"/>
      <c r="D34" s="298" t="n"/>
      <c r="E34" s="298" t="n"/>
      <c r="F34" s="298" t="n"/>
      <c r="G34" s="298" t="n"/>
      <c r="H34" s="298" t="n"/>
      <c r="I34" s="355" t="n"/>
    </row>
    <row r="35" ht="12.75" customHeight="1" s="199">
      <c r="B35" s="356" t="inlineStr">
        <is>
          <t>Beginning cash balance</t>
        </is>
      </c>
      <c r="C35" s="284" t="n"/>
      <c r="D35" s="357">
        <f>+'Balance Sheet'!D7</f>
        <v/>
      </c>
      <c r="E35" s="357">
        <f>D36</f>
        <v/>
      </c>
      <c r="F35" s="357">
        <f>E36</f>
        <v/>
      </c>
      <c r="G35" s="357">
        <f>F36</f>
        <v/>
      </c>
      <c r="H35" s="357">
        <f>G36</f>
        <v/>
      </c>
      <c r="I35" s="358" t="n"/>
    </row>
    <row r="36" ht="13.5" customHeight="1" s="199">
      <c r="B36" s="359" t="inlineStr">
        <is>
          <t>Ending cash balance</t>
        </is>
      </c>
      <c r="C36" s="360" t="n"/>
      <c r="D36" s="361">
        <f>D35+D33</f>
        <v/>
      </c>
      <c r="E36" s="361">
        <f>E35+E33</f>
        <v/>
      </c>
      <c r="F36" s="361">
        <f>F35+F33</f>
        <v/>
      </c>
      <c r="G36" s="361">
        <f>G35+G33</f>
        <v/>
      </c>
      <c r="H36" s="361">
        <f>H35+H33</f>
        <v/>
      </c>
      <c r="I36" s="362" t="n"/>
    </row>
  </sheetData>
  <printOptions horizontalCentered="1" verticalCentered="0" headings="0" gridLines="0" gridLinesSet="1"/>
  <pageMargins left="0.747916666666667" right="0.747916666666667" top="0.470138888888889" bottom="0.529861111111111" header="0.511805555555555" footer="0.511805555555555"/>
  <pageSetup orientation="landscape" paperSize="1" scale="100" fitToHeight="1" fitToWidth="1" firstPageNumber="0" useFirstPageNumber="0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FFFFCC"/>
    <outlinePr summaryBelow="1" summaryRight="1"/>
    <pageSetUpPr fitToPage="1"/>
  </sheetPr>
  <dimension ref="A1:G37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zeroHeight="0" outlineLevelRow="0"/>
  <cols>
    <col width="4.98" customWidth="1" style="197" min="1" max="1"/>
    <col width="19.97" customWidth="1" style="197" min="2" max="2"/>
    <col width="12.12" customWidth="1" style="197" min="3" max="3"/>
    <col width="17.4" customWidth="1" style="363" min="4" max="4"/>
    <col width="17.97" customWidth="1" style="364" min="5" max="5"/>
    <col width="10.55" customWidth="1" style="365" min="6" max="6"/>
    <col width="10.27" customWidth="1" style="365" min="7" max="7"/>
    <col width="9.130000000000001" customWidth="1" style="197" min="8" max="257"/>
  </cols>
  <sheetData>
    <row r="1" ht="15.75" customHeight="1" s="199">
      <c r="B1" s="200">
        <f>+'Model Inputs'!B1</f>
        <v/>
      </c>
    </row>
    <row r="2" ht="15.75" customHeight="1" s="199">
      <c r="B2" s="200">
        <f>+'Model Inputs'!B2</f>
        <v/>
      </c>
    </row>
    <row r="3" ht="15.75" customHeight="1" s="199">
      <c r="B3" s="200" t="inlineStr">
        <is>
          <t>Loan payment calculator</t>
        </is>
      </c>
    </row>
    <row r="4" ht="13.5" customHeight="1" s="199">
      <c r="A4" s="288" t="n"/>
    </row>
    <row r="5" ht="12.75" customHeight="1" s="199">
      <c r="B5" s="366" t="inlineStr">
        <is>
          <t>Annual interest rate</t>
        </is>
      </c>
      <c r="C5" s="367" t="n">
        <v>0.05</v>
      </c>
      <c r="D5" s="363" t="n"/>
      <c r="E5" s="368" t="inlineStr">
        <is>
          <t>Note: This calculator can generate principal and interest payments for a period of up to 30 years (360 months).</t>
        </is>
      </c>
      <c r="F5" s="369" t="n"/>
      <c r="G5" s="370" t="n"/>
    </row>
    <row r="6" ht="12.75" customHeight="1" s="199">
      <c r="B6" s="267" t="inlineStr">
        <is>
          <t>Monthly rate</t>
        </is>
      </c>
      <c r="C6" s="371">
        <f>(1+C5)^(1/12)-1</f>
        <v/>
      </c>
      <c r="D6" s="372" t="n"/>
      <c r="E6" s="219" t="n"/>
      <c r="G6" s="220" t="n"/>
    </row>
    <row r="7" ht="13.5" customHeight="1" s="199">
      <c r="B7" s="267" t="inlineStr">
        <is>
          <t>Loan amount</t>
        </is>
      </c>
      <c r="C7" s="373">
        <f>+'Model Inputs'!C44</f>
        <v/>
      </c>
      <c r="D7" s="363" t="n"/>
      <c r="E7" s="221" t="n"/>
      <c r="F7" s="222" t="n"/>
      <c r="G7" s="223" t="n"/>
    </row>
    <row r="8" ht="12.75" customHeight="1" s="199">
      <c r="B8" s="267" t="inlineStr">
        <is>
          <t>Term of loan (months)</t>
        </is>
      </c>
      <c r="C8" s="374" t="n">
        <v>60</v>
      </c>
      <c r="D8" s="363" t="n"/>
    </row>
    <row r="9" ht="13.5" customHeight="1" s="199">
      <c r="B9" s="261" t="inlineStr">
        <is>
          <t>Payment</t>
        </is>
      </c>
      <c r="C9" s="375">
        <f>PMT(C6,C8,C7)</f>
        <v/>
      </c>
      <c r="D9" s="363" t="n"/>
    </row>
    <row r="10" ht="13.5" customHeight="1" s="199">
      <c r="C10" s="376" t="n"/>
    </row>
    <row r="11" ht="12.75" customFormat="1" customHeight="1" s="240">
      <c r="C11" s="377" t="inlineStr">
        <is>
          <t>Month</t>
        </is>
      </c>
      <c r="D11" s="378" t="inlineStr">
        <is>
          <t>Principal balance</t>
        </is>
      </c>
      <c r="E11" s="379" t="inlineStr">
        <is>
          <t>Principal payment</t>
        </is>
      </c>
      <c r="F11" s="378" t="inlineStr">
        <is>
          <t>Interest</t>
        </is>
      </c>
      <c r="G11" s="380" t="inlineStr">
        <is>
          <t>Payment</t>
        </is>
      </c>
    </row>
    <row r="12" ht="12.75" customHeight="1" s="199">
      <c r="C12" s="381" t="n">
        <v>1</v>
      </c>
      <c r="D12" s="382">
        <f>C7</f>
        <v/>
      </c>
      <c r="E12" s="383">
        <f>G12-F12</f>
        <v/>
      </c>
      <c r="F12" s="384">
        <f>-$C$6*D12</f>
        <v/>
      </c>
      <c r="G12" s="385">
        <f>IF(C12&gt;$C$8,0,$C$9)</f>
        <v/>
      </c>
    </row>
    <row r="13" ht="12.75" customHeight="1" s="199">
      <c r="C13" s="386" t="n">
        <v>2</v>
      </c>
      <c r="D13" s="387">
        <f>D12+E12</f>
        <v/>
      </c>
      <c r="E13" s="388">
        <f>G13-F13</f>
        <v/>
      </c>
      <c r="F13" s="389">
        <f>-$C$6*D13</f>
        <v/>
      </c>
      <c r="G13" s="385">
        <f>IF(C13&gt;$C$8,0,$C$9)</f>
        <v/>
      </c>
    </row>
    <row r="14" ht="12.75" customHeight="1" s="199">
      <c r="C14" s="386" t="n">
        <v>3</v>
      </c>
      <c r="D14" s="387">
        <f>D13+E13</f>
        <v/>
      </c>
      <c r="E14" s="388">
        <f>G14-F14</f>
        <v/>
      </c>
      <c r="F14" s="389">
        <f>-$C$6*D14</f>
        <v/>
      </c>
      <c r="G14" s="385">
        <f>IF(C14&gt;$C$8,0,$C$9)</f>
        <v/>
      </c>
    </row>
    <row r="15" ht="12.75" customHeight="1" s="199">
      <c r="C15" s="386" t="n">
        <v>4</v>
      </c>
      <c r="D15" s="387">
        <f>D14+E14</f>
        <v/>
      </c>
      <c r="E15" s="388">
        <f>G15-F15</f>
        <v/>
      </c>
      <c r="F15" s="389">
        <f>-$C$6*D15</f>
        <v/>
      </c>
      <c r="G15" s="385">
        <f>IF(C15&gt;$C$8,0,$C$9)</f>
        <v/>
      </c>
    </row>
    <row r="16" ht="12.75" customHeight="1" s="199">
      <c r="C16" s="386" t="n">
        <v>5</v>
      </c>
      <c r="D16" s="387">
        <f>D15+E15</f>
        <v/>
      </c>
      <c r="E16" s="388">
        <f>G16-F16</f>
        <v/>
      </c>
      <c r="F16" s="389">
        <f>-$C$6*D16</f>
        <v/>
      </c>
      <c r="G16" s="385">
        <f>IF(C16&gt;$C$8,0,$C$9)</f>
        <v/>
      </c>
    </row>
    <row r="17" ht="12.75" customHeight="1" s="199">
      <c r="C17" s="386" t="n">
        <v>6</v>
      </c>
      <c r="D17" s="387">
        <f>D16+E16</f>
        <v/>
      </c>
      <c r="E17" s="388">
        <f>G17-F17</f>
        <v/>
      </c>
      <c r="F17" s="389">
        <f>-$C$6*D17</f>
        <v/>
      </c>
      <c r="G17" s="385">
        <f>IF(C17&gt;$C$8,0,$C$9)</f>
        <v/>
      </c>
    </row>
    <row r="18" ht="12.75" customHeight="1" s="199">
      <c r="C18" s="386" t="n">
        <v>7</v>
      </c>
      <c r="D18" s="387">
        <f>D17+E17</f>
        <v/>
      </c>
      <c r="E18" s="388">
        <f>G18-F18</f>
        <v/>
      </c>
      <c r="F18" s="389">
        <f>-$C$6*D18</f>
        <v/>
      </c>
      <c r="G18" s="385">
        <f>IF(C18&gt;$C$8,0,$C$9)</f>
        <v/>
      </c>
    </row>
    <row r="19" ht="12.75" customHeight="1" s="199">
      <c r="C19" s="386" t="n">
        <v>8</v>
      </c>
      <c r="D19" s="387">
        <f>D18+E18</f>
        <v/>
      </c>
      <c r="E19" s="388">
        <f>G19-F19</f>
        <v/>
      </c>
      <c r="F19" s="389">
        <f>-$C$6*D19</f>
        <v/>
      </c>
      <c r="G19" s="385">
        <f>IF(C19&gt;$C$8,0,$C$9)</f>
        <v/>
      </c>
    </row>
    <row r="20" ht="12.75" customHeight="1" s="199">
      <c r="C20" s="386" t="n">
        <v>9</v>
      </c>
      <c r="D20" s="387">
        <f>D19+E19</f>
        <v/>
      </c>
      <c r="E20" s="388">
        <f>G20-F20</f>
        <v/>
      </c>
      <c r="F20" s="389">
        <f>-$C$6*D20</f>
        <v/>
      </c>
      <c r="G20" s="385">
        <f>IF(C20&gt;$C$8,0,$C$9)</f>
        <v/>
      </c>
    </row>
    <row r="21" ht="12.75" customHeight="1" s="199">
      <c r="C21" s="386" t="n">
        <v>10</v>
      </c>
      <c r="D21" s="387">
        <f>D20+E20</f>
        <v/>
      </c>
      <c r="E21" s="388">
        <f>G21-F21</f>
        <v/>
      </c>
      <c r="F21" s="389">
        <f>-$C$6*D21</f>
        <v/>
      </c>
      <c r="G21" s="385">
        <f>IF(C21&gt;$C$8,0,$C$9)</f>
        <v/>
      </c>
    </row>
    <row r="22" ht="12.75" customHeight="1" s="199">
      <c r="C22" s="386" t="n">
        <v>11</v>
      </c>
      <c r="D22" s="387">
        <f>D21+E21</f>
        <v/>
      </c>
      <c r="E22" s="388">
        <f>G22-F22</f>
        <v/>
      </c>
      <c r="F22" s="389">
        <f>-$C$6*D22</f>
        <v/>
      </c>
      <c r="G22" s="385">
        <f>IF(C22&gt;$C$8,0,$C$9)</f>
        <v/>
      </c>
    </row>
    <row r="23" ht="12.75" customHeight="1" s="199">
      <c r="C23" s="386" t="n">
        <v>12</v>
      </c>
      <c r="D23" s="387">
        <f>D22+E22</f>
        <v/>
      </c>
      <c r="E23" s="388">
        <f>G23-F23</f>
        <v/>
      </c>
      <c r="F23" s="389">
        <f>-$C$6*D23</f>
        <v/>
      </c>
      <c r="G23" s="385">
        <f>IF(C23&gt;$C$8,0,$C$9)</f>
        <v/>
      </c>
    </row>
    <row r="24" ht="12.75" customHeight="1" s="199">
      <c r="C24" s="386" t="n">
        <v>13</v>
      </c>
      <c r="D24" s="387">
        <f>D23+E23</f>
        <v/>
      </c>
      <c r="E24" s="388">
        <f>G24-F24</f>
        <v/>
      </c>
      <c r="F24" s="389">
        <f>-$C$6*D24</f>
        <v/>
      </c>
      <c r="G24" s="385">
        <f>IF(C24&gt;$C$8,0,$C$9)</f>
        <v/>
      </c>
    </row>
    <row r="25" ht="12.75" customHeight="1" s="199">
      <c r="C25" s="386" t="n">
        <v>14</v>
      </c>
      <c r="D25" s="387">
        <f>D24+E24</f>
        <v/>
      </c>
      <c r="E25" s="388">
        <f>G25-F25</f>
        <v/>
      </c>
      <c r="F25" s="389">
        <f>-$C$6*D25</f>
        <v/>
      </c>
      <c r="G25" s="385">
        <f>IF(C25&gt;$C$8,0,$C$9)</f>
        <v/>
      </c>
    </row>
    <row r="26" ht="12.75" customHeight="1" s="199">
      <c r="C26" s="386" t="n">
        <v>15</v>
      </c>
      <c r="D26" s="387">
        <f>D25+E25</f>
        <v/>
      </c>
      <c r="E26" s="388">
        <f>G26-F26</f>
        <v/>
      </c>
      <c r="F26" s="389">
        <f>-$C$6*D26</f>
        <v/>
      </c>
      <c r="G26" s="385">
        <f>IF(C26&gt;$C$8,0,$C$9)</f>
        <v/>
      </c>
    </row>
    <row r="27" ht="12.75" customHeight="1" s="199">
      <c r="C27" s="386" t="n">
        <v>16</v>
      </c>
      <c r="D27" s="387">
        <f>D26+E26</f>
        <v/>
      </c>
      <c r="E27" s="388">
        <f>G27-F27</f>
        <v/>
      </c>
      <c r="F27" s="389">
        <f>-$C$6*D27</f>
        <v/>
      </c>
      <c r="G27" s="385">
        <f>IF(C27&gt;$C$8,0,$C$9)</f>
        <v/>
      </c>
    </row>
    <row r="28" ht="12.75" customHeight="1" s="199">
      <c r="C28" s="386" t="n">
        <v>17</v>
      </c>
      <c r="D28" s="387">
        <f>D27+E27</f>
        <v/>
      </c>
      <c r="E28" s="388">
        <f>G28-F28</f>
        <v/>
      </c>
      <c r="F28" s="389">
        <f>-$C$6*D28</f>
        <v/>
      </c>
      <c r="G28" s="385">
        <f>IF(C28&gt;$C$8,0,$C$9)</f>
        <v/>
      </c>
    </row>
    <row r="29" ht="12.75" customHeight="1" s="199">
      <c r="C29" s="386" t="n">
        <v>18</v>
      </c>
      <c r="D29" s="387">
        <f>D28+E28</f>
        <v/>
      </c>
      <c r="E29" s="388">
        <f>G29-F29</f>
        <v/>
      </c>
      <c r="F29" s="389">
        <f>-$C$6*D29</f>
        <v/>
      </c>
      <c r="G29" s="385">
        <f>IF(C29&gt;$C$8,0,$C$9)</f>
        <v/>
      </c>
    </row>
    <row r="30" ht="12.75" customHeight="1" s="199">
      <c r="C30" s="386" t="n">
        <v>19</v>
      </c>
      <c r="D30" s="387">
        <f>D29+E29</f>
        <v/>
      </c>
      <c r="E30" s="388">
        <f>G30-F30</f>
        <v/>
      </c>
      <c r="F30" s="389">
        <f>-$C$6*D30</f>
        <v/>
      </c>
      <c r="G30" s="385">
        <f>IF(C30&gt;$C$8,0,$C$9)</f>
        <v/>
      </c>
    </row>
    <row r="31" ht="12.75" customHeight="1" s="199">
      <c r="C31" s="386" t="n">
        <v>20</v>
      </c>
      <c r="D31" s="387">
        <f>D30+E30</f>
        <v/>
      </c>
      <c r="E31" s="388">
        <f>G31-F31</f>
        <v/>
      </c>
      <c r="F31" s="389">
        <f>-$C$6*D31</f>
        <v/>
      </c>
      <c r="G31" s="385">
        <f>IF(C31&gt;$C$8,0,$C$9)</f>
        <v/>
      </c>
    </row>
    <row r="32" ht="12.75" customHeight="1" s="199">
      <c r="C32" s="386" t="n">
        <v>21</v>
      </c>
      <c r="D32" s="387">
        <f>D31+E31</f>
        <v/>
      </c>
      <c r="E32" s="388">
        <f>G32-F32</f>
        <v/>
      </c>
      <c r="F32" s="389">
        <f>-$C$6*D32</f>
        <v/>
      </c>
      <c r="G32" s="385">
        <f>IF(C32&gt;$C$8,0,$C$9)</f>
        <v/>
      </c>
    </row>
    <row r="33" ht="12.75" customHeight="1" s="199">
      <c r="C33" s="386" t="n">
        <v>22</v>
      </c>
      <c r="D33" s="387">
        <f>D32+E32</f>
        <v/>
      </c>
      <c r="E33" s="388">
        <f>G33-F33</f>
        <v/>
      </c>
      <c r="F33" s="389">
        <f>-$C$6*D33</f>
        <v/>
      </c>
      <c r="G33" s="385">
        <f>IF(C33&gt;$C$8,0,$C$9)</f>
        <v/>
      </c>
    </row>
    <row r="34" ht="12.75" customHeight="1" s="199">
      <c r="C34" s="386" t="n">
        <v>23</v>
      </c>
      <c r="D34" s="387">
        <f>D33+E33</f>
        <v/>
      </c>
      <c r="E34" s="388">
        <f>G34-F34</f>
        <v/>
      </c>
      <c r="F34" s="389">
        <f>-$C$6*D34</f>
        <v/>
      </c>
      <c r="G34" s="385">
        <f>IF(C34&gt;$C$8,0,$C$9)</f>
        <v/>
      </c>
    </row>
    <row r="35" ht="12.75" customHeight="1" s="199">
      <c r="C35" s="386" t="n">
        <v>24</v>
      </c>
      <c r="D35" s="387">
        <f>D34+E34</f>
        <v/>
      </c>
      <c r="E35" s="388">
        <f>G35-F35</f>
        <v/>
      </c>
      <c r="F35" s="389">
        <f>-$C$6*D35</f>
        <v/>
      </c>
      <c r="G35" s="385">
        <f>IF(C35&gt;$C$8,0,$C$9)</f>
        <v/>
      </c>
    </row>
    <row r="36" ht="12.75" customHeight="1" s="199">
      <c r="C36" s="386" t="n">
        <v>25</v>
      </c>
      <c r="D36" s="387">
        <f>D35+E35</f>
        <v/>
      </c>
      <c r="E36" s="388">
        <f>G36-F36</f>
        <v/>
      </c>
      <c r="F36" s="389">
        <f>-$C$6*D36</f>
        <v/>
      </c>
      <c r="G36" s="385">
        <f>IF(C36&gt;$C$8,0,$C$9)</f>
        <v/>
      </c>
    </row>
    <row r="37" ht="12.75" customHeight="1" s="199">
      <c r="C37" s="386" t="n">
        <v>26</v>
      </c>
      <c r="D37" s="387">
        <f>D36+E36</f>
        <v/>
      </c>
      <c r="E37" s="388">
        <f>G37-F37</f>
        <v/>
      </c>
      <c r="F37" s="389">
        <f>-$C$6*D37</f>
        <v/>
      </c>
      <c r="G37" s="385">
        <f>IF(C37&gt;$C$8,0,$C$9)</f>
        <v/>
      </c>
    </row>
    <row r="38" ht="12.75" customHeight="1" s="199">
      <c r="C38" s="386" t="n">
        <v>27</v>
      </c>
      <c r="D38" s="387">
        <f>D37+E37</f>
        <v/>
      </c>
      <c r="E38" s="388">
        <f>G38-F38</f>
        <v/>
      </c>
      <c r="F38" s="389">
        <f>-$C$6*D38</f>
        <v/>
      </c>
      <c r="G38" s="385">
        <f>IF(C38&gt;$C$8,0,$C$9)</f>
        <v/>
      </c>
    </row>
    <row r="39" ht="12.75" customHeight="1" s="199">
      <c r="C39" s="386" t="n">
        <v>28</v>
      </c>
      <c r="D39" s="387">
        <f>D38+E38</f>
        <v/>
      </c>
      <c r="E39" s="388">
        <f>G39-F39</f>
        <v/>
      </c>
      <c r="F39" s="389">
        <f>-$C$6*D39</f>
        <v/>
      </c>
      <c r="G39" s="385">
        <f>IF(C39&gt;$C$8,0,$C$9)</f>
        <v/>
      </c>
    </row>
    <row r="40" ht="12.75" customHeight="1" s="199">
      <c r="C40" s="386" t="n">
        <v>29</v>
      </c>
      <c r="D40" s="387">
        <f>D39+E39</f>
        <v/>
      </c>
      <c r="E40" s="388">
        <f>G40-F40</f>
        <v/>
      </c>
      <c r="F40" s="389">
        <f>-$C$6*D40</f>
        <v/>
      </c>
      <c r="G40" s="385">
        <f>IF(C40&gt;$C$8,0,$C$9)</f>
        <v/>
      </c>
    </row>
    <row r="41" ht="12.75" customHeight="1" s="199">
      <c r="C41" s="386" t="n">
        <v>30</v>
      </c>
      <c r="D41" s="387">
        <f>D40+E40</f>
        <v/>
      </c>
      <c r="E41" s="388">
        <f>G41-F41</f>
        <v/>
      </c>
      <c r="F41" s="389">
        <f>-$C$6*D41</f>
        <v/>
      </c>
      <c r="G41" s="385">
        <f>IF(C41&gt;$C$8,0,$C$9)</f>
        <v/>
      </c>
    </row>
    <row r="42" ht="12.75" customHeight="1" s="199">
      <c r="C42" s="386" t="n">
        <v>31</v>
      </c>
      <c r="D42" s="387">
        <f>D41+E41</f>
        <v/>
      </c>
      <c r="E42" s="388">
        <f>G42-F42</f>
        <v/>
      </c>
      <c r="F42" s="389">
        <f>-$C$6*D42</f>
        <v/>
      </c>
      <c r="G42" s="385">
        <f>IF(C42&gt;$C$8,0,$C$9)</f>
        <v/>
      </c>
    </row>
    <row r="43" ht="12.75" customHeight="1" s="199">
      <c r="C43" s="386" t="n">
        <v>32</v>
      </c>
      <c r="D43" s="387">
        <f>D42+E42</f>
        <v/>
      </c>
      <c r="E43" s="388">
        <f>G43-F43</f>
        <v/>
      </c>
      <c r="F43" s="389">
        <f>-$C$6*D43</f>
        <v/>
      </c>
      <c r="G43" s="385">
        <f>IF(C43&gt;$C$8,0,$C$9)</f>
        <v/>
      </c>
    </row>
    <row r="44" ht="12.75" customHeight="1" s="199">
      <c r="C44" s="386" t="n">
        <v>33</v>
      </c>
      <c r="D44" s="387">
        <f>D43+E43</f>
        <v/>
      </c>
      <c r="E44" s="388">
        <f>G44-F44</f>
        <v/>
      </c>
      <c r="F44" s="389">
        <f>-$C$6*D44</f>
        <v/>
      </c>
      <c r="G44" s="385">
        <f>IF(C44&gt;$C$8,0,$C$9)</f>
        <v/>
      </c>
    </row>
    <row r="45" ht="12.75" customHeight="1" s="199">
      <c r="C45" s="386" t="n">
        <v>34</v>
      </c>
      <c r="D45" s="387">
        <f>D44+E44</f>
        <v/>
      </c>
      <c r="E45" s="388">
        <f>G45-F45</f>
        <v/>
      </c>
      <c r="F45" s="389">
        <f>-$C$6*D45</f>
        <v/>
      </c>
      <c r="G45" s="385">
        <f>IF(C45&gt;$C$8,0,$C$9)</f>
        <v/>
      </c>
    </row>
    <row r="46" ht="12.75" customHeight="1" s="199">
      <c r="C46" s="386" t="n">
        <v>35</v>
      </c>
      <c r="D46" s="387">
        <f>D45+E45</f>
        <v/>
      </c>
      <c r="E46" s="388">
        <f>G46-F46</f>
        <v/>
      </c>
      <c r="F46" s="389">
        <f>-$C$6*D46</f>
        <v/>
      </c>
      <c r="G46" s="385">
        <f>IF(C46&gt;$C$8,0,$C$9)</f>
        <v/>
      </c>
    </row>
    <row r="47" ht="12.75" customHeight="1" s="199">
      <c r="C47" s="386" t="n">
        <v>36</v>
      </c>
      <c r="D47" s="387">
        <f>D46+E46</f>
        <v/>
      </c>
      <c r="E47" s="388">
        <f>G47-F47</f>
        <v/>
      </c>
      <c r="F47" s="389">
        <f>-$C$6*D47</f>
        <v/>
      </c>
      <c r="G47" s="385">
        <f>IF(C47&gt;$C$8,0,$C$9)</f>
        <v/>
      </c>
    </row>
    <row r="48" ht="12.75" customHeight="1" s="199">
      <c r="C48" s="386" t="n">
        <v>37</v>
      </c>
      <c r="D48" s="387">
        <f>D47+E47</f>
        <v/>
      </c>
      <c r="E48" s="388">
        <f>G48-F48</f>
        <v/>
      </c>
      <c r="F48" s="389">
        <f>-$C$6*D48</f>
        <v/>
      </c>
      <c r="G48" s="385">
        <f>IF(C48&gt;$C$8,0,$C$9)</f>
        <v/>
      </c>
    </row>
    <row r="49" ht="12.75" customHeight="1" s="199">
      <c r="C49" s="386" t="n">
        <v>38</v>
      </c>
      <c r="D49" s="387">
        <f>D48+E48</f>
        <v/>
      </c>
      <c r="E49" s="388">
        <f>G49-F49</f>
        <v/>
      </c>
      <c r="F49" s="389">
        <f>-$C$6*D49</f>
        <v/>
      </c>
      <c r="G49" s="385">
        <f>IF(C49&gt;$C$8,0,$C$9)</f>
        <v/>
      </c>
    </row>
    <row r="50" ht="12.75" customHeight="1" s="199">
      <c r="C50" s="386" t="n">
        <v>39</v>
      </c>
      <c r="D50" s="387">
        <f>D49+E49</f>
        <v/>
      </c>
      <c r="E50" s="388">
        <f>G50-F50</f>
        <v/>
      </c>
      <c r="F50" s="389">
        <f>-$C$6*D50</f>
        <v/>
      </c>
      <c r="G50" s="385">
        <f>IF(C50&gt;$C$8,0,$C$9)</f>
        <v/>
      </c>
    </row>
    <row r="51" ht="12.75" customHeight="1" s="199">
      <c r="C51" s="386" t="n">
        <v>40</v>
      </c>
      <c r="D51" s="387">
        <f>D50+E50</f>
        <v/>
      </c>
      <c r="E51" s="388">
        <f>G51-F51</f>
        <v/>
      </c>
      <c r="F51" s="389">
        <f>-$C$6*D51</f>
        <v/>
      </c>
      <c r="G51" s="385">
        <f>IF(C51&gt;$C$8,0,$C$9)</f>
        <v/>
      </c>
    </row>
    <row r="52" ht="12.75" customHeight="1" s="199">
      <c r="C52" s="386" t="n">
        <v>41</v>
      </c>
      <c r="D52" s="387">
        <f>D51+E51</f>
        <v/>
      </c>
      <c r="E52" s="388">
        <f>G52-F52</f>
        <v/>
      </c>
      <c r="F52" s="389">
        <f>-$C$6*D52</f>
        <v/>
      </c>
      <c r="G52" s="385">
        <f>IF(C52&gt;$C$8,0,$C$9)</f>
        <v/>
      </c>
    </row>
    <row r="53" ht="12.75" customHeight="1" s="199">
      <c r="C53" s="386" t="n">
        <v>42</v>
      </c>
      <c r="D53" s="387">
        <f>D52+E52</f>
        <v/>
      </c>
      <c r="E53" s="388">
        <f>G53-F53</f>
        <v/>
      </c>
      <c r="F53" s="389">
        <f>-$C$6*D53</f>
        <v/>
      </c>
      <c r="G53" s="385">
        <f>IF(C53&gt;$C$8,0,$C$9)</f>
        <v/>
      </c>
    </row>
    <row r="54" ht="12.75" customHeight="1" s="199">
      <c r="C54" s="386" t="n">
        <v>43</v>
      </c>
      <c r="D54" s="387">
        <f>D53+E53</f>
        <v/>
      </c>
      <c r="E54" s="388">
        <f>G54-F54</f>
        <v/>
      </c>
      <c r="F54" s="389">
        <f>-$C$6*D54</f>
        <v/>
      </c>
      <c r="G54" s="385">
        <f>IF(C54&gt;$C$8,0,$C$9)</f>
        <v/>
      </c>
    </row>
    <row r="55" ht="12.75" customHeight="1" s="199">
      <c r="C55" s="386" t="n">
        <v>44</v>
      </c>
      <c r="D55" s="387">
        <f>D54+E54</f>
        <v/>
      </c>
      <c r="E55" s="388">
        <f>G55-F55</f>
        <v/>
      </c>
      <c r="F55" s="389">
        <f>-$C$6*D55</f>
        <v/>
      </c>
      <c r="G55" s="385">
        <f>IF(C55&gt;$C$8,0,$C$9)</f>
        <v/>
      </c>
    </row>
    <row r="56" ht="12.75" customHeight="1" s="199">
      <c r="C56" s="386" t="n">
        <v>45</v>
      </c>
      <c r="D56" s="387">
        <f>D55+E55</f>
        <v/>
      </c>
      <c r="E56" s="388">
        <f>G56-F56</f>
        <v/>
      </c>
      <c r="F56" s="389">
        <f>-$C$6*D56</f>
        <v/>
      </c>
      <c r="G56" s="385">
        <f>IF(C56&gt;$C$8,0,$C$9)</f>
        <v/>
      </c>
    </row>
    <row r="57" ht="12.75" customHeight="1" s="199">
      <c r="C57" s="386" t="n">
        <v>46</v>
      </c>
      <c r="D57" s="387">
        <f>D56+E56</f>
        <v/>
      </c>
      <c r="E57" s="388">
        <f>G57-F57</f>
        <v/>
      </c>
      <c r="F57" s="389">
        <f>-$C$6*D57</f>
        <v/>
      </c>
      <c r="G57" s="385">
        <f>IF(C57&gt;$C$8,0,$C$9)</f>
        <v/>
      </c>
    </row>
    <row r="58" ht="12.75" customHeight="1" s="199">
      <c r="C58" s="386" t="n">
        <v>47</v>
      </c>
      <c r="D58" s="387">
        <f>D57+E57</f>
        <v/>
      </c>
      <c r="E58" s="388">
        <f>G58-F58</f>
        <v/>
      </c>
      <c r="F58" s="389">
        <f>-$C$6*D58</f>
        <v/>
      </c>
      <c r="G58" s="385">
        <f>IF(C58&gt;$C$8,0,$C$9)</f>
        <v/>
      </c>
    </row>
    <row r="59" ht="12.75" customHeight="1" s="199">
      <c r="C59" s="386" t="n">
        <v>48</v>
      </c>
      <c r="D59" s="387">
        <f>D58+E58</f>
        <v/>
      </c>
      <c r="E59" s="388">
        <f>G59-F59</f>
        <v/>
      </c>
      <c r="F59" s="389">
        <f>-$C$6*D59</f>
        <v/>
      </c>
      <c r="G59" s="385">
        <f>IF(C59&gt;$C$8,0,$C$9)</f>
        <v/>
      </c>
    </row>
    <row r="60" ht="12.75" customHeight="1" s="199">
      <c r="C60" s="386" t="n">
        <v>49</v>
      </c>
      <c r="D60" s="387">
        <f>D59+E59</f>
        <v/>
      </c>
      <c r="E60" s="388">
        <f>G60-F60</f>
        <v/>
      </c>
      <c r="F60" s="389">
        <f>-$C$6*D60</f>
        <v/>
      </c>
      <c r="G60" s="385">
        <f>IF(C60&gt;$C$8,0,$C$9)</f>
        <v/>
      </c>
    </row>
    <row r="61" ht="12.75" customHeight="1" s="199">
      <c r="C61" s="386" t="n">
        <v>50</v>
      </c>
      <c r="D61" s="387">
        <f>D60+E60</f>
        <v/>
      </c>
      <c r="E61" s="388">
        <f>G61-F61</f>
        <v/>
      </c>
      <c r="F61" s="389">
        <f>-$C$6*D61</f>
        <v/>
      </c>
      <c r="G61" s="385">
        <f>IF(C61&gt;$C$8,0,$C$9)</f>
        <v/>
      </c>
    </row>
    <row r="62" ht="12.75" customHeight="1" s="199">
      <c r="C62" s="386" t="n">
        <v>51</v>
      </c>
      <c r="D62" s="387">
        <f>D61+E61</f>
        <v/>
      </c>
      <c r="E62" s="388">
        <f>G62-F62</f>
        <v/>
      </c>
      <c r="F62" s="389">
        <f>-$C$6*D62</f>
        <v/>
      </c>
      <c r="G62" s="385">
        <f>IF(C62&gt;$C$8,0,$C$9)</f>
        <v/>
      </c>
    </row>
    <row r="63" ht="12.75" customHeight="1" s="199">
      <c r="C63" s="386" t="n">
        <v>52</v>
      </c>
      <c r="D63" s="387">
        <f>D62+E62</f>
        <v/>
      </c>
      <c r="E63" s="388">
        <f>G63-F63</f>
        <v/>
      </c>
      <c r="F63" s="389">
        <f>-$C$6*D63</f>
        <v/>
      </c>
      <c r="G63" s="385">
        <f>IF(C63&gt;$C$8,0,$C$9)</f>
        <v/>
      </c>
    </row>
    <row r="64" ht="12.75" customHeight="1" s="199">
      <c r="C64" s="386" t="n">
        <v>53</v>
      </c>
      <c r="D64" s="387">
        <f>D63+E63</f>
        <v/>
      </c>
      <c r="E64" s="388">
        <f>G64-F64</f>
        <v/>
      </c>
      <c r="F64" s="389">
        <f>-$C$6*D64</f>
        <v/>
      </c>
      <c r="G64" s="385">
        <f>IF(C64&gt;$C$8,0,$C$9)</f>
        <v/>
      </c>
    </row>
    <row r="65" ht="12.75" customHeight="1" s="199">
      <c r="C65" s="386" t="n">
        <v>54</v>
      </c>
      <c r="D65" s="387">
        <f>D64+E64</f>
        <v/>
      </c>
      <c r="E65" s="388">
        <f>G65-F65</f>
        <v/>
      </c>
      <c r="F65" s="389">
        <f>-$C$6*D65</f>
        <v/>
      </c>
      <c r="G65" s="385">
        <f>IF(C65&gt;$C$8,0,$C$9)</f>
        <v/>
      </c>
    </row>
    <row r="66" ht="12.75" customHeight="1" s="199">
      <c r="C66" s="386" t="n">
        <v>55</v>
      </c>
      <c r="D66" s="387">
        <f>D65+E65</f>
        <v/>
      </c>
      <c r="E66" s="388">
        <f>G66-F66</f>
        <v/>
      </c>
      <c r="F66" s="389">
        <f>-$C$6*D66</f>
        <v/>
      </c>
      <c r="G66" s="385">
        <f>IF(C66&gt;$C$8,0,$C$9)</f>
        <v/>
      </c>
    </row>
    <row r="67" ht="12.75" customHeight="1" s="199">
      <c r="C67" s="386" t="n">
        <v>56</v>
      </c>
      <c r="D67" s="387">
        <f>D66+E66</f>
        <v/>
      </c>
      <c r="E67" s="388">
        <f>G67-F67</f>
        <v/>
      </c>
      <c r="F67" s="389">
        <f>-$C$6*D67</f>
        <v/>
      </c>
      <c r="G67" s="385">
        <f>IF(C67&gt;$C$8,0,$C$9)</f>
        <v/>
      </c>
    </row>
    <row r="68" ht="12.75" customHeight="1" s="199">
      <c r="C68" s="386" t="n">
        <v>57</v>
      </c>
      <c r="D68" s="387">
        <f>D67+E67</f>
        <v/>
      </c>
      <c r="E68" s="388">
        <f>G68-F68</f>
        <v/>
      </c>
      <c r="F68" s="389">
        <f>-$C$6*D68</f>
        <v/>
      </c>
      <c r="G68" s="385">
        <f>IF(C68&gt;$C$8,0,$C$9)</f>
        <v/>
      </c>
    </row>
    <row r="69" ht="12.75" customHeight="1" s="199">
      <c r="C69" s="386" t="n">
        <v>58</v>
      </c>
      <c r="D69" s="387">
        <f>D68+E68</f>
        <v/>
      </c>
      <c r="E69" s="388">
        <f>G69-F69</f>
        <v/>
      </c>
      <c r="F69" s="389">
        <f>-$C$6*D69</f>
        <v/>
      </c>
      <c r="G69" s="385">
        <f>IF(C69&gt;$C$8,0,$C$9)</f>
        <v/>
      </c>
    </row>
    <row r="70" ht="12.75" customHeight="1" s="199">
      <c r="C70" s="386" t="n">
        <v>59</v>
      </c>
      <c r="D70" s="387">
        <f>D69+E69</f>
        <v/>
      </c>
      <c r="E70" s="388">
        <f>G70-F70</f>
        <v/>
      </c>
      <c r="F70" s="389">
        <f>-$C$6*D70</f>
        <v/>
      </c>
      <c r="G70" s="385">
        <f>IF(C70&gt;$C$8,0,$C$9)</f>
        <v/>
      </c>
    </row>
    <row r="71" ht="12.75" customHeight="1" s="199">
      <c r="C71" s="386" t="n">
        <v>60</v>
      </c>
      <c r="D71" s="387">
        <f>D70+E70</f>
        <v/>
      </c>
      <c r="E71" s="388">
        <f>G71-F71</f>
        <v/>
      </c>
      <c r="F71" s="389">
        <f>-$C$6*D71</f>
        <v/>
      </c>
      <c r="G71" s="385">
        <f>IF(C71&gt;$C$8,0,$C$9)</f>
        <v/>
      </c>
    </row>
    <row r="72" ht="12.75" customHeight="1" s="199">
      <c r="C72" s="386" t="n">
        <v>61</v>
      </c>
      <c r="D72" s="387">
        <f>D71+E71</f>
        <v/>
      </c>
      <c r="E72" s="388">
        <f>G72-F72</f>
        <v/>
      </c>
      <c r="F72" s="389">
        <f>-$C$6*D72</f>
        <v/>
      </c>
      <c r="G72" s="385">
        <f>IF(C72&gt;$C$8,0,$C$9)</f>
        <v/>
      </c>
    </row>
    <row r="73" ht="12.75" customHeight="1" s="199">
      <c r="C73" s="386" t="n">
        <v>62</v>
      </c>
      <c r="D73" s="387">
        <f>D72+E72</f>
        <v/>
      </c>
      <c r="E73" s="388">
        <f>G73-F73</f>
        <v/>
      </c>
      <c r="F73" s="389">
        <f>-$C$6*D73</f>
        <v/>
      </c>
      <c r="G73" s="385">
        <f>IF(C73&gt;$C$8,0,$C$9)</f>
        <v/>
      </c>
    </row>
    <row r="74" ht="12.75" customHeight="1" s="199">
      <c r="C74" s="386" t="n">
        <v>63</v>
      </c>
      <c r="D74" s="387">
        <f>D73+E73</f>
        <v/>
      </c>
      <c r="E74" s="388">
        <f>G74-F74</f>
        <v/>
      </c>
      <c r="F74" s="389">
        <f>-$C$6*D74</f>
        <v/>
      </c>
      <c r="G74" s="385">
        <f>IF(C74&gt;$C$8,0,$C$9)</f>
        <v/>
      </c>
    </row>
    <row r="75" ht="12.75" customHeight="1" s="199">
      <c r="C75" s="386" t="n">
        <v>64</v>
      </c>
      <c r="D75" s="387">
        <f>D74+E74</f>
        <v/>
      </c>
      <c r="E75" s="388">
        <f>G75-F75</f>
        <v/>
      </c>
      <c r="F75" s="389">
        <f>-$C$6*D75</f>
        <v/>
      </c>
      <c r="G75" s="385">
        <f>IF(C75&gt;$C$8,0,$C$9)</f>
        <v/>
      </c>
    </row>
    <row r="76" ht="12.75" customHeight="1" s="199">
      <c r="C76" s="386" t="n">
        <v>65</v>
      </c>
      <c r="D76" s="387">
        <f>D75+E75</f>
        <v/>
      </c>
      <c r="E76" s="388">
        <f>G76-F76</f>
        <v/>
      </c>
      <c r="F76" s="389">
        <f>-$C$6*D76</f>
        <v/>
      </c>
      <c r="G76" s="385">
        <f>IF(C76&gt;$C$8,0,$C$9)</f>
        <v/>
      </c>
    </row>
    <row r="77" ht="12.75" customHeight="1" s="199">
      <c r="C77" s="386" t="n">
        <v>66</v>
      </c>
      <c r="D77" s="387">
        <f>D76+E76</f>
        <v/>
      </c>
      <c r="E77" s="388">
        <f>G77-F77</f>
        <v/>
      </c>
      <c r="F77" s="389">
        <f>-$C$6*D77</f>
        <v/>
      </c>
      <c r="G77" s="385">
        <f>IF(C77&gt;$C$8,0,$C$9)</f>
        <v/>
      </c>
    </row>
    <row r="78" ht="12.75" customHeight="1" s="199">
      <c r="C78" s="386" t="n">
        <v>67</v>
      </c>
      <c r="D78" s="387">
        <f>D77+E77</f>
        <v/>
      </c>
      <c r="E78" s="388">
        <f>G78-F78</f>
        <v/>
      </c>
      <c r="F78" s="389">
        <f>-$C$6*D78</f>
        <v/>
      </c>
      <c r="G78" s="385">
        <f>IF(C78&gt;$C$8,0,$C$9)</f>
        <v/>
      </c>
    </row>
    <row r="79" ht="12.75" customHeight="1" s="199">
      <c r="C79" s="386" t="n">
        <v>68</v>
      </c>
      <c r="D79" s="387">
        <f>D78+E78</f>
        <v/>
      </c>
      <c r="E79" s="388">
        <f>G79-F79</f>
        <v/>
      </c>
      <c r="F79" s="389">
        <f>-$C$6*D79</f>
        <v/>
      </c>
      <c r="G79" s="385">
        <f>IF(C79&gt;$C$8,0,$C$9)</f>
        <v/>
      </c>
    </row>
    <row r="80" ht="12.75" customHeight="1" s="199">
      <c r="C80" s="386" t="n">
        <v>69</v>
      </c>
      <c r="D80" s="387">
        <f>D79+E79</f>
        <v/>
      </c>
      <c r="E80" s="388">
        <f>G80-F80</f>
        <v/>
      </c>
      <c r="F80" s="389">
        <f>-$C$6*D80</f>
        <v/>
      </c>
      <c r="G80" s="385">
        <f>IF(C80&gt;$C$8,0,$C$9)</f>
        <v/>
      </c>
    </row>
    <row r="81" ht="12.75" customHeight="1" s="199">
      <c r="C81" s="386" t="n">
        <v>70</v>
      </c>
      <c r="D81" s="387">
        <f>D80+E80</f>
        <v/>
      </c>
      <c r="E81" s="388">
        <f>G81-F81</f>
        <v/>
      </c>
      <c r="F81" s="389">
        <f>-$C$6*D81</f>
        <v/>
      </c>
      <c r="G81" s="385">
        <f>IF(C81&gt;$C$8,0,$C$9)</f>
        <v/>
      </c>
    </row>
    <row r="82" ht="12.75" customHeight="1" s="199">
      <c r="C82" s="386" t="n">
        <v>71</v>
      </c>
      <c r="D82" s="387">
        <f>D81+E81</f>
        <v/>
      </c>
      <c r="E82" s="388">
        <f>G82-F82</f>
        <v/>
      </c>
      <c r="F82" s="389">
        <f>-$C$6*D82</f>
        <v/>
      </c>
      <c r="G82" s="385">
        <f>IF(C82&gt;$C$8,0,$C$9)</f>
        <v/>
      </c>
    </row>
    <row r="83" ht="12.75" customHeight="1" s="199">
      <c r="C83" s="386" t="n">
        <v>72</v>
      </c>
      <c r="D83" s="387">
        <f>D82+E82</f>
        <v/>
      </c>
      <c r="E83" s="388">
        <f>G83-F83</f>
        <v/>
      </c>
      <c r="F83" s="389">
        <f>-$C$6*D83</f>
        <v/>
      </c>
      <c r="G83" s="385">
        <f>IF(C83&gt;$C$8,0,$C$9)</f>
        <v/>
      </c>
    </row>
    <row r="84" ht="12.75" customHeight="1" s="199">
      <c r="C84" s="386" t="n">
        <v>73</v>
      </c>
      <c r="D84" s="387">
        <f>D83+E83</f>
        <v/>
      </c>
      <c r="E84" s="388">
        <f>G84-F84</f>
        <v/>
      </c>
      <c r="F84" s="389">
        <f>-$C$6*D84</f>
        <v/>
      </c>
      <c r="G84" s="385">
        <f>IF(C84&gt;$C$8,0,$C$9)</f>
        <v/>
      </c>
    </row>
    <row r="85" ht="12.75" customHeight="1" s="199">
      <c r="C85" s="386" t="n">
        <v>74</v>
      </c>
      <c r="D85" s="387">
        <f>D84+E84</f>
        <v/>
      </c>
      <c r="E85" s="388">
        <f>G85-F85</f>
        <v/>
      </c>
      <c r="F85" s="389">
        <f>-$C$6*D85</f>
        <v/>
      </c>
      <c r="G85" s="385">
        <f>IF(C85&gt;$C$8,0,$C$9)</f>
        <v/>
      </c>
    </row>
    <row r="86" ht="12.75" customHeight="1" s="199">
      <c r="C86" s="386" t="n">
        <v>75</v>
      </c>
      <c r="D86" s="387">
        <f>D85+E85</f>
        <v/>
      </c>
      <c r="E86" s="388">
        <f>G86-F86</f>
        <v/>
      </c>
      <c r="F86" s="389">
        <f>-$C$6*D86</f>
        <v/>
      </c>
      <c r="G86" s="385">
        <f>IF(C86&gt;$C$8,0,$C$9)</f>
        <v/>
      </c>
    </row>
    <row r="87" ht="12.75" customHeight="1" s="199">
      <c r="C87" s="386" t="n">
        <v>76</v>
      </c>
      <c r="D87" s="387">
        <f>D86+E86</f>
        <v/>
      </c>
      <c r="E87" s="388">
        <f>G87-F87</f>
        <v/>
      </c>
      <c r="F87" s="389">
        <f>-$C$6*D87</f>
        <v/>
      </c>
      <c r="G87" s="385">
        <f>IF(C87&gt;$C$8,0,$C$9)</f>
        <v/>
      </c>
    </row>
    <row r="88" ht="12.75" customHeight="1" s="199">
      <c r="C88" s="386" t="n">
        <v>77</v>
      </c>
      <c r="D88" s="387">
        <f>D87+E87</f>
        <v/>
      </c>
      <c r="E88" s="388">
        <f>G88-F88</f>
        <v/>
      </c>
      <c r="F88" s="389">
        <f>-$C$6*D88</f>
        <v/>
      </c>
      <c r="G88" s="385">
        <f>IF(C88&gt;$C$8,0,$C$9)</f>
        <v/>
      </c>
    </row>
    <row r="89" ht="12.75" customHeight="1" s="199">
      <c r="C89" s="386" t="n">
        <v>78</v>
      </c>
      <c r="D89" s="387">
        <f>D88+E88</f>
        <v/>
      </c>
      <c r="E89" s="388">
        <f>G89-F89</f>
        <v/>
      </c>
      <c r="F89" s="389">
        <f>-$C$6*D89</f>
        <v/>
      </c>
      <c r="G89" s="385">
        <f>IF(C89&gt;$C$8,0,$C$9)</f>
        <v/>
      </c>
    </row>
    <row r="90" ht="12.75" customHeight="1" s="199">
      <c r="C90" s="386" t="n">
        <v>79</v>
      </c>
      <c r="D90" s="387">
        <f>D89+E89</f>
        <v/>
      </c>
      <c r="E90" s="388">
        <f>G90-F90</f>
        <v/>
      </c>
      <c r="F90" s="389">
        <f>-$C$6*D90</f>
        <v/>
      </c>
      <c r="G90" s="385">
        <f>IF(C90&gt;$C$8,0,$C$9)</f>
        <v/>
      </c>
    </row>
    <row r="91" ht="12.75" customHeight="1" s="199">
      <c r="C91" s="386" t="n">
        <v>80</v>
      </c>
      <c r="D91" s="387">
        <f>D90+E90</f>
        <v/>
      </c>
      <c r="E91" s="388">
        <f>G91-F91</f>
        <v/>
      </c>
      <c r="F91" s="389">
        <f>-$C$6*D91</f>
        <v/>
      </c>
      <c r="G91" s="385">
        <f>IF(C91&gt;$C$8,0,$C$9)</f>
        <v/>
      </c>
    </row>
    <row r="92" ht="12.75" customHeight="1" s="199">
      <c r="C92" s="386" t="n">
        <v>81</v>
      </c>
      <c r="D92" s="387">
        <f>D91+E91</f>
        <v/>
      </c>
      <c r="E92" s="388">
        <f>G92-F92</f>
        <v/>
      </c>
      <c r="F92" s="389">
        <f>-$C$6*D92</f>
        <v/>
      </c>
      <c r="G92" s="385">
        <f>IF(C92&gt;$C$8,0,$C$9)</f>
        <v/>
      </c>
    </row>
    <row r="93" ht="12.75" customHeight="1" s="199">
      <c r="C93" s="386" t="n">
        <v>82</v>
      </c>
      <c r="D93" s="387">
        <f>D92+E92</f>
        <v/>
      </c>
      <c r="E93" s="388">
        <f>G93-F93</f>
        <v/>
      </c>
      <c r="F93" s="389">
        <f>-$C$6*D93</f>
        <v/>
      </c>
      <c r="G93" s="385">
        <f>IF(C93&gt;$C$8,0,$C$9)</f>
        <v/>
      </c>
    </row>
    <row r="94" ht="12.75" customHeight="1" s="199">
      <c r="C94" s="386" t="n">
        <v>83</v>
      </c>
      <c r="D94" s="387">
        <f>D93+E93</f>
        <v/>
      </c>
      <c r="E94" s="388">
        <f>G94-F94</f>
        <v/>
      </c>
      <c r="F94" s="389">
        <f>-$C$6*D94</f>
        <v/>
      </c>
      <c r="G94" s="385">
        <f>IF(C94&gt;$C$8,0,$C$9)</f>
        <v/>
      </c>
    </row>
    <row r="95" ht="12.75" customHeight="1" s="199">
      <c r="C95" s="386" t="n">
        <v>84</v>
      </c>
      <c r="D95" s="387">
        <f>D94+E94</f>
        <v/>
      </c>
      <c r="E95" s="388">
        <f>G95-F95</f>
        <v/>
      </c>
      <c r="F95" s="389">
        <f>-$C$6*D95</f>
        <v/>
      </c>
      <c r="G95" s="385">
        <f>IF(C95&gt;$C$8,0,$C$9)</f>
        <v/>
      </c>
    </row>
    <row r="96" ht="12.75" customHeight="1" s="199">
      <c r="C96" s="386" t="n">
        <v>85</v>
      </c>
      <c r="D96" s="387">
        <f>D95+E95</f>
        <v/>
      </c>
      <c r="E96" s="388">
        <f>G96-F96</f>
        <v/>
      </c>
      <c r="F96" s="389">
        <f>-$C$6*D96</f>
        <v/>
      </c>
      <c r="G96" s="385">
        <f>IF(C96&gt;$C$8,0,$C$9)</f>
        <v/>
      </c>
    </row>
    <row r="97" ht="12.75" customHeight="1" s="199">
      <c r="C97" s="386" t="n">
        <v>86</v>
      </c>
      <c r="D97" s="387">
        <f>D96+E96</f>
        <v/>
      </c>
      <c r="E97" s="388">
        <f>G97-F97</f>
        <v/>
      </c>
      <c r="F97" s="389">
        <f>-$C$6*D97</f>
        <v/>
      </c>
      <c r="G97" s="385">
        <f>IF(C97&gt;$C$8,0,$C$9)</f>
        <v/>
      </c>
    </row>
    <row r="98" ht="12.75" customHeight="1" s="199">
      <c r="C98" s="386" t="n">
        <v>87</v>
      </c>
      <c r="D98" s="387">
        <f>D97+E97</f>
        <v/>
      </c>
      <c r="E98" s="388">
        <f>G98-F98</f>
        <v/>
      </c>
      <c r="F98" s="389">
        <f>-$C$6*D98</f>
        <v/>
      </c>
      <c r="G98" s="385">
        <f>IF(C98&gt;$C$8,0,$C$9)</f>
        <v/>
      </c>
    </row>
    <row r="99" ht="12.75" customHeight="1" s="199">
      <c r="C99" s="386" t="n">
        <v>88</v>
      </c>
      <c r="D99" s="387">
        <f>D98+E98</f>
        <v/>
      </c>
      <c r="E99" s="388">
        <f>G99-F99</f>
        <v/>
      </c>
      <c r="F99" s="389">
        <f>-$C$6*D99</f>
        <v/>
      </c>
      <c r="G99" s="385">
        <f>IF(C99&gt;$C$8,0,$C$9)</f>
        <v/>
      </c>
    </row>
    <row r="100" ht="12.75" customHeight="1" s="199">
      <c r="C100" s="386" t="n">
        <v>89</v>
      </c>
      <c r="D100" s="387">
        <f>D99+E99</f>
        <v/>
      </c>
      <c r="E100" s="388">
        <f>G100-F100</f>
        <v/>
      </c>
      <c r="F100" s="389">
        <f>-$C$6*D100</f>
        <v/>
      </c>
      <c r="G100" s="385">
        <f>IF(C100&gt;$C$8,0,$C$9)</f>
        <v/>
      </c>
    </row>
    <row r="101" ht="12.75" customHeight="1" s="199">
      <c r="C101" s="386" t="n">
        <v>90</v>
      </c>
      <c r="D101" s="387">
        <f>D100+E100</f>
        <v/>
      </c>
      <c r="E101" s="388">
        <f>G101-F101</f>
        <v/>
      </c>
      <c r="F101" s="389">
        <f>-$C$6*D101</f>
        <v/>
      </c>
      <c r="G101" s="385">
        <f>IF(C101&gt;$C$8,0,$C$9)</f>
        <v/>
      </c>
    </row>
    <row r="102" ht="12.75" customHeight="1" s="199">
      <c r="C102" s="386" t="n">
        <v>91</v>
      </c>
      <c r="D102" s="387">
        <f>D101+E101</f>
        <v/>
      </c>
      <c r="E102" s="388">
        <f>G102-F102</f>
        <v/>
      </c>
      <c r="F102" s="389">
        <f>-$C$6*D102</f>
        <v/>
      </c>
      <c r="G102" s="385">
        <f>IF(C102&gt;$C$8,0,$C$9)</f>
        <v/>
      </c>
    </row>
    <row r="103" ht="12.75" customHeight="1" s="199">
      <c r="C103" s="386" t="n">
        <v>92</v>
      </c>
      <c r="D103" s="387">
        <f>D102+E102</f>
        <v/>
      </c>
      <c r="E103" s="388">
        <f>G103-F103</f>
        <v/>
      </c>
      <c r="F103" s="389">
        <f>-$C$6*D103</f>
        <v/>
      </c>
      <c r="G103" s="385">
        <f>IF(C103&gt;$C$8,0,$C$9)</f>
        <v/>
      </c>
    </row>
    <row r="104" ht="12.75" customHeight="1" s="199">
      <c r="C104" s="386" t="n">
        <v>93</v>
      </c>
      <c r="D104" s="387">
        <f>D103+E103</f>
        <v/>
      </c>
      <c r="E104" s="388">
        <f>G104-F104</f>
        <v/>
      </c>
      <c r="F104" s="389">
        <f>-$C$6*D104</f>
        <v/>
      </c>
      <c r="G104" s="385">
        <f>IF(C104&gt;$C$8,0,$C$9)</f>
        <v/>
      </c>
    </row>
    <row r="105" ht="12.75" customHeight="1" s="199">
      <c r="C105" s="386" t="n">
        <v>94</v>
      </c>
      <c r="D105" s="387">
        <f>D104+E104</f>
        <v/>
      </c>
      <c r="E105" s="388">
        <f>G105-F105</f>
        <v/>
      </c>
      <c r="F105" s="389">
        <f>-$C$6*D105</f>
        <v/>
      </c>
      <c r="G105" s="385">
        <f>IF(C105&gt;$C$8,0,$C$9)</f>
        <v/>
      </c>
    </row>
    <row r="106" ht="12.75" customHeight="1" s="199">
      <c r="C106" s="386" t="n">
        <v>95</v>
      </c>
      <c r="D106" s="387">
        <f>D105+E105</f>
        <v/>
      </c>
      <c r="E106" s="388">
        <f>G106-F106</f>
        <v/>
      </c>
      <c r="F106" s="389">
        <f>-$C$6*D106</f>
        <v/>
      </c>
      <c r="G106" s="385">
        <f>IF(C106&gt;$C$8,0,$C$9)</f>
        <v/>
      </c>
    </row>
    <row r="107" ht="12.75" customHeight="1" s="199">
      <c r="C107" s="386" t="n">
        <v>96</v>
      </c>
      <c r="D107" s="387">
        <f>D106+E106</f>
        <v/>
      </c>
      <c r="E107" s="388">
        <f>G107-F107</f>
        <v/>
      </c>
      <c r="F107" s="389">
        <f>-$C$6*D107</f>
        <v/>
      </c>
      <c r="G107" s="385">
        <f>IF(C107&gt;$C$8,0,$C$9)</f>
        <v/>
      </c>
    </row>
    <row r="108" ht="12.75" customHeight="1" s="199">
      <c r="C108" s="386" t="n">
        <v>97</v>
      </c>
      <c r="D108" s="387">
        <f>D107+E107</f>
        <v/>
      </c>
      <c r="E108" s="388">
        <f>G108-F108</f>
        <v/>
      </c>
      <c r="F108" s="389">
        <f>-$C$6*D108</f>
        <v/>
      </c>
      <c r="G108" s="385">
        <f>IF(C108&gt;$C$8,0,$C$9)</f>
        <v/>
      </c>
    </row>
    <row r="109" ht="12.75" customHeight="1" s="199">
      <c r="C109" s="386" t="n">
        <v>98</v>
      </c>
      <c r="D109" s="387">
        <f>D108+E108</f>
        <v/>
      </c>
      <c r="E109" s="388">
        <f>G109-F109</f>
        <v/>
      </c>
      <c r="F109" s="389">
        <f>-$C$6*D109</f>
        <v/>
      </c>
      <c r="G109" s="385">
        <f>IF(C109&gt;$C$8,0,$C$9)</f>
        <v/>
      </c>
    </row>
    <row r="110" ht="12.75" customHeight="1" s="199">
      <c r="C110" s="386" t="n">
        <v>99</v>
      </c>
      <c r="D110" s="387">
        <f>D109+E109</f>
        <v/>
      </c>
      <c r="E110" s="388">
        <f>G110-F110</f>
        <v/>
      </c>
      <c r="F110" s="389">
        <f>-$C$6*D110</f>
        <v/>
      </c>
      <c r="G110" s="385">
        <f>IF(C110&gt;$C$8,0,$C$9)</f>
        <v/>
      </c>
    </row>
    <row r="111" ht="12.75" customHeight="1" s="199">
      <c r="C111" s="386" t="n">
        <v>100</v>
      </c>
      <c r="D111" s="387">
        <f>D110+E110</f>
        <v/>
      </c>
      <c r="E111" s="388">
        <f>G111-F111</f>
        <v/>
      </c>
      <c r="F111" s="389">
        <f>-$C$6*D111</f>
        <v/>
      </c>
      <c r="G111" s="385">
        <f>IF(C111&gt;$C$8,0,$C$9)</f>
        <v/>
      </c>
    </row>
    <row r="112" ht="12.75" customHeight="1" s="199">
      <c r="C112" s="386" t="n">
        <v>101</v>
      </c>
      <c r="D112" s="387">
        <f>D111+E111</f>
        <v/>
      </c>
      <c r="E112" s="388">
        <f>G112-F112</f>
        <v/>
      </c>
      <c r="F112" s="389">
        <f>-$C$6*D112</f>
        <v/>
      </c>
      <c r="G112" s="385">
        <f>IF(C112&gt;$C$8,0,$C$9)</f>
        <v/>
      </c>
    </row>
    <row r="113" ht="12.75" customHeight="1" s="199">
      <c r="C113" s="386" t="n">
        <v>102</v>
      </c>
      <c r="D113" s="387">
        <f>D112+E112</f>
        <v/>
      </c>
      <c r="E113" s="388">
        <f>G113-F113</f>
        <v/>
      </c>
      <c r="F113" s="389">
        <f>-$C$6*D113</f>
        <v/>
      </c>
      <c r="G113" s="385">
        <f>IF(C113&gt;$C$8,0,$C$9)</f>
        <v/>
      </c>
    </row>
    <row r="114" ht="12.75" customHeight="1" s="199">
      <c r="C114" s="386" t="n">
        <v>103</v>
      </c>
      <c r="D114" s="387">
        <f>D113+E113</f>
        <v/>
      </c>
      <c r="E114" s="388">
        <f>G114-F114</f>
        <v/>
      </c>
      <c r="F114" s="389">
        <f>-$C$6*D114</f>
        <v/>
      </c>
      <c r="G114" s="385">
        <f>IF(C114&gt;$C$8,0,$C$9)</f>
        <v/>
      </c>
    </row>
    <row r="115" ht="12.75" customHeight="1" s="199">
      <c r="C115" s="386" t="n">
        <v>104</v>
      </c>
      <c r="D115" s="387">
        <f>D114+E114</f>
        <v/>
      </c>
      <c r="E115" s="388">
        <f>G115-F115</f>
        <v/>
      </c>
      <c r="F115" s="389">
        <f>-$C$6*D115</f>
        <v/>
      </c>
      <c r="G115" s="385">
        <f>IF(C115&gt;$C$8,0,$C$9)</f>
        <v/>
      </c>
    </row>
    <row r="116" ht="12.75" customHeight="1" s="199">
      <c r="C116" s="386" t="n">
        <v>105</v>
      </c>
      <c r="D116" s="387">
        <f>D115+E115</f>
        <v/>
      </c>
      <c r="E116" s="388">
        <f>G116-F116</f>
        <v/>
      </c>
      <c r="F116" s="389">
        <f>-$C$6*D116</f>
        <v/>
      </c>
      <c r="G116" s="385">
        <f>IF(C116&gt;$C$8,0,$C$9)</f>
        <v/>
      </c>
    </row>
    <row r="117" ht="12.75" customHeight="1" s="199">
      <c r="C117" s="386" t="n">
        <v>106</v>
      </c>
      <c r="D117" s="387">
        <f>D116+E116</f>
        <v/>
      </c>
      <c r="E117" s="388">
        <f>G117-F117</f>
        <v/>
      </c>
      <c r="F117" s="389">
        <f>-$C$6*D117</f>
        <v/>
      </c>
      <c r="G117" s="385">
        <f>IF(C117&gt;$C$8,0,$C$9)</f>
        <v/>
      </c>
    </row>
    <row r="118" ht="12.75" customHeight="1" s="199">
      <c r="C118" s="386" t="n">
        <v>107</v>
      </c>
      <c r="D118" s="387">
        <f>D117+E117</f>
        <v/>
      </c>
      <c r="E118" s="388">
        <f>G118-F118</f>
        <v/>
      </c>
      <c r="F118" s="389">
        <f>-$C$6*D118</f>
        <v/>
      </c>
      <c r="G118" s="385">
        <f>IF(C118&gt;$C$8,0,$C$9)</f>
        <v/>
      </c>
    </row>
    <row r="119" ht="12.75" customHeight="1" s="199">
      <c r="C119" s="386" t="n">
        <v>108</v>
      </c>
      <c r="D119" s="387">
        <f>D118+E118</f>
        <v/>
      </c>
      <c r="E119" s="388">
        <f>G119-F119</f>
        <v/>
      </c>
      <c r="F119" s="389">
        <f>-$C$6*D119</f>
        <v/>
      </c>
      <c r="G119" s="385">
        <f>IF(C119&gt;$C$8,0,$C$9)</f>
        <v/>
      </c>
    </row>
    <row r="120" ht="12.75" customHeight="1" s="199">
      <c r="C120" s="386" t="n">
        <v>109</v>
      </c>
      <c r="D120" s="387">
        <f>D119+E119</f>
        <v/>
      </c>
      <c r="E120" s="388">
        <f>G120-F120</f>
        <v/>
      </c>
      <c r="F120" s="389">
        <f>-$C$6*D120</f>
        <v/>
      </c>
      <c r="G120" s="385">
        <f>IF(C120&gt;$C$8,0,$C$9)</f>
        <v/>
      </c>
    </row>
    <row r="121" ht="12.75" customHeight="1" s="199">
      <c r="C121" s="386" t="n">
        <v>110</v>
      </c>
      <c r="D121" s="387">
        <f>D120+E120</f>
        <v/>
      </c>
      <c r="E121" s="388">
        <f>G121-F121</f>
        <v/>
      </c>
      <c r="F121" s="389">
        <f>-$C$6*D121</f>
        <v/>
      </c>
      <c r="G121" s="385">
        <f>IF(C121&gt;$C$8,0,$C$9)</f>
        <v/>
      </c>
    </row>
    <row r="122" ht="12.75" customHeight="1" s="199">
      <c r="C122" s="386" t="n">
        <v>111</v>
      </c>
      <c r="D122" s="387">
        <f>D121+E121</f>
        <v/>
      </c>
      <c r="E122" s="388">
        <f>G122-F122</f>
        <v/>
      </c>
      <c r="F122" s="389">
        <f>-$C$6*D122</f>
        <v/>
      </c>
      <c r="G122" s="385">
        <f>IF(C122&gt;$C$8,0,$C$9)</f>
        <v/>
      </c>
    </row>
    <row r="123" ht="12.75" customHeight="1" s="199">
      <c r="C123" s="386" t="n">
        <v>112</v>
      </c>
      <c r="D123" s="387">
        <f>D122+E122</f>
        <v/>
      </c>
      <c r="E123" s="388">
        <f>G123-F123</f>
        <v/>
      </c>
      <c r="F123" s="389">
        <f>-$C$6*D123</f>
        <v/>
      </c>
      <c r="G123" s="385">
        <f>IF(C123&gt;$C$8,0,$C$9)</f>
        <v/>
      </c>
    </row>
    <row r="124" ht="12.75" customHeight="1" s="199">
      <c r="C124" s="386" t="n">
        <v>113</v>
      </c>
      <c r="D124" s="387">
        <f>D123+E123</f>
        <v/>
      </c>
      <c r="E124" s="388">
        <f>G124-F124</f>
        <v/>
      </c>
      <c r="F124" s="389">
        <f>-$C$6*D124</f>
        <v/>
      </c>
      <c r="G124" s="385">
        <f>IF(C124&gt;$C$8,0,$C$9)</f>
        <v/>
      </c>
    </row>
    <row r="125" ht="12.75" customHeight="1" s="199">
      <c r="C125" s="386" t="n">
        <v>114</v>
      </c>
      <c r="D125" s="387">
        <f>D124+E124</f>
        <v/>
      </c>
      <c r="E125" s="388">
        <f>G125-F125</f>
        <v/>
      </c>
      <c r="F125" s="389">
        <f>-$C$6*D125</f>
        <v/>
      </c>
      <c r="G125" s="385">
        <f>IF(C125&gt;$C$8,0,$C$9)</f>
        <v/>
      </c>
    </row>
    <row r="126" ht="12.75" customHeight="1" s="199">
      <c r="C126" s="386" t="n">
        <v>115</v>
      </c>
      <c r="D126" s="387">
        <f>D125+E125</f>
        <v/>
      </c>
      <c r="E126" s="388">
        <f>G126-F126</f>
        <v/>
      </c>
      <c r="F126" s="389">
        <f>-$C$6*D126</f>
        <v/>
      </c>
      <c r="G126" s="385">
        <f>IF(C126&gt;$C$8,0,$C$9)</f>
        <v/>
      </c>
    </row>
    <row r="127" ht="12.75" customHeight="1" s="199">
      <c r="C127" s="386" t="n">
        <v>116</v>
      </c>
      <c r="D127" s="387">
        <f>D126+E126</f>
        <v/>
      </c>
      <c r="E127" s="388">
        <f>G127-F127</f>
        <v/>
      </c>
      <c r="F127" s="389">
        <f>-$C$6*D127</f>
        <v/>
      </c>
      <c r="G127" s="385">
        <f>IF(C127&gt;$C$8,0,$C$9)</f>
        <v/>
      </c>
    </row>
    <row r="128" ht="12.75" customHeight="1" s="199">
      <c r="C128" s="386" t="n">
        <v>117</v>
      </c>
      <c r="D128" s="387">
        <f>D127+E127</f>
        <v/>
      </c>
      <c r="E128" s="388">
        <f>G128-F128</f>
        <v/>
      </c>
      <c r="F128" s="389">
        <f>-$C$6*D128</f>
        <v/>
      </c>
      <c r="G128" s="385">
        <f>IF(C128&gt;$C$8,0,$C$9)</f>
        <v/>
      </c>
    </row>
    <row r="129" ht="12.75" customHeight="1" s="199">
      <c r="C129" s="386" t="n">
        <v>118</v>
      </c>
      <c r="D129" s="387">
        <f>D128+E128</f>
        <v/>
      </c>
      <c r="E129" s="388">
        <f>G129-F129</f>
        <v/>
      </c>
      <c r="F129" s="389">
        <f>-$C$6*D129</f>
        <v/>
      </c>
      <c r="G129" s="385">
        <f>IF(C129&gt;$C$8,0,$C$9)</f>
        <v/>
      </c>
    </row>
    <row r="130" ht="12.75" customHeight="1" s="199">
      <c r="C130" s="386" t="n">
        <v>119</v>
      </c>
      <c r="D130" s="387">
        <f>D129+E129</f>
        <v/>
      </c>
      <c r="E130" s="388">
        <f>G130-F130</f>
        <v/>
      </c>
      <c r="F130" s="389">
        <f>-$C$6*D130</f>
        <v/>
      </c>
      <c r="G130" s="385">
        <f>IF(C130&gt;$C$8,0,$C$9)</f>
        <v/>
      </c>
    </row>
    <row r="131" ht="12.75" customHeight="1" s="199">
      <c r="C131" s="386" t="n">
        <v>120</v>
      </c>
      <c r="D131" s="387">
        <f>D130+E130</f>
        <v/>
      </c>
      <c r="E131" s="388">
        <f>G131-F131</f>
        <v/>
      </c>
      <c r="F131" s="389">
        <f>-$C$6*D131</f>
        <v/>
      </c>
      <c r="G131" s="385">
        <f>IF(C131&gt;$C$8,0,$C$9)</f>
        <v/>
      </c>
    </row>
    <row r="132" ht="12.75" customHeight="1" s="199">
      <c r="C132" s="386" t="n">
        <v>121</v>
      </c>
      <c r="D132" s="387">
        <f>D131+E131</f>
        <v/>
      </c>
      <c r="E132" s="388">
        <f>G132-F132</f>
        <v/>
      </c>
      <c r="F132" s="389">
        <f>-$C$6*D132</f>
        <v/>
      </c>
      <c r="G132" s="385">
        <f>IF(C132&gt;$C$8,0,$C$9)</f>
        <v/>
      </c>
    </row>
    <row r="133" ht="12.75" customHeight="1" s="199">
      <c r="C133" s="386" t="n">
        <v>122</v>
      </c>
      <c r="D133" s="387">
        <f>D132+E132</f>
        <v/>
      </c>
      <c r="E133" s="388">
        <f>G133-F133</f>
        <v/>
      </c>
      <c r="F133" s="389">
        <f>-$C$6*D133</f>
        <v/>
      </c>
      <c r="G133" s="385">
        <f>IF(C133&gt;$C$8,0,$C$9)</f>
        <v/>
      </c>
    </row>
    <row r="134" ht="12.75" customHeight="1" s="199">
      <c r="C134" s="386" t="n">
        <v>123</v>
      </c>
      <c r="D134" s="387">
        <f>D133+E133</f>
        <v/>
      </c>
      <c r="E134" s="388">
        <f>G134-F134</f>
        <v/>
      </c>
      <c r="F134" s="389">
        <f>-$C$6*D134</f>
        <v/>
      </c>
      <c r="G134" s="385">
        <f>IF(C134&gt;$C$8,0,$C$9)</f>
        <v/>
      </c>
    </row>
    <row r="135" ht="12.75" customHeight="1" s="199">
      <c r="C135" s="386" t="n">
        <v>124</v>
      </c>
      <c r="D135" s="387">
        <f>D134+E134</f>
        <v/>
      </c>
      <c r="E135" s="388">
        <f>G135-F135</f>
        <v/>
      </c>
      <c r="F135" s="389">
        <f>-$C$6*D135</f>
        <v/>
      </c>
      <c r="G135" s="385">
        <f>IF(C135&gt;$C$8,0,$C$9)</f>
        <v/>
      </c>
    </row>
    <row r="136" ht="12.75" customHeight="1" s="199">
      <c r="C136" s="386" t="n">
        <v>125</v>
      </c>
      <c r="D136" s="387">
        <f>D135+E135</f>
        <v/>
      </c>
      <c r="E136" s="388">
        <f>G136-F136</f>
        <v/>
      </c>
      <c r="F136" s="389">
        <f>-$C$6*D136</f>
        <v/>
      </c>
      <c r="G136" s="385">
        <f>IF(C136&gt;$C$8,0,$C$9)</f>
        <v/>
      </c>
    </row>
    <row r="137" ht="12.75" customHeight="1" s="199">
      <c r="C137" s="386" t="n">
        <v>126</v>
      </c>
      <c r="D137" s="387">
        <f>D136+E136</f>
        <v/>
      </c>
      <c r="E137" s="388">
        <f>G137-F137</f>
        <v/>
      </c>
      <c r="F137" s="389">
        <f>-$C$6*D137</f>
        <v/>
      </c>
      <c r="G137" s="385">
        <f>IF(C137&gt;$C$8,0,$C$9)</f>
        <v/>
      </c>
    </row>
    <row r="138" ht="12.75" customHeight="1" s="199">
      <c r="C138" s="386" t="n">
        <v>127</v>
      </c>
      <c r="D138" s="387">
        <f>D137+E137</f>
        <v/>
      </c>
      <c r="E138" s="388">
        <f>G138-F138</f>
        <v/>
      </c>
      <c r="F138" s="389">
        <f>-$C$6*D138</f>
        <v/>
      </c>
      <c r="G138" s="385">
        <f>IF(C138&gt;$C$8,0,$C$9)</f>
        <v/>
      </c>
    </row>
    <row r="139" ht="12.75" customHeight="1" s="199">
      <c r="C139" s="386" t="n">
        <v>128</v>
      </c>
      <c r="D139" s="387">
        <f>D138+E138</f>
        <v/>
      </c>
      <c r="E139" s="388">
        <f>G139-F139</f>
        <v/>
      </c>
      <c r="F139" s="389">
        <f>-$C$6*D139</f>
        <v/>
      </c>
      <c r="G139" s="385">
        <f>IF(C139&gt;$C$8,0,$C$9)</f>
        <v/>
      </c>
    </row>
    <row r="140" ht="12.75" customHeight="1" s="199">
      <c r="C140" s="386" t="n">
        <v>129</v>
      </c>
      <c r="D140" s="387">
        <f>D139+E139</f>
        <v/>
      </c>
      <c r="E140" s="388">
        <f>G140-F140</f>
        <v/>
      </c>
      <c r="F140" s="389">
        <f>-$C$6*D140</f>
        <v/>
      </c>
      <c r="G140" s="385">
        <f>IF(C140&gt;$C$8,0,$C$9)</f>
        <v/>
      </c>
    </row>
    <row r="141" ht="12.75" customHeight="1" s="199">
      <c r="C141" s="386" t="n">
        <v>130</v>
      </c>
      <c r="D141" s="387">
        <f>D140+E140</f>
        <v/>
      </c>
      <c r="E141" s="388">
        <f>G141-F141</f>
        <v/>
      </c>
      <c r="F141" s="389">
        <f>-$C$6*D141</f>
        <v/>
      </c>
      <c r="G141" s="385">
        <f>IF(C141&gt;$C$8,0,$C$9)</f>
        <v/>
      </c>
    </row>
    <row r="142" ht="12.75" customHeight="1" s="199">
      <c r="C142" s="386" t="n">
        <v>131</v>
      </c>
      <c r="D142" s="387">
        <f>D141+E141</f>
        <v/>
      </c>
      <c r="E142" s="388">
        <f>G142-F142</f>
        <v/>
      </c>
      <c r="F142" s="389">
        <f>-$C$6*D142</f>
        <v/>
      </c>
      <c r="G142" s="385">
        <f>IF(C142&gt;$C$8,0,$C$9)</f>
        <v/>
      </c>
    </row>
    <row r="143" ht="12.75" customHeight="1" s="199">
      <c r="C143" s="386" t="n">
        <v>132</v>
      </c>
      <c r="D143" s="387">
        <f>D142+E142</f>
        <v/>
      </c>
      <c r="E143" s="388">
        <f>G143-F143</f>
        <v/>
      </c>
      <c r="F143" s="389">
        <f>-$C$6*D143</f>
        <v/>
      </c>
      <c r="G143" s="385">
        <f>IF(C143&gt;$C$8,0,$C$9)</f>
        <v/>
      </c>
    </row>
    <row r="144" ht="12.75" customHeight="1" s="199">
      <c r="C144" s="386" t="n">
        <v>133</v>
      </c>
      <c r="D144" s="387">
        <f>D143+E143</f>
        <v/>
      </c>
      <c r="E144" s="388">
        <f>G144-F144</f>
        <v/>
      </c>
      <c r="F144" s="389">
        <f>-$C$6*D144</f>
        <v/>
      </c>
      <c r="G144" s="385">
        <f>IF(C144&gt;$C$8,0,$C$9)</f>
        <v/>
      </c>
    </row>
    <row r="145" ht="12.75" customHeight="1" s="199">
      <c r="C145" s="386" t="n">
        <v>134</v>
      </c>
      <c r="D145" s="387">
        <f>D144+E144</f>
        <v/>
      </c>
      <c r="E145" s="388">
        <f>G145-F145</f>
        <v/>
      </c>
      <c r="F145" s="389">
        <f>-$C$6*D145</f>
        <v/>
      </c>
      <c r="G145" s="385">
        <f>IF(C145&gt;$C$8,0,$C$9)</f>
        <v/>
      </c>
    </row>
    <row r="146" ht="12.75" customHeight="1" s="199">
      <c r="C146" s="386" t="n">
        <v>135</v>
      </c>
      <c r="D146" s="387">
        <f>D145+E145</f>
        <v/>
      </c>
      <c r="E146" s="388">
        <f>G146-F146</f>
        <v/>
      </c>
      <c r="F146" s="389">
        <f>-$C$6*D146</f>
        <v/>
      </c>
      <c r="G146" s="385">
        <f>IF(C146&gt;$C$8,0,$C$9)</f>
        <v/>
      </c>
    </row>
    <row r="147" ht="12.75" customHeight="1" s="199">
      <c r="C147" s="386" t="n">
        <v>136</v>
      </c>
      <c r="D147" s="387">
        <f>D146+E146</f>
        <v/>
      </c>
      <c r="E147" s="388">
        <f>G147-F147</f>
        <v/>
      </c>
      <c r="F147" s="389">
        <f>-$C$6*D147</f>
        <v/>
      </c>
      <c r="G147" s="385">
        <f>IF(C147&gt;$C$8,0,$C$9)</f>
        <v/>
      </c>
    </row>
    <row r="148" ht="12.75" customHeight="1" s="199">
      <c r="C148" s="386" t="n">
        <v>137</v>
      </c>
      <c r="D148" s="387">
        <f>D147+E147</f>
        <v/>
      </c>
      <c r="E148" s="388">
        <f>G148-F148</f>
        <v/>
      </c>
      <c r="F148" s="389">
        <f>-$C$6*D148</f>
        <v/>
      </c>
      <c r="G148" s="385">
        <f>IF(C148&gt;$C$8,0,$C$9)</f>
        <v/>
      </c>
    </row>
    <row r="149" ht="12.75" customHeight="1" s="199">
      <c r="C149" s="386" t="n">
        <v>138</v>
      </c>
      <c r="D149" s="387">
        <f>D148+E148</f>
        <v/>
      </c>
      <c r="E149" s="388">
        <f>G149-F149</f>
        <v/>
      </c>
      <c r="F149" s="389">
        <f>-$C$6*D149</f>
        <v/>
      </c>
      <c r="G149" s="385">
        <f>IF(C149&gt;$C$8,0,$C$9)</f>
        <v/>
      </c>
    </row>
    <row r="150" ht="12.75" customHeight="1" s="199">
      <c r="C150" s="386" t="n">
        <v>139</v>
      </c>
      <c r="D150" s="387">
        <f>D149+E149</f>
        <v/>
      </c>
      <c r="E150" s="388">
        <f>G150-F150</f>
        <v/>
      </c>
      <c r="F150" s="389">
        <f>-$C$6*D150</f>
        <v/>
      </c>
      <c r="G150" s="385">
        <f>IF(C150&gt;$C$8,0,$C$9)</f>
        <v/>
      </c>
    </row>
    <row r="151" ht="12.75" customHeight="1" s="199">
      <c r="C151" s="386" t="n">
        <v>140</v>
      </c>
      <c r="D151" s="387">
        <f>D150+E150</f>
        <v/>
      </c>
      <c r="E151" s="388">
        <f>G151-F151</f>
        <v/>
      </c>
      <c r="F151" s="389">
        <f>-$C$6*D151</f>
        <v/>
      </c>
      <c r="G151" s="385">
        <f>IF(C151&gt;$C$8,0,$C$9)</f>
        <v/>
      </c>
    </row>
    <row r="152" ht="12.75" customHeight="1" s="199">
      <c r="C152" s="386" t="n">
        <v>141</v>
      </c>
      <c r="D152" s="387">
        <f>D151+E151</f>
        <v/>
      </c>
      <c r="E152" s="388">
        <f>G152-F152</f>
        <v/>
      </c>
      <c r="F152" s="389">
        <f>-$C$6*D152</f>
        <v/>
      </c>
      <c r="G152" s="385">
        <f>IF(C152&gt;$C$8,0,$C$9)</f>
        <v/>
      </c>
    </row>
    <row r="153" ht="12.75" customHeight="1" s="199">
      <c r="C153" s="386" t="n">
        <v>142</v>
      </c>
      <c r="D153" s="387">
        <f>D152+E152</f>
        <v/>
      </c>
      <c r="E153" s="388">
        <f>G153-F153</f>
        <v/>
      </c>
      <c r="F153" s="389">
        <f>-$C$6*D153</f>
        <v/>
      </c>
      <c r="G153" s="385">
        <f>IF(C153&gt;$C$8,0,$C$9)</f>
        <v/>
      </c>
    </row>
    <row r="154" ht="12.75" customHeight="1" s="199">
      <c r="C154" s="386" t="n">
        <v>143</v>
      </c>
      <c r="D154" s="387">
        <f>D153+E153</f>
        <v/>
      </c>
      <c r="E154" s="388">
        <f>G154-F154</f>
        <v/>
      </c>
      <c r="F154" s="389">
        <f>-$C$6*D154</f>
        <v/>
      </c>
      <c r="G154" s="385">
        <f>IF(C154&gt;$C$8,0,$C$9)</f>
        <v/>
      </c>
    </row>
    <row r="155" ht="12.75" customHeight="1" s="199">
      <c r="C155" s="386" t="n">
        <v>144</v>
      </c>
      <c r="D155" s="387">
        <f>D154+E154</f>
        <v/>
      </c>
      <c r="E155" s="388">
        <f>G155-F155</f>
        <v/>
      </c>
      <c r="F155" s="389">
        <f>-$C$6*D155</f>
        <v/>
      </c>
      <c r="G155" s="385">
        <f>IF(C155&gt;$C$8,0,$C$9)</f>
        <v/>
      </c>
    </row>
    <row r="156" ht="12.75" customHeight="1" s="199">
      <c r="C156" s="386" t="n">
        <v>145</v>
      </c>
      <c r="D156" s="387">
        <f>D155+E155</f>
        <v/>
      </c>
      <c r="E156" s="388">
        <f>G156-F156</f>
        <v/>
      </c>
      <c r="F156" s="389">
        <f>-$C$6*D156</f>
        <v/>
      </c>
      <c r="G156" s="385">
        <f>IF(C156&gt;$C$8,0,$C$9)</f>
        <v/>
      </c>
    </row>
    <row r="157" ht="12.75" customHeight="1" s="199">
      <c r="C157" s="386" t="n">
        <v>146</v>
      </c>
      <c r="D157" s="387">
        <f>D156+E156</f>
        <v/>
      </c>
      <c r="E157" s="388">
        <f>G157-F157</f>
        <v/>
      </c>
      <c r="F157" s="389">
        <f>-$C$6*D157</f>
        <v/>
      </c>
      <c r="G157" s="385">
        <f>IF(C157&gt;$C$8,0,$C$9)</f>
        <v/>
      </c>
    </row>
    <row r="158" ht="12.75" customHeight="1" s="199">
      <c r="C158" s="386" t="n">
        <v>147</v>
      </c>
      <c r="D158" s="387">
        <f>D157+E157</f>
        <v/>
      </c>
      <c r="E158" s="388">
        <f>G158-F158</f>
        <v/>
      </c>
      <c r="F158" s="389">
        <f>-$C$6*D158</f>
        <v/>
      </c>
      <c r="G158" s="385">
        <f>IF(C158&gt;$C$8,0,$C$9)</f>
        <v/>
      </c>
    </row>
    <row r="159" ht="12.75" customHeight="1" s="199">
      <c r="C159" s="386" t="n">
        <v>148</v>
      </c>
      <c r="D159" s="387">
        <f>D158+E158</f>
        <v/>
      </c>
      <c r="E159" s="388">
        <f>G159-F159</f>
        <v/>
      </c>
      <c r="F159" s="389">
        <f>-$C$6*D159</f>
        <v/>
      </c>
      <c r="G159" s="385">
        <f>IF(C159&gt;$C$8,0,$C$9)</f>
        <v/>
      </c>
    </row>
    <row r="160" ht="12.75" customHeight="1" s="199">
      <c r="C160" s="386" t="n">
        <v>149</v>
      </c>
      <c r="D160" s="387">
        <f>D159+E159</f>
        <v/>
      </c>
      <c r="E160" s="388">
        <f>G160-F160</f>
        <v/>
      </c>
      <c r="F160" s="389">
        <f>-$C$6*D160</f>
        <v/>
      </c>
      <c r="G160" s="385">
        <f>IF(C160&gt;$C$8,0,$C$9)</f>
        <v/>
      </c>
    </row>
    <row r="161" ht="12.75" customHeight="1" s="199">
      <c r="C161" s="386" t="n">
        <v>150</v>
      </c>
      <c r="D161" s="387">
        <f>D160+E160</f>
        <v/>
      </c>
      <c r="E161" s="388">
        <f>G161-F161</f>
        <v/>
      </c>
      <c r="F161" s="389">
        <f>-$C$6*D161</f>
        <v/>
      </c>
      <c r="G161" s="385">
        <f>IF(C161&gt;$C$8,0,$C$9)</f>
        <v/>
      </c>
    </row>
    <row r="162" ht="12.75" customHeight="1" s="199">
      <c r="C162" s="386" t="n">
        <v>151</v>
      </c>
      <c r="D162" s="387">
        <f>D161+E161</f>
        <v/>
      </c>
      <c r="E162" s="388">
        <f>G162-F162</f>
        <v/>
      </c>
      <c r="F162" s="389">
        <f>-$C$6*D162</f>
        <v/>
      </c>
      <c r="G162" s="385">
        <f>IF(C162&gt;$C$8,0,$C$9)</f>
        <v/>
      </c>
    </row>
    <row r="163" ht="12.75" customHeight="1" s="199">
      <c r="C163" s="386" t="n">
        <v>152</v>
      </c>
      <c r="D163" s="387">
        <f>D162+E162</f>
        <v/>
      </c>
      <c r="E163" s="388">
        <f>G163-F163</f>
        <v/>
      </c>
      <c r="F163" s="389">
        <f>-$C$6*D163</f>
        <v/>
      </c>
      <c r="G163" s="385">
        <f>IF(C163&gt;$C$8,0,$C$9)</f>
        <v/>
      </c>
    </row>
    <row r="164" ht="12.75" customHeight="1" s="199">
      <c r="C164" s="386" t="n">
        <v>153</v>
      </c>
      <c r="D164" s="387">
        <f>D163+E163</f>
        <v/>
      </c>
      <c r="E164" s="388">
        <f>G164-F164</f>
        <v/>
      </c>
      <c r="F164" s="389">
        <f>-$C$6*D164</f>
        <v/>
      </c>
      <c r="G164" s="385">
        <f>IF(C164&gt;$C$8,0,$C$9)</f>
        <v/>
      </c>
    </row>
    <row r="165" ht="12.75" customHeight="1" s="199">
      <c r="C165" s="386" t="n">
        <v>154</v>
      </c>
      <c r="D165" s="387">
        <f>D164+E164</f>
        <v/>
      </c>
      <c r="E165" s="388">
        <f>G165-F165</f>
        <v/>
      </c>
      <c r="F165" s="389">
        <f>-$C$6*D165</f>
        <v/>
      </c>
      <c r="G165" s="385">
        <f>IF(C165&gt;$C$8,0,$C$9)</f>
        <v/>
      </c>
    </row>
    <row r="166" ht="12.75" customHeight="1" s="199">
      <c r="C166" s="386" t="n">
        <v>155</v>
      </c>
      <c r="D166" s="387">
        <f>D165+E165</f>
        <v/>
      </c>
      <c r="E166" s="388">
        <f>G166-F166</f>
        <v/>
      </c>
      <c r="F166" s="389">
        <f>-$C$6*D166</f>
        <v/>
      </c>
      <c r="G166" s="385">
        <f>IF(C166&gt;$C$8,0,$C$9)</f>
        <v/>
      </c>
    </row>
    <row r="167" ht="12.75" customHeight="1" s="199">
      <c r="C167" s="386" t="n">
        <v>156</v>
      </c>
      <c r="D167" s="387">
        <f>D166+E166</f>
        <v/>
      </c>
      <c r="E167" s="388">
        <f>G167-F167</f>
        <v/>
      </c>
      <c r="F167" s="389">
        <f>-$C$6*D167</f>
        <v/>
      </c>
      <c r="G167" s="385">
        <f>IF(C167&gt;$C$8,0,$C$9)</f>
        <v/>
      </c>
    </row>
    <row r="168" ht="12.75" customHeight="1" s="199">
      <c r="C168" s="386" t="n">
        <v>157</v>
      </c>
      <c r="D168" s="387">
        <f>D167+E167</f>
        <v/>
      </c>
      <c r="E168" s="388">
        <f>G168-F168</f>
        <v/>
      </c>
      <c r="F168" s="389">
        <f>-$C$6*D168</f>
        <v/>
      </c>
      <c r="G168" s="385">
        <f>IF(C168&gt;$C$8,0,$C$9)</f>
        <v/>
      </c>
    </row>
    <row r="169" ht="12.75" customHeight="1" s="199">
      <c r="C169" s="386" t="n">
        <v>158</v>
      </c>
      <c r="D169" s="387">
        <f>D168+E168</f>
        <v/>
      </c>
      <c r="E169" s="388">
        <f>G169-F169</f>
        <v/>
      </c>
      <c r="F169" s="389">
        <f>-$C$6*D169</f>
        <v/>
      </c>
      <c r="G169" s="385">
        <f>IF(C169&gt;$C$8,0,$C$9)</f>
        <v/>
      </c>
    </row>
    <row r="170" ht="12.75" customHeight="1" s="199">
      <c r="C170" s="386" t="n">
        <v>159</v>
      </c>
      <c r="D170" s="387">
        <f>D169+E169</f>
        <v/>
      </c>
      <c r="E170" s="388">
        <f>G170-F170</f>
        <v/>
      </c>
      <c r="F170" s="389">
        <f>-$C$6*D170</f>
        <v/>
      </c>
      <c r="G170" s="385">
        <f>IF(C170&gt;$C$8,0,$C$9)</f>
        <v/>
      </c>
    </row>
    <row r="171" ht="12.75" customHeight="1" s="199">
      <c r="C171" s="386" t="n">
        <v>160</v>
      </c>
      <c r="D171" s="387">
        <f>D170+E170</f>
        <v/>
      </c>
      <c r="E171" s="388">
        <f>G171-F171</f>
        <v/>
      </c>
      <c r="F171" s="389">
        <f>-$C$6*D171</f>
        <v/>
      </c>
      <c r="G171" s="385">
        <f>IF(C171&gt;$C$8,0,$C$9)</f>
        <v/>
      </c>
    </row>
    <row r="172" ht="12.75" customHeight="1" s="199">
      <c r="C172" s="386" t="n">
        <v>161</v>
      </c>
      <c r="D172" s="387">
        <f>D171+E171</f>
        <v/>
      </c>
      <c r="E172" s="388">
        <f>G172-F172</f>
        <v/>
      </c>
      <c r="F172" s="389">
        <f>-$C$6*D172</f>
        <v/>
      </c>
      <c r="G172" s="385">
        <f>IF(C172&gt;$C$8,0,$C$9)</f>
        <v/>
      </c>
    </row>
    <row r="173" ht="12.75" customHeight="1" s="199">
      <c r="C173" s="386" t="n">
        <v>162</v>
      </c>
      <c r="D173" s="387">
        <f>D172+E172</f>
        <v/>
      </c>
      <c r="E173" s="388">
        <f>G173-F173</f>
        <v/>
      </c>
      <c r="F173" s="389">
        <f>-$C$6*D173</f>
        <v/>
      </c>
      <c r="G173" s="385">
        <f>IF(C173&gt;$C$8,0,$C$9)</f>
        <v/>
      </c>
    </row>
    <row r="174" ht="12.75" customHeight="1" s="199">
      <c r="C174" s="386" t="n">
        <v>163</v>
      </c>
      <c r="D174" s="387">
        <f>D173+E173</f>
        <v/>
      </c>
      <c r="E174" s="388">
        <f>G174-F174</f>
        <v/>
      </c>
      <c r="F174" s="389">
        <f>-$C$6*D174</f>
        <v/>
      </c>
      <c r="G174" s="385">
        <f>IF(C174&gt;$C$8,0,$C$9)</f>
        <v/>
      </c>
    </row>
    <row r="175" ht="12.75" customHeight="1" s="199">
      <c r="C175" s="386" t="n">
        <v>164</v>
      </c>
      <c r="D175" s="387">
        <f>D174+E174</f>
        <v/>
      </c>
      <c r="E175" s="388">
        <f>G175-F175</f>
        <v/>
      </c>
      <c r="F175" s="389">
        <f>-$C$6*D175</f>
        <v/>
      </c>
      <c r="G175" s="385">
        <f>IF(C175&gt;$C$8,0,$C$9)</f>
        <v/>
      </c>
    </row>
    <row r="176" ht="12.75" customHeight="1" s="199">
      <c r="C176" s="386" t="n">
        <v>165</v>
      </c>
      <c r="D176" s="387">
        <f>D175+E175</f>
        <v/>
      </c>
      <c r="E176" s="388">
        <f>G176-F176</f>
        <v/>
      </c>
      <c r="F176" s="389">
        <f>-$C$6*D176</f>
        <v/>
      </c>
      <c r="G176" s="385">
        <f>IF(C176&gt;$C$8,0,$C$9)</f>
        <v/>
      </c>
    </row>
    <row r="177" ht="12.75" customHeight="1" s="199">
      <c r="C177" s="386" t="n">
        <v>166</v>
      </c>
      <c r="D177" s="387">
        <f>D176+E176</f>
        <v/>
      </c>
      <c r="E177" s="388">
        <f>G177-F177</f>
        <v/>
      </c>
      <c r="F177" s="389">
        <f>-$C$6*D177</f>
        <v/>
      </c>
      <c r="G177" s="385">
        <f>IF(C177&gt;$C$8,0,$C$9)</f>
        <v/>
      </c>
    </row>
    <row r="178" ht="12.75" customHeight="1" s="199">
      <c r="C178" s="386" t="n">
        <v>167</v>
      </c>
      <c r="D178" s="387">
        <f>D177+E177</f>
        <v/>
      </c>
      <c r="E178" s="388">
        <f>G178-F178</f>
        <v/>
      </c>
      <c r="F178" s="389">
        <f>-$C$6*D178</f>
        <v/>
      </c>
      <c r="G178" s="385">
        <f>IF(C178&gt;$C$8,0,$C$9)</f>
        <v/>
      </c>
    </row>
    <row r="179" ht="12.75" customHeight="1" s="199">
      <c r="C179" s="386" t="n">
        <v>168</v>
      </c>
      <c r="D179" s="387">
        <f>D178+E178</f>
        <v/>
      </c>
      <c r="E179" s="388">
        <f>G179-F179</f>
        <v/>
      </c>
      <c r="F179" s="389">
        <f>-$C$6*D179</f>
        <v/>
      </c>
      <c r="G179" s="385">
        <f>IF(C179&gt;$C$8,0,$C$9)</f>
        <v/>
      </c>
    </row>
    <row r="180" ht="12.75" customHeight="1" s="199">
      <c r="C180" s="386" t="n">
        <v>169</v>
      </c>
      <c r="D180" s="387">
        <f>D179+E179</f>
        <v/>
      </c>
      <c r="E180" s="388">
        <f>G180-F180</f>
        <v/>
      </c>
      <c r="F180" s="389">
        <f>-$C$6*D180</f>
        <v/>
      </c>
      <c r="G180" s="385">
        <f>IF(C180&gt;$C$8,0,$C$9)</f>
        <v/>
      </c>
    </row>
    <row r="181" ht="12.75" customHeight="1" s="199">
      <c r="C181" s="386" t="n">
        <v>170</v>
      </c>
      <c r="D181" s="387">
        <f>D180+E180</f>
        <v/>
      </c>
      <c r="E181" s="388">
        <f>G181-F181</f>
        <v/>
      </c>
      <c r="F181" s="389">
        <f>-$C$6*D181</f>
        <v/>
      </c>
      <c r="G181" s="385">
        <f>IF(C181&gt;$C$8,0,$C$9)</f>
        <v/>
      </c>
    </row>
    <row r="182" ht="12.75" customHeight="1" s="199">
      <c r="C182" s="386" t="n">
        <v>171</v>
      </c>
      <c r="D182" s="387">
        <f>D181+E181</f>
        <v/>
      </c>
      <c r="E182" s="388">
        <f>G182-F182</f>
        <v/>
      </c>
      <c r="F182" s="389">
        <f>-$C$6*D182</f>
        <v/>
      </c>
      <c r="G182" s="385">
        <f>IF(C182&gt;$C$8,0,$C$9)</f>
        <v/>
      </c>
    </row>
    <row r="183" ht="12.75" customHeight="1" s="199">
      <c r="C183" s="386" t="n">
        <v>172</v>
      </c>
      <c r="D183" s="387">
        <f>D182+E182</f>
        <v/>
      </c>
      <c r="E183" s="388">
        <f>G183-F183</f>
        <v/>
      </c>
      <c r="F183" s="389">
        <f>-$C$6*D183</f>
        <v/>
      </c>
      <c r="G183" s="385">
        <f>IF(C183&gt;$C$8,0,$C$9)</f>
        <v/>
      </c>
    </row>
    <row r="184" ht="12.75" customHeight="1" s="199">
      <c r="C184" s="386" t="n">
        <v>173</v>
      </c>
      <c r="D184" s="387">
        <f>D183+E183</f>
        <v/>
      </c>
      <c r="E184" s="388">
        <f>G184-F184</f>
        <v/>
      </c>
      <c r="F184" s="389">
        <f>-$C$6*D184</f>
        <v/>
      </c>
      <c r="G184" s="385">
        <f>IF(C184&gt;$C$8,0,$C$9)</f>
        <v/>
      </c>
    </row>
    <row r="185" ht="12.75" customHeight="1" s="199">
      <c r="C185" s="386" t="n">
        <v>174</v>
      </c>
      <c r="D185" s="387">
        <f>D184+E184</f>
        <v/>
      </c>
      <c r="E185" s="388">
        <f>G185-F185</f>
        <v/>
      </c>
      <c r="F185" s="389">
        <f>-$C$6*D185</f>
        <v/>
      </c>
      <c r="G185" s="385">
        <f>IF(C185&gt;$C$8,0,$C$9)</f>
        <v/>
      </c>
    </row>
    <row r="186" ht="12.75" customHeight="1" s="199">
      <c r="C186" s="386" t="n">
        <v>175</v>
      </c>
      <c r="D186" s="387">
        <f>D185+E185</f>
        <v/>
      </c>
      <c r="E186" s="388">
        <f>G186-F186</f>
        <v/>
      </c>
      <c r="F186" s="389">
        <f>-$C$6*D186</f>
        <v/>
      </c>
      <c r="G186" s="385">
        <f>IF(C186&gt;$C$8,0,$C$9)</f>
        <v/>
      </c>
    </row>
    <row r="187" ht="12.75" customHeight="1" s="199">
      <c r="C187" s="386" t="n">
        <v>176</v>
      </c>
      <c r="D187" s="387">
        <f>D186+E186</f>
        <v/>
      </c>
      <c r="E187" s="388">
        <f>G187-F187</f>
        <v/>
      </c>
      <c r="F187" s="389">
        <f>-$C$6*D187</f>
        <v/>
      </c>
      <c r="G187" s="385">
        <f>IF(C187&gt;$C$8,0,$C$9)</f>
        <v/>
      </c>
    </row>
    <row r="188" ht="12.75" customHeight="1" s="199">
      <c r="C188" s="386" t="n">
        <v>177</v>
      </c>
      <c r="D188" s="387">
        <f>D187+E187</f>
        <v/>
      </c>
      <c r="E188" s="388">
        <f>G188-F188</f>
        <v/>
      </c>
      <c r="F188" s="389">
        <f>-$C$6*D188</f>
        <v/>
      </c>
      <c r="G188" s="385">
        <f>IF(C188&gt;$C$8,0,$C$9)</f>
        <v/>
      </c>
    </row>
    <row r="189" ht="12.75" customHeight="1" s="199">
      <c r="C189" s="386" t="n">
        <v>178</v>
      </c>
      <c r="D189" s="387">
        <f>D188+E188</f>
        <v/>
      </c>
      <c r="E189" s="388">
        <f>G189-F189</f>
        <v/>
      </c>
      <c r="F189" s="389">
        <f>-$C$6*D189</f>
        <v/>
      </c>
      <c r="G189" s="385">
        <f>IF(C189&gt;$C$8,0,$C$9)</f>
        <v/>
      </c>
    </row>
    <row r="190" ht="12.75" customHeight="1" s="199">
      <c r="C190" s="386" t="n">
        <v>179</v>
      </c>
      <c r="D190" s="387">
        <f>D189+E189</f>
        <v/>
      </c>
      <c r="E190" s="388">
        <f>G190-F190</f>
        <v/>
      </c>
      <c r="F190" s="389">
        <f>-$C$6*D190</f>
        <v/>
      </c>
      <c r="G190" s="385">
        <f>IF(C190&gt;$C$8,0,$C$9)</f>
        <v/>
      </c>
    </row>
    <row r="191" ht="12.75" customHeight="1" s="199">
      <c r="C191" s="386" t="n">
        <v>180</v>
      </c>
      <c r="D191" s="387">
        <f>D190+E190</f>
        <v/>
      </c>
      <c r="E191" s="388">
        <f>G191-F191</f>
        <v/>
      </c>
      <c r="F191" s="389">
        <f>-$C$6*D191</f>
        <v/>
      </c>
      <c r="G191" s="385">
        <f>IF(C191&gt;$C$8,0,$C$9)</f>
        <v/>
      </c>
    </row>
    <row r="192" ht="12.75" customHeight="1" s="199">
      <c r="C192" s="386" t="n">
        <v>181</v>
      </c>
      <c r="D192" s="387">
        <f>D191+E191</f>
        <v/>
      </c>
      <c r="E192" s="388">
        <f>G192-F192</f>
        <v/>
      </c>
      <c r="F192" s="389">
        <f>-$C$6*D192</f>
        <v/>
      </c>
      <c r="G192" s="385">
        <f>IF(C192&gt;$C$8,0,$C$9)</f>
        <v/>
      </c>
    </row>
    <row r="193" ht="12.75" customHeight="1" s="199">
      <c r="C193" s="386" t="n">
        <v>182</v>
      </c>
      <c r="D193" s="387">
        <f>D192+E192</f>
        <v/>
      </c>
      <c r="E193" s="388">
        <f>G193-F193</f>
        <v/>
      </c>
      <c r="F193" s="389">
        <f>-$C$6*D193</f>
        <v/>
      </c>
      <c r="G193" s="385">
        <f>IF(C193&gt;$C$8,0,$C$9)</f>
        <v/>
      </c>
    </row>
    <row r="194" ht="12.75" customHeight="1" s="199">
      <c r="C194" s="386" t="n">
        <v>183</v>
      </c>
      <c r="D194" s="387">
        <f>D193+E193</f>
        <v/>
      </c>
      <c r="E194" s="388">
        <f>G194-F194</f>
        <v/>
      </c>
      <c r="F194" s="389">
        <f>-$C$6*D194</f>
        <v/>
      </c>
      <c r="G194" s="385">
        <f>IF(C194&gt;$C$8,0,$C$9)</f>
        <v/>
      </c>
    </row>
    <row r="195" ht="12.75" customHeight="1" s="199">
      <c r="C195" s="386" t="n">
        <v>184</v>
      </c>
      <c r="D195" s="387">
        <f>D194+E194</f>
        <v/>
      </c>
      <c r="E195" s="388">
        <f>G195-F195</f>
        <v/>
      </c>
      <c r="F195" s="389">
        <f>-$C$6*D195</f>
        <v/>
      </c>
      <c r="G195" s="385">
        <f>IF(C195&gt;$C$8,0,$C$9)</f>
        <v/>
      </c>
    </row>
    <row r="196" ht="12.75" customHeight="1" s="199">
      <c r="C196" s="386" t="n">
        <v>185</v>
      </c>
      <c r="D196" s="387">
        <f>D195+E195</f>
        <v/>
      </c>
      <c r="E196" s="388">
        <f>G196-F196</f>
        <v/>
      </c>
      <c r="F196" s="389">
        <f>-$C$6*D196</f>
        <v/>
      </c>
      <c r="G196" s="385">
        <f>IF(C196&gt;$C$8,0,$C$9)</f>
        <v/>
      </c>
    </row>
    <row r="197" ht="12.75" customHeight="1" s="199">
      <c r="C197" s="386" t="n">
        <v>186</v>
      </c>
      <c r="D197" s="387">
        <f>D196+E196</f>
        <v/>
      </c>
      <c r="E197" s="388">
        <f>G197-F197</f>
        <v/>
      </c>
      <c r="F197" s="389">
        <f>-$C$6*D197</f>
        <v/>
      </c>
      <c r="G197" s="385">
        <f>IF(C197&gt;$C$8,0,$C$9)</f>
        <v/>
      </c>
    </row>
    <row r="198" ht="12.75" customHeight="1" s="199">
      <c r="C198" s="386" t="n">
        <v>187</v>
      </c>
      <c r="D198" s="387">
        <f>D197+E197</f>
        <v/>
      </c>
      <c r="E198" s="388">
        <f>G198-F198</f>
        <v/>
      </c>
      <c r="F198" s="389">
        <f>-$C$6*D198</f>
        <v/>
      </c>
      <c r="G198" s="385">
        <f>IF(C198&gt;$C$8,0,$C$9)</f>
        <v/>
      </c>
    </row>
    <row r="199" ht="12.75" customHeight="1" s="199">
      <c r="C199" s="386" t="n">
        <v>188</v>
      </c>
      <c r="D199" s="387">
        <f>D198+E198</f>
        <v/>
      </c>
      <c r="E199" s="388">
        <f>G199-F199</f>
        <v/>
      </c>
      <c r="F199" s="389">
        <f>-$C$6*D199</f>
        <v/>
      </c>
      <c r="G199" s="385">
        <f>IF(C199&gt;$C$8,0,$C$9)</f>
        <v/>
      </c>
    </row>
    <row r="200" ht="12.75" customHeight="1" s="199">
      <c r="C200" s="386" t="n">
        <v>189</v>
      </c>
      <c r="D200" s="387">
        <f>D199+E199</f>
        <v/>
      </c>
      <c r="E200" s="388">
        <f>G200-F200</f>
        <v/>
      </c>
      <c r="F200" s="389">
        <f>-$C$6*D200</f>
        <v/>
      </c>
      <c r="G200" s="385">
        <f>IF(C200&gt;$C$8,0,$C$9)</f>
        <v/>
      </c>
    </row>
    <row r="201" ht="12.75" customHeight="1" s="199">
      <c r="C201" s="386" t="n">
        <v>190</v>
      </c>
      <c r="D201" s="387">
        <f>D200+E200</f>
        <v/>
      </c>
      <c r="E201" s="388">
        <f>G201-F201</f>
        <v/>
      </c>
      <c r="F201" s="389">
        <f>-$C$6*D201</f>
        <v/>
      </c>
      <c r="G201" s="385">
        <f>IF(C201&gt;$C$8,0,$C$9)</f>
        <v/>
      </c>
    </row>
    <row r="202" ht="12.75" customHeight="1" s="199">
      <c r="C202" s="386" t="n">
        <v>191</v>
      </c>
      <c r="D202" s="387">
        <f>D201+E201</f>
        <v/>
      </c>
      <c r="E202" s="388">
        <f>G202-F202</f>
        <v/>
      </c>
      <c r="F202" s="389">
        <f>-$C$6*D202</f>
        <v/>
      </c>
      <c r="G202" s="385">
        <f>IF(C202&gt;$C$8,0,$C$9)</f>
        <v/>
      </c>
    </row>
    <row r="203" ht="12.75" customHeight="1" s="199">
      <c r="C203" s="386" t="n">
        <v>192</v>
      </c>
      <c r="D203" s="387">
        <f>D202+E202</f>
        <v/>
      </c>
      <c r="E203" s="388">
        <f>G203-F203</f>
        <v/>
      </c>
      <c r="F203" s="389">
        <f>-$C$6*D203</f>
        <v/>
      </c>
      <c r="G203" s="385">
        <f>IF(C203&gt;$C$8,0,$C$9)</f>
        <v/>
      </c>
    </row>
    <row r="204" ht="12.75" customHeight="1" s="199">
      <c r="C204" s="386" t="n">
        <v>193</v>
      </c>
      <c r="D204" s="387">
        <f>D203+E203</f>
        <v/>
      </c>
      <c r="E204" s="388">
        <f>G204-F204</f>
        <v/>
      </c>
      <c r="F204" s="389">
        <f>-$C$6*D204</f>
        <v/>
      </c>
      <c r="G204" s="385">
        <f>IF(C204&gt;$C$8,0,$C$9)</f>
        <v/>
      </c>
    </row>
    <row r="205" ht="12.75" customHeight="1" s="199">
      <c r="C205" s="386" t="n">
        <v>194</v>
      </c>
      <c r="D205" s="387">
        <f>D204+E204</f>
        <v/>
      </c>
      <c r="E205" s="388">
        <f>G205-F205</f>
        <v/>
      </c>
      <c r="F205" s="389">
        <f>-$C$6*D205</f>
        <v/>
      </c>
      <c r="G205" s="385">
        <f>IF(C205&gt;$C$8,0,$C$9)</f>
        <v/>
      </c>
    </row>
    <row r="206" ht="12.75" customHeight="1" s="199">
      <c r="C206" s="386" t="n">
        <v>195</v>
      </c>
      <c r="D206" s="387">
        <f>D205+E205</f>
        <v/>
      </c>
      <c r="E206" s="388">
        <f>G206-F206</f>
        <v/>
      </c>
      <c r="F206" s="389">
        <f>-$C$6*D206</f>
        <v/>
      </c>
      <c r="G206" s="385">
        <f>IF(C206&gt;$C$8,0,$C$9)</f>
        <v/>
      </c>
    </row>
    <row r="207" ht="12.75" customHeight="1" s="199">
      <c r="C207" s="386" t="n">
        <v>196</v>
      </c>
      <c r="D207" s="387">
        <f>D206+E206</f>
        <v/>
      </c>
      <c r="E207" s="388">
        <f>G207-F207</f>
        <v/>
      </c>
      <c r="F207" s="389">
        <f>-$C$6*D207</f>
        <v/>
      </c>
      <c r="G207" s="385">
        <f>IF(C207&gt;$C$8,0,$C$9)</f>
        <v/>
      </c>
    </row>
    <row r="208" ht="12.75" customHeight="1" s="199">
      <c r="C208" s="386" t="n">
        <v>197</v>
      </c>
      <c r="D208" s="387">
        <f>D207+E207</f>
        <v/>
      </c>
      <c r="E208" s="388">
        <f>G208-F208</f>
        <v/>
      </c>
      <c r="F208" s="389">
        <f>-$C$6*D208</f>
        <v/>
      </c>
      <c r="G208" s="385">
        <f>IF(C208&gt;$C$8,0,$C$9)</f>
        <v/>
      </c>
    </row>
    <row r="209" ht="12.75" customHeight="1" s="199">
      <c r="C209" s="386" t="n">
        <v>198</v>
      </c>
      <c r="D209" s="387">
        <f>D208+E208</f>
        <v/>
      </c>
      <c r="E209" s="388">
        <f>G209-F209</f>
        <v/>
      </c>
      <c r="F209" s="389">
        <f>-$C$6*D209</f>
        <v/>
      </c>
      <c r="G209" s="385">
        <f>IF(C209&gt;$C$8,0,$C$9)</f>
        <v/>
      </c>
    </row>
    <row r="210" ht="12.75" customHeight="1" s="199">
      <c r="C210" s="386" t="n">
        <v>199</v>
      </c>
      <c r="D210" s="387">
        <f>D209+E209</f>
        <v/>
      </c>
      <c r="E210" s="388">
        <f>G210-F210</f>
        <v/>
      </c>
      <c r="F210" s="389">
        <f>-$C$6*D210</f>
        <v/>
      </c>
      <c r="G210" s="385">
        <f>IF(C210&gt;$C$8,0,$C$9)</f>
        <v/>
      </c>
    </row>
    <row r="211" ht="12.75" customHeight="1" s="199">
      <c r="C211" s="386" t="n">
        <v>200</v>
      </c>
      <c r="D211" s="387">
        <f>D210+E210</f>
        <v/>
      </c>
      <c r="E211" s="388">
        <f>G211-F211</f>
        <v/>
      </c>
      <c r="F211" s="389">
        <f>-$C$6*D211</f>
        <v/>
      </c>
      <c r="G211" s="385">
        <f>IF(C211&gt;$C$8,0,$C$9)</f>
        <v/>
      </c>
    </row>
    <row r="212" ht="12.75" customHeight="1" s="199">
      <c r="C212" s="386" t="n">
        <v>201</v>
      </c>
      <c r="D212" s="387">
        <f>D211+E211</f>
        <v/>
      </c>
      <c r="E212" s="388">
        <f>G212-F212</f>
        <v/>
      </c>
      <c r="F212" s="389">
        <f>-$C$6*D212</f>
        <v/>
      </c>
      <c r="G212" s="385">
        <f>IF(C212&gt;$C$8,0,$C$9)</f>
        <v/>
      </c>
    </row>
    <row r="213" ht="12.75" customHeight="1" s="199">
      <c r="C213" s="386" t="n">
        <v>202</v>
      </c>
      <c r="D213" s="387">
        <f>D212+E212</f>
        <v/>
      </c>
      <c r="E213" s="388">
        <f>G213-F213</f>
        <v/>
      </c>
      <c r="F213" s="389">
        <f>-$C$6*D213</f>
        <v/>
      </c>
      <c r="G213" s="385">
        <f>IF(C213&gt;$C$8,0,$C$9)</f>
        <v/>
      </c>
    </row>
    <row r="214" ht="12.75" customHeight="1" s="199">
      <c r="C214" s="386" t="n">
        <v>203</v>
      </c>
      <c r="D214" s="387">
        <f>D213+E213</f>
        <v/>
      </c>
      <c r="E214" s="388">
        <f>G214-F214</f>
        <v/>
      </c>
      <c r="F214" s="389">
        <f>-$C$6*D214</f>
        <v/>
      </c>
      <c r="G214" s="385">
        <f>IF(C214&gt;$C$8,0,$C$9)</f>
        <v/>
      </c>
    </row>
    <row r="215" ht="12.75" customHeight="1" s="199">
      <c r="C215" s="386" t="n">
        <v>204</v>
      </c>
      <c r="D215" s="387">
        <f>D214+E214</f>
        <v/>
      </c>
      <c r="E215" s="388">
        <f>G215-F215</f>
        <v/>
      </c>
      <c r="F215" s="389">
        <f>-$C$6*D215</f>
        <v/>
      </c>
      <c r="G215" s="385">
        <f>IF(C215&gt;$C$8,0,$C$9)</f>
        <v/>
      </c>
    </row>
    <row r="216" ht="12.75" customHeight="1" s="199">
      <c r="C216" s="386" t="n">
        <v>205</v>
      </c>
      <c r="D216" s="387">
        <f>D215+E215</f>
        <v/>
      </c>
      <c r="E216" s="388">
        <f>G216-F216</f>
        <v/>
      </c>
      <c r="F216" s="389">
        <f>-$C$6*D216</f>
        <v/>
      </c>
      <c r="G216" s="385">
        <f>IF(C216&gt;$C$8,0,$C$9)</f>
        <v/>
      </c>
    </row>
    <row r="217" ht="12.75" customHeight="1" s="199">
      <c r="C217" s="386" t="n">
        <v>206</v>
      </c>
      <c r="D217" s="387">
        <f>D216+E216</f>
        <v/>
      </c>
      <c r="E217" s="388">
        <f>G217-F217</f>
        <v/>
      </c>
      <c r="F217" s="389">
        <f>-$C$6*D217</f>
        <v/>
      </c>
      <c r="G217" s="385">
        <f>IF(C217&gt;$C$8,0,$C$9)</f>
        <v/>
      </c>
    </row>
    <row r="218" ht="12.75" customHeight="1" s="199">
      <c r="C218" s="386" t="n">
        <v>207</v>
      </c>
      <c r="D218" s="387">
        <f>D217+E217</f>
        <v/>
      </c>
      <c r="E218" s="388">
        <f>G218-F218</f>
        <v/>
      </c>
      <c r="F218" s="389">
        <f>-$C$6*D218</f>
        <v/>
      </c>
      <c r="G218" s="385">
        <f>IF(C218&gt;$C$8,0,$C$9)</f>
        <v/>
      </c>
    </row>
    <row r="219" ht="12.75" customHeight="1" s="199">
      <c r="C219" s="386" t="n">
        <v>208</v>
      </c>
      <c r="D219" s="387">
        <f>D218+E218</f>
        <v/>
      </c>
      <c r="E219" s="388">
        <f>G219-F219</f>
        <v/>
      </c>
      <c r="F219" s="389">
        <f>-$C$6*D219</f>
        <v/>
      </c>
      <c r="G219" s="385">
        <f>IF(C219&gt;$C$8,0,$C$9)</f>
        <v/>
      </c>
    </row>
    <row r="220" ht="12.75" customHeight="1" s="199">
      <c r="C220" s="386" t="n">
        <v>209</v>
      </c>
      <c r="D220" s="387">
        <f>D219+E219</f>
        <v/>
      </c>
      <c r="E220" s="388">
        <f>G220-F220</f>
        <v/>
      </c>
      <c r="F220" s="389">
        <f>-$C$6*D220</f>
        <v/>
      </c>
      <c r="G220" s="385">
        <f>IF(C220&gt;$C$8,0,$C$9)</f>
        <v/>
      </c>
    </row>
    <row r="221" ht="12.75" customHeight="1" s="199">
      <c r="C221" s="386" t="n">
        <v>210</v>
      </c>
      <c r="D221" s="387">
        <f>D220+E220</f>
        <v/>
      </c>
      <c r="E221" s="388">
        <f>G221-F221</f>
        <v/>
      </c>
      <c r="F221" s="389">
        <f>-$C$6*D221</f>
        <v/>
      </c>
      <c r="G221" s="385">
        <f>IF(C221&gt;$C$8,0,$C$9)</f>
        <v/>
      </c>
    </row>
    <row r="222" ht="12.75" customHeight="1" s="199">
      <c r="C222" s="386" t="n">
        <v>211</v>
      </c>
      <c r="D222" s="387">
        <f>D221+E221</f>
        <v/>
      </c>
      <c r="E222" s="388">
        <f>G222-F222</f>
        <v/>
      </c>
      <c r="F222" s="389">
        <f>-$C$6*D222</f>
        <v/>
      </c>
      <c r="G222" s="385">
        <f>IF(C222&gt;$C$8,0,$C$9)</f>
        <v/>
      </c>
    </row>
    <row r="223" ht="12.75" customHeight="1" s="199">
      <c r="C223" s="386" t="n">
        <v>212</v>
      </c>
      <c r="D223" s="387">
        <f>D222+E222</f>
        <v/>
      </c>
      <c r="E223" s="388">
        <f>G223-F223</f>
        <v/>
      </c>
      <c r="F223" s="389">
        <f>-$C$6*D223</f>
        <v/>
      </c>
      <c r="G223" s="385">
        <f>IF(C223&gt;$C$8,0,$C$9)</f>
        <v/>
      </c>
    </row>
    <row r="224" ht="12.75" customHeight="1" s="199">
      <c r="C224" s="386" t="n">
        <v>213</v>
      </c>
      <c r="D224" s="387">
        <f>D223+E223</f>
        <v/>
      </c>
      <c r="E224" s="388">
        <f>G224-F224</f>
        <v/>
      </c>
      <c r="F224" s="389">
        <f>-$C$6*D224</f>
        <v/>
      </c>
      <c r="G224" s="385">
        <f>IF(C224&gt;$C$8,0,$C$9)</f>
        <v/>
      </c>
    </row>
    <row r="225" ht="12.75" customHeight="1" s="199">
      <c r="C225" s="386" t="n">
        <v>214</v>
      </c>
      <c r="D225" s="387">
        <f>D224+E224</f>
        <v/>
      </c>
      <c r="E225" s="388">
        <f>G225-F225</f>
        <v/>
      </c>
      <c r="F225" s="389">
        <f>-$C$6*D225</f>
        <v/>
      </c>
      <c r="G225" s="385">
        <f>IF(C225&gt;$C$8,0,$C$9)</f>
        <v/>
      </c>
    </row>
    <row r="226" ht="12.75" customHeight="1" s="199">
      <c r="C226" s="386" t="n">
        <v>215</v>
      </c>
      <c r="D226" s="387">
        <f>D225+E225</f>
        <v/>
      </c>
      <c r="E226" s="388">
        <f>G226-F226</f>
        <v/>
      </c>
      <c r="F226" s="389">
        <f>-$C$6*D226</f>
        <v/>
      </c>
      <c r="G226" s="385">
        <f>IF(C226&gt;$C$8,0,$C$9)</f>
        <v/>
      </c>
    </row>
    <row r="227" ht="12.75" customHeight="1" s="199">
      <c r="C227" s="386" t="n">
        <v>216</v>
      </c>
      <c r="D227" s="387">
        <f>D226+E226</f>
        <v/>
      </c>
      <c r="E227" s="388">
        <f>G227-F227</f>
        <v/>
      </c>
      <c r="F227" s="389">
        <f>-$C$6*D227</f>
        <v/>
      </c>
      <c r="G227" s="385">
        <f>IF(C227&gt;$C$8,0,$C$9)</f>
        <v/>
      </c>
    </row>
    <row r="228" ht="12.75" customHeight="1" s="199">
      <c r="C228" s="386" t="n">
        <v>217</v>
      </c>
      <c r="D228" s="387">
        <f>D227+E227</f>
        <v/>
      </c>
      <c r="E228" s="388">
        <f>G228-F228</f>
        <v/>
      </c>
      <c r="F228" s="389">
        <f>-$C$6*D228</f>
        <v/>
      </c>
      <c r="G228" s="385">
        <f>IF(C228&gt;$C$8,0,$C$9)</f>
        <v/>
      </c>
    </row>
    <row r="229" ht="12.75" customHeight="1" s="199">
      <c r="C229" s="386" t="n">
        <v>218</v>
      </c>
      <c r="D229" s="387">
        <f>D228+E228</f>
        <v/>
      </c>
      <c r="E229" s="388">
        <f>G229-F229</f>
        <v/>
      </c>
      <c r="F229" s="389">
        <f>-$C$6*D229</f>
        <v/>
      </c>
      <c r="G229" s="385">
        <f>IF(C229&gt;$C$8,0,$C$9)</f>
        <v/>
      </c>
    </row>
    <row r="230" ht="12.75" customHeight="1" s="199">
      <c r="C230" s="386" t="n">
        <v>219</v>
      </c>
      <c r="D230" s="387">
        <f>D229+E229</f>
        <v/>
      </c>
      <c r="E230" s="388">
        <f>G230-F230</f>
        <v/>
      </c>
      <c r="F230" s="389">
        <f>-$C$6*D230</f>
        <v/>
      </c>
      <c r="G230" s="385">
        <f>IF(C230&gt;$C$8,0,$C$9)</f>
        <v/>
      </c>
    </row>
    <row r="231" ht="12.75" customHeight="1" s="199">
      <c r="C231" s="386" t="n">
        <v>220</v>
      </c>
      <c r="D231" s="387">
        <f>D230+E230</f>
        <v/>
      </c>
      <c r="E231" s="388">
        <f>G231-F231</f>
        <v/>
      </c>
      <c r="F231" s="389">
        <f>-$C$6*D231</f>
        <v/>
      </c>
      <c r="G231" s="385">
        <f>IF(C231&gt;$C$8,0,$C$9)</f>
        <v/>
      </c>
    </row>
    <row r="232" ht="12.75" customHeight="1" s="199">
      <c r="C232" s="386" t="n">
        <v>221</v>
      </c>
      <c r="D232" s="387">
        <f>D231+E231</f>
        <v/>
      </c>
      <c r="E232" s="388">
        <f>G232-F232</f>
        <v/>
      </c>
      <c r="F232" s="389">
        <f>-$C$6*D232</f>
        <v/>
      </c>
      <c r="G232" s="385">
        <f>IF(C232&gt;$C$8,0,$C$9)</f>
        <v/>
      </c>
    </row>
    <row r="233" ht="12.75" customHeight="1" s="199">
      <c r="C233" s="386" t="n">
        <v>222</v>
      </c>
      <c r="D233" s="387">
        <f>D232+E232</f>
        <v/>
      </c>
      <c r="E233" s="388">
        <f>G233-F233</f>
        <v/>
      </c>
      <c r="F233" s="389">
        <f>-$C$6*D233</f>
        <v/>
      </c>
      <c r="G233" s="385">
        <f>IF(C233&gt;$C$8,0,$C$9)</f>
        <v/>
      </c>
    </row>
    <row r="234" ht="12.75" customHeight="1" s="199">
      <c r="C234" s="386" t="n">
        <v>223</v>
      </c>
      <c r="D234" s="387">
        <f>D233+E233</f>
        <v/>
      </c>
      <c r="E234" s="388">
        <f>G234-F234</f>
        <v/>
      </c>
      <c r="F234" s="389">
        <f>-$C$6*D234</f>
        <v/>
      </c>
      <c r="G234" s="385">
        <f>IF(C234&gt;$C$8,0,$C$9)</f>
        <v/>
      </c>
    </row>
    <row r="235" ht="12.75" customHeight="1" s="199">
      <c r="C235" s="386" t="n">
        <v>224</v>
      </c>
      <c r="D235" s="387">
        <f>D234+E234</f>
        <v/>
      </c>
      <c r="E235" s="388">
        <f>G235-F235</f>
        <v/>
      </c>
      <c r="F235" s="389">
        <f>-$C$6*D235</f>
        <v/>
      </c>
      <c r="G235" s="385">
        <f>IF(C235&gt;$C$8,0,$C$9)</f>
        <v/>
      </c>
    </row>
    <row r="236" ht="12.75" customHeight="1" s="199">
      <c r="C236" s="386" t="n">
        <v>225</v>
      </c>
      <c r="D236" s="387">
        <f>D235+E235</f>
        <v/>
      </c>
      <c r="E236" s="388">
        <f>G236-F236</f>
        <v/>
      </c>
      <c r="F236" s="389">
        <f>-$C$6*D236</f>
        <v/>
      </c>
      <c r="G236" s="385">
        <f>IF(C236&gt;$C$8,0,$C$9)</f>
        <v/>
      </c>
    </row>
    <row r="237" ht="12.75" customHeight="1" s="199">
      <c r="C237" s="386" t="n">
        <v>226</v>
      </c>
      <c r="D237" s="387">
        <f>D236+E236</f>
        <v/>
      </c>
      <c r="E237" s="388">
        <f>G237-F237</f>
        <v/>
      </c>
      <c r="F237" s="389">
        <f>-$C$6*D237</f>
        <v/>
      </c>
      <c r="G237" s="385">
        <f>IF(C237&gt;$C$8,0,$C$9)</f>
        <v/>
      </c>
    </row>
    <row r="238" ht="12.75" customHeight="1" s="199">
      <c r="C238" s="386" t="n">
        <v>227</v>
      </c>
      <c r="D238" s="387">
        <f>D237+E237</f>
        <v/>
      </c>
      <c r="E238" s="388">
        <f>G238-F238</f>
        <v/>
      </c>
      <c r="F238" s="389">
        <f>-$C$6*D238</f>
        <v/>
      </c>
      <c r="G238" s="385">
        <f>IF(C238&gt;$C$8,0,$C$9)</f>
        <v/>
      </c>
    </row>
    <row r="239" ht="12.75" customHeight="1" s="199">
      <c r="C239" s="386" t="n">
        <v>228</v>
      </c>
      <c r="D239" s="387">
        <f>D238+E238</f>
        <v/>
      </c>
      <c r="E239" s="388">
        <f>G239-F239</f>
        <v/>
      </c>
      <c r="F239" s="389">
        <f>-$C$6*D239</f>
        <v/>
      </c>
      <c r="G239" s="385">
        <f>IF(C239&gt;$C$8,0,$C$9)</f>
        <v/>
      </c>
    </row>
    <row r="240" ht="12.75" customHeight="1" s="199">
      <c r="C240" s="386" t="n">
        <v>229</v>
      </c>
      <c r="D240" s="387">
        <f>D239+E239</f>
        <v/>
      </c>
      <c r="E240" s="388">
        <f>G240-F240</f>
        <v/>
      </c>
      <c r="F240" s="389">
        <f>-$C$6*D240</f>
        <v/>
      </c>
      <c r="G240" s="385">
        <f>IF(C240&gt;$C$8,0,$C$9)</f>
        <v/>
      </c>
    </row>
    <row r="241" ht="12.75" customHeight="1" s="199">
      <c r="C241" s="386" t="n">
        <v>230</v>
      </c>
      <c r="D241" s="387">
        <f>D240+E240</f>
        <v/>
      </c>
      <c r="E241" s="388">
        <f>G241-F241</f>
        <v/>
      </c>
      <c r="F241" s="389">
        <f>-$C$6*D241</f>
        <v/>
      </c>
      <c r="G241" s="385">
        <f>IF(C241&gt;$C$8,0,$C$9)</f>
        <v/>
      </c>
    </row>
    <row r="242" ht="12.75" customHeight="1" s="199">
      <c r="C242" s="386" t="n">
        <v>231</v>
      </c>
      <c r="D242" s="387">
        <f>D241+E241</f>
        <v/>
      </c>
      <c r="E242" s="388">
        <f>G242-F242</f>
        <v/>
      </c>
      <c r="F242" s="389">
        <f>-$C$6*D242</f>
        <v/>
      </c>
      <c r="G242" s="385">
        <f>IF(C242&gt;$C$8,0,$C$9)</f>
        <v/>
      </c>
    </row>
    <row r="243" ht="12.75" customHeight="1" s="199">
      <c r="C243" s="386" t="n">
        <v>232</v>
      </c>
      <c r="D243" s="387">
        <f>D242+E242</f>
        <v/>
      </c>
      <c r="E243" s="388">
        <f>G243-F243</f>
        <v/>
      </c>
      <c r="F243" s="389">
        <f>-$C$6*D243</f>
        <v/>
      </c>
      <c r="G243" s="385">
        <f>IF(C243&gt;$C$8,0,$C$9)</f>
        <v/>
      </c>
    </row>
    <row r="244" ht="12.75" customHeight="1" s="199">
      <c r="C244" s="386" t="n">
        <v>233</v>
      </c>
      <c r="D244" s="387">
        <f>D243+E243</f>
        <v/>
      </c>
      <c r="E244" s="388">
        <f>G244-F244</f>
        <v/>
      </c>
      <c r="F244" s="389">
        <f>-$C$6*D244</f>
        <v/>
      </c>
      <c r="G244" s="385">
        <f>IF(C244&gt;$C$8,0,$C$9)</f>
        <v/>
      </c>
    </row>
    <row r="245" ht="12.75" customHeight="1" s="199">
      <c r="C245" s="386" t="n">
        <v>234</v>
      </c>
      <c r="D245" s="387">
        <f>D244+E244</f>
        <v/>
      </c>
      <c r="E245" s="388">
        <f>G245-F245</f>
        <v/>
      </c>
      <c r="F245" s="389">
        <f>-$C$6*D245</f>
        <v/>
      </c>
      <c r="G245" s="385">
        <f>IF(C245&gt;$C$8,0,$C$9)</f>
        <v/>
      </c>
    </row>
    <row r="246" ht="12.75" customHeight="1" s="199">
      <c r="C246" s="386" t="n">
        <v>235</v>
      </c>
      <c r="D246" s="387">
        <f>D245+E245</f>
        <v/>
      </c>
      <c r="E246" s="388">
        <f>G246-F246</f>
        <v/>
      </c>
      <c r="F246" s="389">
        <f>-$C$6*D246</f>
        <v/>
      </c>
      <c r="G246" s="385">
        <f>IF(C246&gt;$C$8,0,$C$9)</f>
        <v/>
      </c>
    </row>
    <row r="247" ht="12.75" customHeight="1" s="199">
      <c r="C247" s="386" t="n">
        <v>236</v>
      </c>
      <c r="D247" s="387">
        <f>D246+E246</f>
        <v/>
      </c>
      <c r="E247" s="388">
        <f>G247-F247</f>
        <v/>
      </c>
      <c r="F247" s="389">
        <f>-$C$6*D247</f>
        <v/>
      </c>
      <c r="G247" s="385">
        <f>IF(C247&gt;$C$8,0,$C$9)</f>
        <v/>
      </c>
    </row>
    <row r="248" ht="12.75" customHeight="1" s="199">
      <c r="C248" s="386" t="n">
        <v>237</v>
      </c>
      <c r="D248" s="387">
        <f>D247+E247</f>
        <v/>
      </c>
      <c r="E248" s="388">
        <f>G248-F248</f>
        <v/>
      </c>
      <c r="F248" s="389">
        <f>-$C$6*D248</f>
        <v/>
      </c>
      <c r="G248" s="385">
        <f>IF(C248&gt;$C$8,0,$C$9)</f>
        <v/>
      </c>
    </row>
    <row r="249" ht="12.75" customHeight="1" s="199">
      <c r="C249" s="386" t="n">
        <v>238</v>
      </c>
      <c r="D249" s="387">
        <f>D248+E248</f>
        <v/>
      </c>
      <c r="E249" s="388">
        <f>G249-F249</f>
        <v/>
      </c>
      <c r="F249" s="389">
        <f>-$C$6*D249</f>
        <v/>
      </c>
      <c r="G249" s="385">
        <f>IF(C249&gt;$C$8,0,$C$9)</f>
        <v/>
      </c>
    </row>
    <row r="250" ht="12.75" customHeight="1" s="199">
      <c r="C250" s="386" t="n">
        <v>239</v>
      </c>
      <c r="D250" s="387">
        <f>D249+E249</f>
        <v/>
      </c>
      <c r="E250" s="388">
        <f>G250-F250</f>
        <v/>
      </c>
      <c r="F250" s="389">
        <f>-$C$6*D250</f>
        <v/>
      </c>
      <c r="G250" s="385">
        <f>IF(C250&gt;$C$8,0,$C$9)</f>
        <v/>
      </c>
    </row>
    <row r="251" ht="12.75" customHeight="1" s="199">
      <c r="C251" s="386" t="n">
        <v>240</v>
      </c>
      <c r="D251" s="387">
        <f>D250+E250</f>
        <v/>
      </c>
      <c r="E251" s="388">
        <f>G251-F251</f>
        <v/>
      </c>
      <c r="F251" s="389">
        <f>-$C$6*D251</f>
        <v/>
      </c>
      <c r="G251" s="385">
        <f>IF(C251&gt;$C$8,0,$C$9)</f>
        <v/>
      </c>
    </row>
    <row r="252" ht="12.75" customHeight="1" s="199">
      <c r="C252" s="386" t="n">
        <v>241</v>
      </c>
      <c r="D252" s="387">
        <f>D251+E251</f>
        <v/>
      </c>
      <c r="E252" s="388">
        <f>G252-F252</f>
        <v/>
      </c>
      <c r="F252" s="389">
        <f>-$C$6*D252</f>
        <v/>
      </c>
      <c r="G252" s="385">
        <f>IF(C252&gt;$C$8,0,$C$9)</f>
        <v/>
      </c>
    </row>
    <row r="253" ht="12.75" customHeight="1" s="199">
      <c r="C253" s="386" t="n">
        <v>242</v>
      </c>
      <c r="D253" s="387">
        <f>D252+E252</f>
        <v/>
      </c>
      <c r="E253" s="388">
        <f>G253-F253</f>
        <v/>
      </c>
      <c r="F253" s="389">
        <f>-$C$6*D253</f>
        <v/>
      </c>
      <c r="G253" s="385">
        <f>IF(C253&gt;$C$8,0,$C$9)</f>
        <v/>
      </c>
    </row>
    <row r="254" ht="12.75" customHeight="1" s="199">
      <c r="C254" s="386" t="n">
        <v>243</v>
      </c>
      <c r="D254" s="387">
        <f>D253+E253</f>
        <v/>
      </c>
      <c r="E254" s="388">
        <f>G254-F254</f>
        <v/>
      </c>
      <c r="F254" s="389">
        <f>-$C$6*D254</f>
        <v/>
      </c>
      <c r="G254" s="385">
        <f>IF(C254&gt;$C$8,0,$C$9)</f>
        <v/>
      </c>
    </row>
    <row r="255" ht="12.75" customHeight="1" s="199">
      <c r="C255" s="386" t="n">
        <v>244</v>
      </c>
      <c r="D255" s="387">
        <f>D254+E254</f>
        <v/>
      </c>
      <c r="E255" s="388">
        <f>G255-F255</f>
        <v/>
      </c>
      <c r="F255" s="389">
        <f>-$C$6*D255</f>
        <v/>
      </c>
      <c r="G255" s="385">
        <f>IF(C255&gt;$C$8,0,$C$9)</f>
        <v/>
      </c>
    </row>
    <row r="256" ht="12.75" customHeight="1" s="199">
      <c r="C256" s="386" t="n">
        <v>245</v>
      </c>
      <c r="D256" s="387">
        <f>D255+E255</f>
        <v/>
      </c>
      <c r="E256" s="388">
        <f>G256-F256</f>
        <v/>
      </c>
      <c r="F256" s="389">
        <f>-$C$6*D256</f>
        <v/>
      </c>
      <c r="G256" s="385">
        <f>IF(C256&gt;$C$8,0,$C$9)</f>
        <v/>
      </c>
    </row>
    <row r="257" ht="12.75" customHeight="1" s="199">
      <c r="C257" s="386" t="n">
        <v>246</v>
      </c>
      <c r="D257" s="387">
        <f>D256+E256</f>
        <v/>
      </c>
      <c r="E257" s="388">
        <f>G257-F257</f>
        <v/>
      </c>
      <c r="F257" s="389">
        <f>-$C$6*D257</f>
        <v/>
      </c>
      <c r="G257" s="385">
        <f>IF(C257&gt;$C$8,0,$C$9)</f>
        <v/>
      </c>
    </row>
    <row r="258" ht="12.75" customHeight="1" s="199">
      <c r="C258" s="386" t="n">
        <v>247</v>
      </c>
      <c r="D258" s="387">
        <f>D257+E257</f>
        <v/>
      </c>
      <c r="E258" s="388">
        <f>G258-F258</f>
        <v/>
      </c>
      <c r="F258" s="389">
        <f>-$C$6*D258</f>
        <v/>
      </c>
      <c r="G258" s="385">
        <f>IF(C258&gt;$C$8,0,$C$9)</f>
        <v/>
      </c>
    </row>
    <row r="259" ht="12.75" customHeight="1" s="199">
      <c r="C259" s="386" t="n">
        <v>248</v>
      </c>
      <c r="D259" s="387">
        <f>D258+E258</f>
        <v/>
      </c>
      <c r="E259" s="388">
        <f>G259-F259</f>
        <v/>
      </c>
      <c r="F259" s="389">
        <f>-$C$6*D259</f>
        <v/>
      </c>
      <c r="G259" s="385">
        <f>IF(C259&gt;$C$8,0,$C$9)</f>
        <v/>
      </c>
    </row>
    <row r="260" ht="12.75" customHeight="1" s="199">
      <c r="C260" s="386" t="n">
        <v>249</v>
      </c>
      <c r="D260" s="387">
        <f>D259+E259</f>
        <v/>
      </c>
      <c r="E260" s="388">
        <f>G260-F260</f>
        <v/>
      </c>
      <c r="F260" s="389">
        <f>-$C$6*D260</f>
        <v/>
      </c>
      <c r="G260" s="385">
        <f>IF(C260&gt;$C$8,0,$C$9)</f>
        <v/>
      </c>
    </row>
    <row r="261" ht="12.75" customHeight="1" s="199">
      <c r="C261" s="386" t="n">
        <v>250</v>
      </c>
      <c r="D261" s="387">
        <f>D260+E260</f>
        <v/>
      </c>
      <c r="E261" s="388">
        <f>G261-F261</f>
        <v/>
      </c>
      <c r="F261" s="389">
        <f>-$C$6*D261</f>
        <v/>
      </c>
      <c r="G261" s="385">
        <f>IF(C261&gt;$C$8,0,$C$9)</f>
        <v/>
      </c>
    </row>
    <row r="262" ht="12.75" customHeight="1" s="199">
      <c r="C262" s="386" t="n">
        <v>251</v>
      </c>
      <c r="D262" s="387">
        <f>D261+E261</f>
        <v/>
      </c>
      <c r="E262" s="388">
        <f>G262-F262</f>
        <v/>
      </c>
      <c r="F262" s="389">
        <f>-$C$6*D262</f>
        <v/>
      </c>
      <c r="G262" s="385">
        <f>IF(C262&gt;$C$8,0,$C$9)</f>
        <v/>
      </c>
    </row>
    <row r="263" ht="12.75" customHeight="1" s="199">
      <c r="C263" s="386" t="n">
        <v>252</v>
      </c>
      <c r="D263" s="387">
        <f>D262+E262</f>
        <v/>
      </c>
      <c r="E263" s="388">
        <f>G263-F263</f>
        <v/>
      </c>
      <c r="F263" s="389">
        <f>-$C$6*D263</f>
        <v/>
      </c>
      <c r="G263" s="385">
        <f>IF(C263&gt;$C$8,0,$C$9)</f>
        <v/>
      </c>
    </row>
    <row r="264" ht="12.75" customHeight="1" s="199">
      <c r="C264" s="386" t="n">
        <v>253</v>
      </c>
      <c r="D264" s="387">
        <f>D263+E263</f>
        <v/>
      </c>
      <c r="E264" s="388">
        <f>G264-F264</f>
        <v/>
      </c>
      <c r="F264" s="389">
        <f>-$C$6*D264</f>
        <v/>
      </c>
      <c r="G264" s="385">
        <f>IF(C264&gt;$C$8,0,$C$9)</f>
        <v/>
      </c>
    </row>
    <row r="265" ht="12.75" customHeight="1" s="199">
      <c r="C265" s="386" t="n">
        <v>254</v>
      </c>
      <c r="D265" s="387">
        <f>D264+E264</f>
        <v/>
      </c>
      <c r="E265" s="388">
        <f>G265-F265</f>
        <v/>
      </c>
      <c r="F265" s="389">
        <f>-$C$6*D265</f>
        <v/>
      </c>
      <c r="G265" s="385">
        <f>IF(C265&gt;$C$8,0,$C$9)</f>
        <v/>
      </c>
    </row>
    <row r="266" ht="12.75" customHeight="1" s="199">
      <c r="C266" s="386" t="n">
        <v>255</v>
      </c>
      <c r="D266" s="387">
        <f>D265+E265</f>
        <v/>
      </c>
      <c r="E266" s="388">
        <f>G266-F266</f>
        <v/>
      </c>
      <c r="F266" s="389">
        <f>-$C$6*D266</f>
        <v/>
      </c>
      <c r="G266" s="385">
        <f>IF(C266&gt;$C$8,0,$C$9)</f>
        <v/>
      </c>
    </row>
    <row r="267" ht="12.75" customHeight="1" s="199">
      <c r="C267" s="386" t="n">
        <v>256</v>
      </c>
      <c r="D267" s="387">
        <f>D266+E266</f>
        <v/>
      </c>
      <c r="E267" s="388">
        <f>G267-F267</f>
        <v/>
      </c>
      <c r="F267" s="389">
        <f>-$C$6*D267</f>
        <v/>
      </c>
      <c r="G267" s="385">
        <f>IF(C267&gt;$C$8,0,$C$9)</f>
        <v/>
      </c>
    </row>
    <row r="268" ht="12.75" customHeight="1" s="199">
      <c r="C268" s="386" t="n">
        <v>257</v>
      </c>
      <c r="D268" s="387">
        <f>D267+E267</f>
        <v/>
      </c>
      <c r="E268" s="388">
        <f>G268-F268</f>
        <v/>
      </c>
      <c r="F268" s="389">
        <f>-$C$6*D268</f>
        <v/>
      </c>
      <c r="G268" s="385">
        <f>IF(C268&gt;$C$8,0,$C$9)</f>
        <v/>
      </c>
    </row>
    <row r="269" ht="12.75" customHeight="1" s="199">
      <c r="C269" s="386" t="n">
        <v>258</v>
      </c>
      <c r="D269" s="387">
        <f>D268+E268</f>
        <v/>
      </c>
      <c r="E269" s="388">
        <f>G269-F269</f>
        <v/>
      </c>
      <c r="F269" s="389">
        <f>-$C$6*D269</f>
        <v/>
      </c>
      <c r="G269" s="385">
        <f>IF(C269&gt;$C$8,0,$C$9)</f>
        <v/>
      </c>
    </row>
    <row r="270" ht="12.75" customHeight="1" s="199">
      <c r="C270" s="386" t="n">
        <v>259</v>
      </c>
      <c r="D270" s="387">
        <f>D269+E269</f>
        <v/>
      </c>
      <c r="E270" s="388">
        <f>G270-F270</f>
        <v/>
      </c>
      <c r="F270" s="389">
        <f>-$C$6*D270</f>
        <v/>
      </c>
      <c r="G270" s="385">
        <f>IF(C270&gt;$C$8,0,$C$9)</f>
        <v/>
      </c>
    </row>
    <row r="271" ht="12.75" customHeight="1" s="199">
      <c r="C271" s="386" t="n">
        <v>260</v>
      </c>
      <c r="D271" s="387">
        <f>D270+E270</f>
        <v/>
      </c>
      <c r="E271" s="388">
        <f>G271-F271</f>
        <v/>
      </c>
      <c r="F271" s="389">
        <f>-$C$6*D271</f>
        <v/>
      </c>
      <c r="G271" s="385">
        <f>IF(C271&gt;$C$8,0,$C$9)</f>
        <v/>
      </c>
    </row>
    <row r="272" ht="12.75" customHeight="1" s="199">
      <c r="C272" s="386" t="n">
        <v>261</v>
      </c>
      <c r="D272" s="387">
        <f>D271+E271</f>
        <v/>
      </c>
      <c r="E272" s="388">
        <f>G272-F272</f>
        <v/>
      </c>
      <c r="F272" s="389">
        <f>-$C$6*D272</f>
        <v/>
      </c>
      <c r="G272" s="385">
        <f>IF(C272&gt;$C$8,0,$C$9)</f>
        <v/>
      </c>
    </row>
    <row r="273" ht="12.75" customHeight="1" s="199">
      <c r="C273" s="386" t="n">
        <v>262</v>
      </c>
      <c r="D273" s="387">
        <f>D272+E272</f>
        <v/>
      </c>
      <c r="E273" s="388">
        <f>G273-F273</f>
        <v/>
      </c>
      <c r="F273" s="389">
        <f>-$C$6*D273</f>
        <v/>
      </c>
      <c r="G273" s="385">
        <f>IF(C273&gt;$C$8,0,$C$9)</f>
        <v/>
      </c>
    </row>
    <row r="274" ht="12.75" customHeight="1" s="199">
      <c r="C274" s="386" t="n">
        <v>263</v>
      </c>
      <c r="D274" s="387">
        <f>D273+E273</f>
        <v/>
      </c>
      <c r="E274" s="388">
        <f>G274-F274</f>
        <v/>
      </c>
      <c r="F274" s="389">
        <f>-$C$6*D274</f>
        <v/>
      </c>
      <c r="G274" s="385">
        <f>IF(C274&gt;$C$8,0,$C$9)</f>
        <v/>
      </c>
    </row>
    <row r="275" ht="12.75" customHeight="1" s="199">
      <c r="C275" s="386" t="n">
        <v>264</v>
      </c>
      <c r="D275" s="387">
        <f>D274+E274</f>
        <v/>
      </c>
      <c r="E275" s="388">
        <f>G275-F275</f>
        <v/>
      </c>
      <c r="F275" s="389">
        <f>-$C$6*D275</f>
        <v/>
      </c>
      <c r="G275" s="385">
        <f>IF(C275&gt;$C$8,0,$C$9)</f>
        <v/>
      </c>
    </row>
    <row r="276" ht="12.75" customHeight="1" s="199">
      <c r="C276" s="386" t="n">
        <v>265</v>
      </c>
      <c r="D276" s="387">
        <f>D275+E275</f>
        <v/>
      </c>
      <c r="E276" s="388">
        <f>G276-F276</f>
        <v/>
      </c>
      <c r="F276" s="389">
        <f>-$C$6*D276</f>
        <v/>
      </c>
      <c r="G276" s="385">
        <f>IF(C276&gt;$C$8,0,$C$9)</f>
        <v/>
      </c>
    </row>
    <row r="277" ht="12.75" customHeight="1" s="199">
      <c r="C277" s="386" t="n">
        <v>266</v>
      </c>
      <c r="D277" s="387">
        <f>D276+E276</f>
        <v/>
      </c>
      <c r="E277" s="388">
        <f>G277-F277</f>
        <v/>
      </c>
      <c r="F277" s="389">
        <f>-$C$6*D277</f>
        <v/>
      </c>
      <c r="G277" s="385">
        <f>IF(C277&gt;$C$8,0,$C$9)</f>
        <v/>
      </c>
    </row>
    <row r="278" ht="12.75" customHeight="1" s="199">
      <c r="C278" s="386" t="n">
        <v>267</v>
      </c>
      <c r="D278" s="387">
        <f>D277+E277</f>
        <v/>
      </c>
      <c r="E278" s="388">
        <f>G278-F278</f>
        <v/>
      </c>
      <c r="F278" s="389">
        <f>-$C$6*D278</f>
        <v/>
      </c>
      <c r="G278" s="385">
        <f>IF(C278&gt;$C$8,0,$C$9)</f>
        <v/>
      </c>
    </row>
    <row r="279" ht="12.75" customHeight="1" s="199">
      <c r="C279" s="386" t="n">
        <v>268</v>
      </c>
      <c r="D279" s="387">
        <f>D278+E278</f>
        <v/>
      </c>
      <c r="E279" s="388">
        <f>G279-F279</f>
        <v/>
      </c>
      <c r="F279" s="389">
        <f>-$C$6*D279</f>
        <v/>
      </c>
      <c r="G279" s="385">
        <f>IF(C279&gt;$C$8,0,$C$9)</f>
        <v/>
      </c>
    </row>
    <row r="280" ht="12.75" customHeight="1" s="199">
      <c r="C280" s="386" t="n">
        <v>269</v>
      </c>
      <c r="D280" s="387">
        <f>D279+E279</f>
        <v/>
      </c>
      <c r="E280" s="388">
        <f>G280-F280</f>
        <v/>
      </c>
      <c r="F280" s="389">
        <f>-$C$6*D280</f>
        <v/>
      </c>
      <c r="G280" s="385">
        <f>IF(C280&gt;$C$8,0,$C$9)</f>
        <v/>
      </c>
    </row>
    <row r="281" ht="12.75" customHeight="1" s="199">
      <c r="C281" s="386" t="n">
        <v>270</v>
      </c>
      <c r="D281" s="387">
        <f>D280+E280</f>
        <v/>
      </c>
      <c r="E281" s="388">
        <f>G281-F281</f>
        <v/>
      </c>
      <c r="F281" s="389">
        <f>-$C$6*D281</f>
        <v/>
      </c>
      <c r="G281" s="385">
        <f>IF(C281&gt;$C$8,0,$C$9)</f>
        <v/>
      </c>
    </row>
    <row r="282" ht="12.75" customHeight="1" s="199">
      <c r="C282" s="386" t="n">
        <v>271</v>
      </c>
      <c r="D282" s="387">
        <f>D281+E281</f>
        <v/>
      </c>
      <c r="E282" s="388">
        <f>G282-F282</f>
        <v/>
      </c>
      <c r="F282" s="389">
        <f>-$C$6*D282</f>
        <v/>
      </c>
      <c r="G282" s="385">
        <f>IF(C282&gt;$C$8,0,$C$9)</f>
        <v/>
      </c>
    </row>
    <row r="283" ht="12.75" customHeight="1" s="199">
      <c r="C283" s="386" t="n">
        <v>272</v>
      </c>
      <c r="D283" s="387">
        <f>D282+E282</f>
        <v/>
      </c>
      <c r="E283" s="388">
        <f>G283-F283</f>
        <v/>
      </c>
      <c r="F283" s="389">
        <f>-$C$6*D283</f>
        <v/>
      </c>
      <c r="G283" s="385">
        <f>IF(C283&gt;$C$8,0,$C$9)</f>
        <v/>
      </c>
    </row>
    <row r="284" ht="12.75" customHeight="1" s="199">
      <c r="C284" s="386" t="n">
        <v>273</v>
      </c>
      <c r="D284" s="387">
        <f>D283+E283</f>
        <v/>
      </c>
      <c r="E284" s="388">
        <f>G284-F284</f>
        <v/>
      </c>
      <c r="F284" s="389">
        <f>-$C$6*D284</f>
        <v/>
      </c>
      <c r="G284" s="385">
        <f>IF(C284&gt;$C$8,0,$C$9)</f>
        <v/>
      </c>
    </row>
    <row r="285" ht="12.75" customHeight="1" s="199">
      <c r="C285" s="386" t="n">
        <v>274</v>
      </c>
      <c r="D285" s="387">
        <f>D284+E284</f>
        <v/>
      </c>
      <c r="E285" s="388">
        <f>G285-F285</f>
        <v/>
      </c>
      <c r="F285" s="389">
        <f>-$C$6*D285</f>
        <v/>
      </c>
      <c r="G285" s="385">
        <f>IF(C285&gt;$C$8,0,$C$9)</f>
        <v/>
      </c>
    </row>
    <row r="286" ht="12.75" customHeight="1" s="199">
      <c r="C286" s="386" t="n">
        <v>275</v>
      </c>
      <c r="D286" s="387">
        <f>D285+E285</f>
        <v/>
      </c>
      <c r="E286" s="388">
        <f>G286-F286</f>
        <v/>
      </c>
      <c r="F286" s="389">
        <f>-$C$6*D286</f>
        <v/>
      </c>
      <c r="G286" s="385">
        <f>IF(C286&gt;$C$8,0,$C$9)</f>
        <v/>
      </c>
    </row>
    <row r="287" ht="12.75" customHeight="1" s="199">
      <c r="C287" s="386" t="n">
        <v>276</v>
      </c>
      <c r="D287" s="387">
        <f>D286+E286</f>
        <v/>
      </c>
      <c r="E287" s="388">
        <f>G287-F287</f>
        <v/>
      </c>
      <c r="F287" s="389">
        <f>-$C$6*D287</f>
        <v/>
      </c>
      <c r="G287" s="385">
        <f>IF(C287&gt;$C$8,0,$C$9)</f>
        <v/>
      </c>
    </row>
    <row r="288" ht="12.75" customHeight="1" s="199">
      <c r="C288" s="386" t="n">
        <v>277</v>
      </c>
      <c r="D288" s="387">
        <f>D287+E287</f>
        <v/>
      </c>
      <c r="E288" s="388">
        <f>G288-F288</f>
        <v/>
      </c>
      <c r="F288" s="389">
        <f>-$C$6*D288</f>
        <v/>
      </c>
      <c r="G288" s="385">
        <f>IF(C288&gt;$C$8,0,$C$9)</f>
        <v/>
      </c>
    </row>
    <row r="289" ht="12.75" customHeight="1" s="199">
      <c r="C289" s="386" t="n">
        <v>278</v>
      </c>
      <c r="D289" s="387">
        <f>D288+E288</f>
        <v/>
      </c>
      <c r="E289" s="388">
        <f>G289-F289</f>
        <v/>
      </c>
      <c r="F289" s="389">
        <f>-$C$6*D289</f>
        <v/>
      </c>
      <c r="G289" s="385">
        <f>IF(C289&gt;$C$8,0,$C$9)</f>
        <v/>
      </c>
    </row>
    <row r="290" ht="12.75" customHeight="1" s="199">
      <c r="C290" s="386" t="n">
        <v>279</v>
      </c>
      <c r="D290" s="387">
        <f>D289+E289</f>
        <v/>
      </c>
      <c r="E290" s="388">
        <f>G290-F290</f>
        <v/>
      </c>
      <c r="F290" s="389">
        <f>-$C$6*D290</f>
        <v/>
      </c>
      <c r="G290" s="385">
        <f>IF(C290&gt;$C$8,0,$C$9)</f>
        <v/>
      </c>
    </row>
    <row r="291" ht="12.75" customHeight="1" s="199">
      <c r="C291" s="386" t="n">
        <v>280</v>
      </c>
      <c r="D291" s="387">
        <f>D290+E290</f>
        <v/>
      </c>
      <c r="E291" s="388">
        <f>G291-F291</f>
        <v/>
      </c>
      <c r="F291" s="389">
        <f>-$C$6*D291</f>
        <v/>
      </c>
      <c r="G291" s="385">
        <f>IF(C291&gt;$C$8,0,$C$9)</f>
        <v/>
      </c>
    </row>
    <row r="292" ht="12.75" customHeight="1" s="199">
      <c r="C292" s="386" t="n">
        <v>281</v>
      </c>
      <c r="D292" s="387">
        <f>D291+E291</f>
        <v/>
      </c>
      <c r="E292" s="388">
        <f>G292-F292</f>
        <v/>
      </c>
      <c r="F292" s="389">
        <f>-$C$6*D292</f>
        <v/>
      </c>
      <c r="G292" s="385">
        <f>IF(C292&gt;$C$8,0,$C$9)</f>
        <v/>
      </c>
    </row>
    <row r="293" ht="12.75" customHeight="1" s="199">
      <c r="C293" s="386" t="n">
        <v>282</v>
      </c>
      <c r="D293" s="387">
        <f>D292+E292</f>
        <v/>
      </c>
      <c r="E293" s="388">
        <f>G293-F293</f>
        <v/>
      </c>
      <c r="F293" s="389">
        <f>-$C$6*D293</f>
        <v/>
      </c>
      <c r="G293" s="385">
        <f>IF(C293&gt;$C$8,0,$C$9)</f>
        <v/>
      </c>
    </row>
    <row r="294" ht="12.75" customHeight="1" s="199">
      <c r="C294" s="386" t="n">
        <v>283</v>
      </c>
      <c r="D294" s="387">
        <f>D293+E293</f>
        <v/>
      </c>
      <c r="E294" s="388">
        <f>G294-F294</f>
        <v/>
      </c>
      <c r="F294" s="389">
        <f>-$C$6*D294</f>
        <v/>
      </c>
      <c r="G294" s="385">
        <f>IF(C294&gt;$C$8,0,$C$9)</f>
        <v/>
      </c>
    </row>
    <row r="295" ht="12.75" customHeight="1" s="199">
      <c r="C295" s="386" t="n">
        <v>284</v>
      </c>
      <c r="D295" s="387">
        <f>D294+E294</f>
        <v/>
      </c>
      <c r="E295" s="388">
        <f>G295-F295</f>
        <v/>
      </c>
      <c r="F295" s="389">
        <f>-$C$6*D295</f>
        <v/>
      </c>
      <c r="G295" s="385">
        <f>IF(C295&gt;$C$8,0,$C$9)</f>
        <v/>
      </c>
    </row>
    <row r="296" ht="12.75" customHeight="1" s="199">
      <c r="C296" s="386" t="n">
        <v>285</v>
      </c>
      <c r="D296" s="387">
        <f>D295+E295</f>
        <v/>
      </c>
      <c r="E296" s="388">
        <f>G296-F296</f>
        <v/>
      </c>
      <c r="F296" s="389">
        <f>-$C$6*D296</f>
        <v/>
      </c>
      <c r="G296" s="385">
        <f>IF(C296&gt;$C$8,0,$C$9)</f>
        <v/>
      </c>
    </row>
    <row r="297" ht="12.75" customHeight="1" s="199">
      <c r="C297" s="386" t="n">
        <v>286</v>
      </c>
      <c r="D297" s="387">
        <f>D296+E296</f>
        <v/>
      </c>
      <c r="E297" s="388">
        <f>G297-F297</f>
        <v/>
      </c>
      <c r="F297" s="389">
        <f>-$C$6*D297</f>
        <v/>
      </c>
      <c r="G297" s="385">
        <f>IF(C297&gt;$C$8,0,$C$9)</f>
        <v/>
      </c>
    </row>
    <row r="298" ht="12.75" customHeight="1" s="199">
      <c r="C298" s="386" t="n">
        <v>287</v>
      </c>
      <c r="D298" s="387">
        <f>D297+E297</f>
        <v/>
      </c>
      <c r="E298" s="388">
        <f>G298-F298</f>
        <v/>
      </c>
      <c r="F298" s="389">
        <f>-$C$6*D298</f>
        <v/>
      </c>
      <c r="G298" s="385">
        <f>IF(C298&gt;$C$8,0,$C$9)</f>
        <v/>
      </c>
    </row>
    <row r="299" ht="12.75" customHeight="1" s="199">
      <c r="C299" s="386" t="n">
        <v>288</v>
      </c>
      <c r="D299" s="387">
        <f>D298+E298</f>
        <v/>
      </c>
      <c r="E299" s="388">
        <f>G299-F299</f>
        <v/>
      </c>
      <c r="F299" s="389">
        <f>-$C$6*D299</f>
        <v/>
      </c>
      <c r="G299" s="385">
        <f>IF(C299&gt;$C$8,0,$C$9)</f>
        <v/>
      </c>
    </row>
    <row r="300" ht="12.75" customHeight="1" s="199">
      <c r="C300" s="386" t="n">
        <v>289</v>
      </c>
      <c r="D300" s="387">
        <f>D299+E299</f>
        <v/>
      </c>
      <c r="E300" s="388">
        <f>G300-F300</f>
        <v/>
      </c>
      <c r="F300" s="389">
        <f>-$C$6*D300</f>
        <v/>
      </c>
      <c r="G300" s="385">
        <f>IF(C300&gt;$C$8,0,$C$9)</f>
        <v/>
      </c>
    </row>
    <row r="301" ht="12.75" customHeight="1" s="199">
      <c r="C301" s="386" t="n">
        <v>290</v>
      </c>
      <c r="D301" s="387">
        <f>D300+E300</f>
        <v/>
      </c>
      <c r="E301" s="388">
        <f>G301-F301</f>
        <v/>
      </c>
      <c r="F301" s="389">
        <f>-$C$6*D301</f>
        <v/>
      </c>
      <c r="G301" s="385">
        <f>IF(C301&gt;$C$8,0,$C$9)</f>
        <v/>
      </c>
    </row>
    <row r="302" ht="12.75" customHeight="1" s="199">
      <c r="C302" s="386" t="n">
        <v>291</v>
      </c>
      <c r="D302" s="387">
        <f>D301+E301</f>
        <v/>
      </c>
      <c r="E302" s="388">
        <f>G302-F302</f>
        <v/>
      </c>
      <c r="F302" s="389">
        <f>-$C$6*D302</f>
        <v/>
      </c>
      <c r="G302" s="385">
        <f>IF(C302&gt;$C$8,0,$C$9)</f>
        <v/>
      </c>
    </row>
    <row r="303" ht="12.75" customHeight="1" s="199">
      <c r="C303" s="386" t="n">
        <v>292</v>
      </c>
      <c r="D303" s="387">
        <f>D302+E302</f>
        <v/>
      </c>
      <c r="E303" s="388">
        <f>G303-F303</f>
        <v/>
      </c>
      <c r="F303" s="389">
        <f>-$C$6*D303</f>
        <v/>
      </c>
      <c r="G303" s="385">
        <f>IF(C303&gt;$C$8,0,$C$9)</f>
        <v/>
      </c>
    </row>
    <row r="304" ht="12.75" customHeight="1" s="199">
      <c r="C304" s="386" t="n">
        <v>293</v>
      </c>
      <c r="D304" s="387">
        <f>D303+E303</f>
        <v/>
      </c>
      <c r="E304" s="388">
        <f>G304-F304</f>
        <v/>
      </c>
      <c r="F304" s="389">
        <f>-$C$6*D304</f>
        <v/>
      </c>
      <c r="G304" s="385">
        <f>IF(C304&gt;$C$8,0,$C$9)</f>
        <v/>
      </c>
    </row>
    <row r="305" ht="12.75" customHeight="1" s="199">
      <c r="C305" s="386" t="n">
        <v>294</v>
      </c>
      <c r="D305" s="387">
        <f>D304+E304</f>
        <v/>
      </c>
      <c r="E305" s="388">
        <f>G305-F305</f>
        <v/>
      </c>
      <c r="F305" s="389">
        <f>-$C$6*D305</f>
        <v/>
      </c>
      <c r="G305" s="385">
        <f>IF(C305&gt;$C$8,0,$C$9)</f>
        <v/>
      </c>
    </row>
    <row r="306" ht="12.75" customHeight="1" s="199">
      <c r="C306" s="386" t="n">
        <v>295</v>
      </c>
      <c r="D306" s="387">
        <f>D305+E305</f>
        <v/>
      </c>
      <c r="E306" s="388">
        <f>G306-F306</f>
        <v/>
      </c>
      <c r="F306" s="389">
        <f>-$C$6*D306</f>
        <v/>
      </c>
      <c r="G306" s="385">
        <f>IF(C306&gt;$C$8,0,$C$9)</f>
        <v/>
      </c>
    </row>
    <row r="307" ht="12.75" customHeight="1" s="199">
      <c r="C307" s="386" t="n">
        <v>296</v>
      </c>
      <c r="D307" s="387">
        <f>D306+E306</f>
        <v/>
      </c>
      <c r="E307" s="388">
        <f>G307-F307</f>
        <v/>
      </c>
      <c r="F307" s="389">
        <f>-$C$6*D307</f>
        <v/>
      </c>
      <c r="G307" s="385">
        <f>IF(C307&gt;$C$8,0,$C$9)</f>
        <v/>
      </c>
    </row>
    <row r="308" ht="12.75" customHeight="1" s="199">
      <c r="C308" s="386" t="n">
        <v>297</v>
      </c>
      <c r="D308" s="387">
        <f>D307+E307</f>
        <v/>
      </c>
      <c r="E308" s="388">
        <f>G308-F308</f>
        <v/>
      </c>
      <c r="F308" s="389">
        <f>-$C$6*D308</f>
        <v/>
      </c>
      <c r="G308" s="385">
        <f>IF(C308&gt;$C$8,0,$C$9)</f>
        <v/>
      </c>
    </row>
    <row r="309" ht="12.75" customHeight="1" s="199">
      <c r="C309" s="386" t="n">
        <v>298</v>
      </c>
      <c r="D309" s="387">
        <f>D308+E308</f>
        <v/>
      </c>
      <c r="E309" s="388">
        <f>G309-F309</f>
        <v/>
      </c>
      <c r="F309" s="389">
        <f>-$C$6*D309</f>
        <v/>
      </c>
      <c r="G309" s="385">
        <f>IF(C309&gt;$C$8,0,$C$9)</f>
        <v/>
      </c>
    </row>
    <row r="310" ht="12.75" customHeight="1" s="199">
      <c r="C310" s="386" t="n">
        <v>299</v>
      </c>
      <c r="D310" s="387">
        <f>D309+E309</f>
        <v/>
      </c>
      <c r="E310" s="388">
        <f>G310-F310</f>
        <v/>
      </c>
      <c r="F310" s="389">
        <f>-$C$6*D310</f>
        <v/>
      </c>
      <c r="G310" s="385">
        <f>IF(C310&gt;$C$8,0,$C$9)</f>
        <v/>
      </c>
    </row>
    <row r="311" ht="12.75" customHeight="1" s="199">
      <c r="C311" s="386" t="n">
        <v>300</v>
      </c>
      <c r="D311" s="387">
        <f>D310+E310</f>
        <v/>
      </c>
      <c r="E311" s="388">
        <f>G311-F311</f>
        <v/>
      </c>
      <c r="F311" s="389">
        <f>-$C$6*D311</f>
        <v/>
      </c>
      <c r="G311" s="385">
        <f>IF(C311&gt;$C$8,0,$C$9)</f>
        <v/>
      </c>
    </row>
    <row r="312" ht="12.75" customHeight="1" s="199">
      <c r="C312" s="386" t="n">
        <v>301</v>
      </c>
      <c r="D312" s="387">
        <f>D311+E311</f>
        <v/>
      </c>
      <c r="E312" s="388">
        <f>G312-F312</f>
        <v/>
      </c>
      <c r="F312" s="389">
        <f>-$C$6*D312</f>
        <v/>
      </c>
      <c r="G312" s="385">
        <f>IF(C312&gt;$C$8,0,$C$9)</f>
        <v/>
      </c>
    </row>
    <row r="313" ht="12.75" customHeight="1" s="199">
      <c r="C313" s="386" t="n">
        <v>302</v>
      </c>
      <c r="D313" s="387">
        <f>D312+E312</f>
        <v/>
      </c>
      <c r="E313" s="388">
        <f>G313-F313</f>
        <v/>
      </c>
      <c r="F313" s="389">
        <f>-$C$6*D313</f>
        <v/>
      </c>
      <c r="G313" s="385">
        <f>IF(C313&gt;$C$8,0,$C$9)</f>
        <v/>
      </c>
    </row>
    <row r="314" ht="12.75" customHeight="1" s="199">
      <c r="C314" s="386" t="n">
        <v>303</v>
      </c>
      <c r="D314" s="387">
        <f>D313+E313</f>
        <v/>
      </c>
      <c r="E314" s="388">
        <f>G314-F314</f>
        <v/>
      </c>
      <c r="F314" s="389">
        <f>-$C$6*D314</f>
        <v/>
      </c>
      <c r="G314" s="385">
        <f>IF(C314&gt;$C$8,0,$C$9)</f>
        <v/>
      </c>
    </row>
    <row r="315" ht="12.75" customHeight="1" s="199">
      <c r="C315" s="386" t="n">
        <v>304</v>
      </c>
      <c r="D315" s="387">
        <f>D314+E314</f>
        <v/>
      </c>
      <c r="E315" s="388">
        <f>G315-F315</f>
        <v/>
      </c>
      <c r="F315" s="389">
        <f>-$C$6*D315</f>
        <v/>
      </c>
      <c r="G315" s="385">
        <f>IF(C315&gt;$C$8,0,$C$9)</f>
        <v/>
      </c>
    </row>
    <row r="316" ht="12.75" customHeight="1" s="199">
      <c r="C316" s="386" t="n">
        <v>305</v>
      </c>
      <c r="D316" s="387">
        <f>D315+E315</f>
        <v/>
      </c>
      <c r="E316" s="388">
        <f>G316-F316</f>
        <v/>
      </c>
      <c r="F316" s="389">
        <f>-$C$6*D316</f>
        <v/>
      </c>
      <c r="G316" s="385">
        <f>IF(C316&gt;$C$8,0,$C$9)</f>
        <v/>
      </c>
    </row>
    <row r="317" ht="12.75" customHeight="1" s="199">
      <c r="C317" s="386" t="n">
        <v>306</v>
      </c>
      <c r="D317" s="387">
        <f>D316+E316</f>
        <v/>
      </c>
      <c r="E317" s="388">
        <f>G317-F317</f>
        <v/>
      </c>
      <c r="F317" s="389">
        <f>-$C$6*D317</f>
        <v/>
      </c>
      <c r="G317" s="385">
        <f>IF(C317&gt;$C$8,0,$C$9)</f>
        <v/>
      </c>
    </row>
    <row r="318" ht="12.75" customHeight="1" s="199">
      <c r="C318" s="386" t="n">
        <v>307</v>
      </c>
      <c r="D318" s="387">
        <f>D317+E317</f>
        <v/>
      </c>
      <c r="E318" s="388">
        <f>G318-F318</f>
        <v/>
      </c>
      <c r="F318" s="389">
        <f>-$C$6*D318</f>
        <v/>
      </c>
      <c r="G318" s="385">
        <f>IF(C318&gt;$C$8,0,$C$9)</f>
        <v/>
      </c>
    </row>
    <row r="319" ht="12.75" customHeight="1" s="199">
      <c r="C319" s="386" t="n">
        <v>308</v>
      </c>
      <c r="D319" s="387">
        <f>D318+E318</f>
        <v/>
      </c>
      <c r="E319" s="388">
        <f>G319-F319</f>
        <v/>
      </c>
      <c r="F319" s="389">
        <f>-$C$6*D319</f>
        <v/>
      </c>
      <c r="G319" s="385">
        <f>IF(C319&gt;$C$8,0,$C$9)</f>
        <v/>
      </c>
    </row>
    <row r="320" ht="12.75" customHeight="1" s="199">
      <c r="C320" s="386" t="n">
        <v>309</v>
      </c>
      <c r="D320" s="387">
        <f>D319+E319</f>
        <v/>
      </c>
      <c r="E320" s="388">
        <f>G320-F320</f>
        <v/>
      </c>
      <c r="F320" s="389">
        <f>-$C$6*D320</f>
        <v/>
      </c>
      <c r="G320" s="385">
        <f>IF(C320&gt;$C$8,0,$C$9)</f>
        <v/>
      </c>
    </row>
    <row r="321" ht="12.75" customHeight="1" s="199">
      <c r="C321" s="386" t="n">
        <v>310</v>
      </c>
      <c r="D321" s="387">
        <f>D320+E320</f>
        <v/>
      </c>
      <c r="E321" s="388">
        <f>G321-F321</f>
        <v/>
      </c>
      <c r="F321" s="389">
        <f>-$C$6*D321</f>
        <v/>
      </c>
      <c r="G321" s="385">
        <f>IF(C321&gt;$C$8,0,$C$9)</f>
        <v/>
      </c>
    </row>
    <row r="322" ht="12.75" customHeight="1" s="199">
      <c r="C322" s="386" t="n">
        <v>311</v>
      </c>
      <c r="D322" s="387">
        <f>D321+E321</f>
        <v/>
      </c>
      <c r="E322" s="388">
        <f>G322-F322</f>
        <v/>
      </c>
      <c r="F322" s="389">
        <f>-$C$6*D322</f>
        <v/>
      </c>
      <c r="G322" s="385">
        <f>IF(C322&gt;$C$8,0,$C$9)</f>
        <v/>
      </c>
    </row>
    <row r="323" ht="12.75" customHeight="1" s="199">
      <c r="C323" s="386" t="n">
        <v>312</v>
      </c>
      <c r="D323" s="387">
        <f>D322+E322</f>
        <v/>
      </c>
      <c r="E323" s="388">
        <f>G323-F323</f>
        <v/>
      </c>
      <c r="F323" s="389">
        <f>-$C$6*D323</f>
        <v/>
      </c>
      <c r="G323" s="385">
        <f>IF(C323&gt;$C$8,0,$C$9)</f>
        <v/>
      </c>
    </row>
    <row r="324" ht="12.75" customHeight="1" s="199">
      <c r="C324" s="386" t="n">
        <v>313</v>
      </c>
      <c r="D324" s="387">
        <f>D323+E323</f>
        <v/>
      </c>
      <c r="E324" s="388">
        <f>G324-F324</f>
        <v/>
      </c>
      <c r="F324" s="389">
        <f>-$C$6*D324</f>
        <v/>
      </c>
      <c r="G324" s="385">
        <f>IF(C324&gt;$C$8,0,$C$9)</f>
        <v/>
      </c>
    </row>
    <row r="325" ht="12.75" customHeight="1" s="199">
      <c r="C325" s="386" t="n">
        <v>314</v>
      </c>
      <c r="D325" s="387">
        <f>D324+E324</f>
        <v/>
      </c>
      <c r="E325" s="388">
        <f>G325-F325</f>
        <v/>
      </c>
      <c r="F325" s="389">
        <f>-$C$6*D325</f>
        <v/>
      </c>
      <c r="G325" s="385">
        <f>IF(C325&gt;$C$8,0,$C$9)</f>
        <v/>
      </c>
    </row>
    <row r="326" ht="12.75" customHeight="1" s="199">
      <c r="C326" s="386" t="n">
        <v>315</v>
      </c>
      <c r="D326" s="387">
        <f>D325+E325</f>
        <v/>
      </c>
      <c r="E326" s="388">
        <f>G326-F326</f>
        <v/>
      </c>
      <c r="F326" s="389">
        <f>-$C$6*D326</f>
        <v/>
      </c>
      <c r="G326" s="385">
        <f>IF(C326&gt;$C$8,0,$C$9)</f>
        <v/>
      </c>
    </row>
    <row r="327" ht="12.75" customHeight="1" s="199">
      <c r="C327" s="386" t="n">
        <v>316</v>
      </c>
      <c r="D327" s="387">
        <f>D326+E326</f>
        <v/>
      </c>
      <c r="E327" s="388">
        <f>G327-F327</f>
        <v/>
      </c>
      <c r="F327" s="389">
        <f>-$C$6*D327</f>
        <v/>
      </c>
      <c r="G327" s="385">
        <f>IF(C327&gt;$C$8,0,$C$9)</f>
        <v/>
      </c>
    </row>
    <row r="328" ht="12.75" customHeight="1" s="199">
      <c r="C328" s="386" t="n">
        <v>317</v>
      </c>
      <c r="D328" s="387">
        <f>D327+E327</f>
        <v/>
      </c>
      <c r="E328" s="388">
        <f>G328-F328</f>
        <v/>
      </c>
      <c r="F328" s="389">
        <f>-$C$6*D328</f>
        <v/>
      </c>
      <c r="G328" s="385">
        <f>IF(C328&gt;$C$8,0,$C$9)</f>
        <v/>
      </c>
    </row>
    <row r="329" ht="12.75" customHeight="1" s="199">
      <c r="C329" s="386" t="n">
        <v>318</v>
      </c>
      <c r="D329" s="387">
        <f>D328+E328</f>
        <v/>
      </c>
      <c r="E329" s="388">
        <f>G329-F329</f>
        <v/>
      </c>
      <c r="F329" s="389">
        <f>-$C$6*D329</f>
        <v/>
      </c>
      <c r="G329" s="385">
        <f>IF(C329&gt;$C$8,0,$C$9)</f>
        <v/>
      </c>
    </row>
    <row r="330" ht="12.75" customHeight="1" s="199">
      <c r="C330" s="386" t="n">
        <v>319</v>
      </c>
      <c r="D330" s="387">
        <f>D329+E329</f>
        <v/>
      </c>
      <c r="E330" s="388">
        <f>G330-F330</f>
        <v/>
      </c>
      <c r="F330" s="389">
        <f>-$C$6*D330</f>
        <v/>
      </c>
      <c r="G330" s="385">
        <f>IF(C330&gt;$C$8,0,$C$9)</f>
        <v/>
      </c>
    </row>
    <row r="331" ht="12.75" customHeight="1" s="199">
      <c r="C331" s="386" t="n">
        <v>320</v>
      </c>
      <c r="D331" s="387">
        <f>D330+E330</f>
        <v/>
      </c>
      <c r="E331" s="388">
        <f>G331-F331</f>
        <v/>
      </c>
      <c r="F331" s="389">
        <f>-$C$6*D331</f>
        <v/>
      </c>
      <c r="G331" s="385">
        <f>IF(C331&gt;$C$8,0,$C$9)</f>
        <v/>
      </c>
    </row>
    <row r="332" ht="12.75" customHeight="1" s="199">
      <c r="C332" s="386" t="n">
        <v>321</v>
      </c>
      <c r="D332" s="387">
        <f>D331+E331</f>
        <v/>
      </c>
      <c r="E332" s="388">
        <f>G332-F332</f>
        <v/>
      </c>
      <c r="F332" s="389">
        <f>-$C$6*D332</f>
        <v/>
      </c>
      <c r="G332" s="385">
        <f>IF(C332&gt;$C$8,0,$C$9)</f>
        <v/>
      </c>
    </row>
    <row r="333" ht="12.75" customHeight="1" s="199">
      <c r="C333" s="386" t="n">
        <v>322</v>
      </c>
      <c r="D333" s="387">
        <f>D332+E332</f>
        <v/>
      </c>
      <c r="E333" s="388">
        <f>G333-F333</f>
        <v/>
      </c>
      <c r="F333" s="389">
        <f>-$C$6*D333</f>
        <v/>
      </c>
      <c r="G333" s="385">
        <f>IF(C333&gt;$C$8,0,$C$9)</f>
        <v/>
      </c>
    </row>
    <row r="334" ht="12.75" customHeight="1" s="199">
      <c r="C334" s="386" t="n">
        <v>323</v>
      </c>
      <c r="D334" s="387">
        <f>D333+E333</f>
        <v/>
      </c>
      <c r="E334" s="388">
        <f>G334-F334</f>
        <v/>
      </c>
      <c r="F334" s="389">
        <f>-$C$6*D334</f>
        <v/>
      </c>
      <c r="G334" s="385">
        <f>IF(C334&gt;$C$8,0,$C$9)</f>
        <v/>
      </c>
    </row>
    <row r="335" ht="12.75" customHeight="1" s="199">
      <c r="C335" s="386" t="n">
        <v>324</v>
      </c>
      <c r="D335" s="387">
        <f>D334+E334</f>
        <v/>
      </c>
      <c r="E335" s="388">
        <f>G335-F335</f>
        <v/>
      </c>
      <c r="F335" s="389">
        <f>-$C$6*D335</f>
        <v/>
      </c>
      <c r="G335" s="385">
        <f>IF(C335&gt;$C$8,0,$C$9)</f>
        <v/>
      </c>
    </row>
    <row r="336" ht="12.75" customHeight="1" s="199">
      <c r="C336" s="386" t="n">
        <v>325</v>
      </c>
      <c r="D336" s="387">
        <f>D335+E335</f>
        <v/>
      </c>
      <c r="E336" s="388">
        <f>G336-F336</f>
        <v/>
      </c>
      <c r="F336" s="389">
        <f>-$C$6*D336</f>
        <v/>
      </c>
      <c r="G336" s="385">
        <f>IF(C336&gt;$C$8,0,$C$9)</f>
        <v/>
      </c>
    </row>
    <row r="337" ht="12.75" customHeight="1" s="199">
      <c r="C337" s="386" t="n">
        <v>326</v>
      </c>
      <c r="D337" s="387">
        <f>D336+E336</f>
        <v/>
      </c>
      <c r="E337" s="388">
        <f>G337-F337</f>
        <v/>
      </c>
      <c r="F337" s="389">
        <f>-$C$6*D337</f>
        <v/>
      </c>
      <c r="G337" s="385">
        <f>IF(C337&gt;$C$8,0,$C$9)</f>
        <v/>
      </c>
    </row>
    <row r="338" ht="12.75" customHeight="1" s="199">
      <c r="C338" s="386" t="n">
        <v>327</v>
      </c>
      <c r="D338" s="387">
        <f>D337+E337</f>
        <v/>
      </c>
      <c r="E338" s="388">
        <f>G338-F338</f>
        <v/>
      </c>
      <c r="F338" s="389">
        <f>-$C$6*D338</f>
        <v/>
      </c>
      <c r="G338" s="385">
        <f>IF(C338&gt;$C$8,0,$C$9)</f>
        <v/>
      </c>
    </row>
    <row r="339" ht="12.75" customHeight="1" s="199">
      <c r="C339" s="386" t="n">
        <v>328</v>
      </c>
      <c r="D339" s="387">
        <f>D338+E338</f>
        <v/>
      </c>
      <c r="E339" s="388">
        <f>G339-F339</f>
        <v/>
      </c>
      <c r="F339" s="389">
        <f>-$C$6*D339</f>
        <v/>
      </c>
      <c r="G339" s="385">
        <f>IF(C339&gt;$C$8,0,$C$9)</f>
        <v/>
      </c>
    </row>
    <row r="340" ht="12.75" customHeight="1" s="199">
      <c r="C340" s="386" t="n">
        <v>329</v>
      </c>
      <c r="D340" s="387">
        <f>D339+E339</f>
        <v/>
      </c>
      <c r="E340" s="388">
        <f>G340-F340</f>
        <v/>
      </c>
      <c r="F340" s="389">
        <f>-$C$6*D340</f>
        <v/>
      </c>
      <c r="G340" s="385">
        <f>IF(C340&gt;$C$8,0,$C$9)</f>
        <v/>
      </c>
    </row>
    <row r="341" ht="12.75" customHeight="1" s="199">
      <c r="C341" s="386" t="n">
        <v>330</v>
      </c>
      <c r="D341" s="387">
        <f>D340+E340</f>
        <v/>
      </c>
      <c r="E341" s="388">
        <f>G341-F341</f>
        <v/>
      </c>
      <c r="F341" s="389">
        <f>-$C$6*D341</f>
        <v/>
      </c>
      <c r="G341" s="385">
        <f>IF(C341&gt;$C$8,0,$C$9)</f>
        <v/>
      </c>
    </row>
    <row r="342" ht="12.75" customHeight="1" s="199">
      <c r="C342" s="386" t="n">
        <v>331</v>
      </c>
      <c r="D342" s="387">
        <f>D341+E341</f>
        <v/>
      </c>
      <c r="E342" s="388">
        <f>G342-F342</f>
        <v/>
      </c>
      <c r="F342" s="389">
        <f>-$C$6*D342</f>
        <v/>
      </c>
      <c r="G342" s="385">
        <f>IF(C342&gt;$C$8,0,$C$9)</f>
        <v/>
      </c>
    </row>
    <row r="343" ht="12.75" customHeight="1" s="199">
      <c r="C343" s="386" t="n">
        <v>332</v>
      </c>
      <c r="D343" s="387">
        <f>D342+E342</f>
        <v/>
      </c>
      <c r="E343" s="388">
        <f>G343-F343</f>
        <v/>
      </c>
      <c r="F343" s="389">
        <f>-$C$6*D343</f>
        <v/>
      </c>
      <c r="G343" s="385">
        <f>IF(C343&gt;$C$8,0,$C$9)</f>
        <v/>
      </c>
    </row>
    <row r="344" ht="12.75" customHeight="1" s="199">
      <c r="C344" s="386" t="n">
        <v>333</v>
      </c>
      <c r="D344" s="387">
        <f>D343+E343</f>
        <v/>
      </c>
      <c r="E344" s="388">
        <f>G344-F344</f>
        <v/>
      </c>
      <c r="F344" s="389">
        <f>-$C$6*D344</f>
        <v/>
      </c>
      <c r="G344" s="385">
        <f>IF(C344&gt;$C$8,0,$C$9)</f>
        <v/>
      </c>
    </row>
    <row r="345" ht="12.75" customHeight="1" s="199">
      <c r="C345" s="386" t="n">
        <v>334</v>
      </c>
      <c r="D345" s="387">
        <f>D344+E344</f>
        <v/>
      </c>
      <c r="E345" s="388">
        <f>G345-F345</f>
        <v/>
      </c>
      <c r="F345" s="389">
        <f>-$C$6*D345</f>
        <v/>
      </c>
      <c r="G345" s="385">
        <f>IF(C345&gt;$C$8,0,$C$9)</f>
        <v/>
      </c>
    </row>
    <row r="346" ht="12.75" customHeight="1" s="199">
      <c r="C346" s="386" t="n">
        <v>335</v>
      </c>
      <c r="D346" s="387">
        <f>D345+E345</f>
        <v/>
      </c>
      <c r="E346" s="388">
        <f>G346-F346</f>
        <v/>
      </c>
      <c r="F346" s="389">
        <f>-$C$6*D346</f>
        <v/>
      </c>
      <c r="G346" s="385">
        <f>IF(C346&gt;$C$8,0,$C$9)</f>
        <v/>
      </c>
    </row>
    <row r="347" ht="12.75" customHeight="1" s="199">
      <c r="C347" s="386" t="n">
        <v>336</v>
      </c>
      <c r="D347" s="387">
        <f>D346+E346</f>
        <v/>
      </c>
      <c r="E347" s="388">
        <f>G347-F347</f>
        <v/>
      </c>
      <c r="F347" s="389">
        <f>-$C$6*D347</f>
        <v/>
      </c>
      <c r="G347" s="385">
        <f>IF(C347&gt;$C$8,0,$C$9)</f>
        <v/>
      </c>
    </row>
    <row r="348" ht="12.75" customHeight="1" s="199">
      <c r="C348" s="386" t="n">
        <v>337</v>
      </c>
      <c r="D348" s="387">
        <f>D347+E347</f>
        <v/>
      </c>
      <c r="E348" s="388">
        <f>G348-F348</f>
        <v/>
      </c>
      <c r="F348" s="389">
        <f>-$C$6*D348</f>
        <v/>
      </c>
      <c r="G348" s="385">
        <f>IF(C348&gt;$C$8,0,$C$9)</f>
        <v/>
      </c>
    </row>
    <row r="349" ht="12.75" customHeight="1" s="199">
      <c r="C349" s="386" t="n">
        <v>338</v>
      </c>
      <c r="D349" s="387">
        <f>D348+E348</f>
        <v/>
      </c>
      <c r="E349" s="388">
        <f>G349-F349</f>
        <v/>
      </c>
      <c r="F349" s="389">
        <f>-$C$6*D349</f>
        <v/>
      </c>
      <c r="G349" s="385">
        <f>IF(C349&gt;$C$8,0,$C$9)</f>
        <v/>
      </c>
    </row>
    <row r="350" ht="12.75" customHeight="1" s="199">
      <c r="C350" s="386" t="n">
        <v>339</v>
      </c>
      <c r="D350" s="387">
        <f>D349+E349</f>
        <v/>
      </c>
      <c r="E350" s="388">
        <f>G350-F350</f>
        <v/>
      </c>
      <c r="F350" s="389">
        <f>-$C$6*D350</f>
        <v/>
      </c>
      <c r="G350" s="385">
        <f>IF(C350&gt;$C$8,0,$C$9)</f>
        <v/>
      </c>
    </row>
    <row r="351" ht="12.75" customHeight="1" s="199">
      <c r="C351" s="386" t="n">
        <v>340</v>
      </c>
      <c r="D351" s="387">
        <f>D350+E350</f>
        <v/>
      </c>
      <c r="E351" s="388">
        <f>G351-F351</f>
        <v/>
      </c>
      <c r="F351" s="389">
        <f>-$C$6*D351</f>
        <v/>
      </c>
      <c r="G351" s="385">
        <f>IF(C351&gt;$C$8,0,$C$9)</f>
        <v/>
      </c>
    </row>
    <row r="352" ht="12.75" customHeight="1" s="199">
      <c r="C352" s="386" t="n">
        <v>341</v>
      </c>
      <c r="D352" s="387">
        <f>D351+E351</f>
        <v/>
      </c>
      <c r="E352" s="388">
        <f>G352-F352</f>
        <v/>
      </c>
      <c r="F352" s="389">
        <f>-$C$6*D352</f>
        <v/>
      </c>
      <c r="G352" s="385">
        <f>IF(C352&gt;$C$8,0,$C$9)</f>
        <v/>
      </c>
    </row>
    <row r="353" ht="12.75" customHeight="1" s="199">
      <c r="C353" s="386" t="n">
        <v>342</v>
      </c>
      <c r="D353" s="387">
        <f>D352+E352</f>
        <v/>
      </c>
      <c r="E353" s="388">
        <f>G353-F353</f>
        <v/>
      </c>
      <c r="F353" s="389">
        <f>-$C$6*D353</f>
        <v/>
      </c>
      <c r="G353" s="385">
        <f>IF(C353&gt;$C$8,0,$C$9)</f>
        <v/>
      </c>
    </row>
    <row r="354" ht="12.75" customHeight="1" s="199">
      <c r="C354" s="386" t="n">
        <v>343</v>
      </c>
      <c r="D354" s="387">
        <f>D353+E353</f>
        <v/>
      </c>
      <c r="E354" s="388">
        <f>G354-F354</f>
        <v/>
      </c>
      <c r="F354" s="389">
        <f>-$C$6*D354</f>
        <v/>
      </c>
      <c r="G354" s="385">
        <f>IF(C354&gt;$C$8,0,$C$9)</f>
        <v/>
      </c>
    </row>
    <row r="355" ht="12.75" customHeight="1" s="199">
      <c r="C355" s="386" t="n">
        <v>344</v>
      </c>
      <c r="D355" s="387">
        <f>D354+E354</f>
        <v/>
      </c>
      <c r="E355" s="388">
        <f>G355-F355</f>
        <v/>
      </c>
      <c r="F355" s="389">
        <f>-$C$6*D355</f>
        <v/>
      </c>
      <c r="G355" s="385">
        <f>IF(C355&gt;$C$8,0,$C$9)</f>
        <v/>
      </c>
    </row>
    <row r="356" ht="12.75" customHeight="1" s="199">
      <c r="C356" s="386" t="n">
        <v>345</v>
      </c>
      <c r="D356" s="387">
        <f>D355+E355</f>
        <v/>
      </c>
      <c r="E356" s="388">
        <f>G356-F356</f>
        <v/>
      </c>
      <c r="F356" s="389">
        <f>-$C$6*D356</f>
        <v/>
      </c>
      <c r="G356" s="385">
        <f>IF(C356&gt;$C$8,0,$C$9)</f>
        <v/>
      </c>
    </row>
    <row r="357" ht="12.75" customHeight="1" s="199">
      <c r="C357" s="386" t="n">
        <v>346</v>
      </c>
      <c r="D357" s="387">
        <f>D356+E356</f>
        <v/>
      </c>
      <c r="E357" s="388">
        <f>G357-F357</f>
        <v/>
      </c>
      <c r="F357" s="389">
        <f>-$C$6*D357</f>
        <v/>
      </c>
      <c r="G357" s="385">
        <f>IF(C357&gt;$C$8,0,$C$9)</f>
        <v/>
      </c>
    </row>
    <row r="358" ht="12.75" customHeight="1" s="199">
      <c r="C358" s="386" t="n">
        <v>347</v>
      </c>
      <c r="D358" s="387">
        <f>D357+E357</f>
        <v/>
      </c>
      <c r="E358" s="388">
        <f>G358-F358</f>
        <v/>
      </c>
      <c r="F358" s="389">
        <f>-$C$6*D358</f>
        <v/>
      </c>
      <c r="G358" s="385">
        <f>IF(C358&gt;$C$8,0,$C$9)</f>
        <v/>
      </c>
    </row>
    <row r="359" ht="12.75" customHeight="1" s="199">
      <c r="C359" s="386" t="n">
        <v>348</v>
      </c>
      <c r="D359" s="387">
        <f>D358+E358</f>
        <v/>
      </c>
      <c r="E359" s="388">
        <f>G359-F359</f>
        <v/>
      </c>
      <c r="F359" s="389">
        <f>-$C$6*D359</f>
        <v/>
      </c>
      <c r="G359" s="385">
        <f>IF(C359&gt;$C$8,0,$C$9)</f>
        <v/>
      </c>
    </row>
    <row r="360" ht="12.75" customHeight="1" s="199">
      <c r="C360" s="386" t="n">
        <v>349</v>
      </c>
      <c r="D360" s="387">
        <f>D359+E359</f>
        <v/>
      </c>
      <c r="E360" s="388">
        <f>G360-F360</f>
        <v/>
      </c>
      <c r="F360" s="389">
        <f>-$C$6*D360</f>
        <v/>
      </c>
      <c r="G360" s="385">
        <f>IF(C360&gt;$C$8,0,$C$9)</f>
        <v/>
      </c>
    </row>
    <row r="361" ht="12.75" customHeight="1" s="199">
      <c r="C361" s="386" t="n">
        <v>350</v>
      </c>
      <c r="D361" s="387">
        <f>D360+E360</f>
        <v/>
      </c>
      <c r="E361" s="388">
        <f>G361-F361</f>
        <v/>
      </c>
      <c r="F361" s="389">
        <f>-$C$6*D361</f>
        <v/>
      </c>
      <c r="G361" s="385">
        <f>IF(C361&gt;$C$8,0,$C$9)</f>
        <v/>
      </c>
    </row>
    <row r="362" ht="12.75" customHeight="1" s="199">
      <c r="C362" s="386" t="n">
        <v>351</v>
      </c>
      <c r="D362" s="387">
        <f>D361+E361</f>
        <v/>
      </c>
      <c r="E362" s="388">
        <f>G362-F362</f>
        <v/>
      </c>
      <c r="F362" s="389">
        <f>-$C$6*D362</f>
        <v/>
      </c>
      <c r="G362" s="385">
        <f>IF(C362&gt;$C$8,0,$C$9)</f>
        <v/>
      </c>
    </row>
    <row r="363" ht="12.75" customHeight="1" s="199">
      <c r="C363" s="386" t="n">
        <v>352</v>
      </c>
      <c r="D363" s="387">
        <f>D362+E362</f>
        <v/>
      </c>
      <c r="E363" s="388">
        <f>G363-F363</f>
        <v/>
      </c>
      <c r="F363" s="389">
        <f>-$C$6*D363</f>
        <v/>
      </c>
      <c r="G363" s="385">
        <f>IF(C363&gt;$C$8,0,$C$9)</f>
        <v/>
      </c>
    </row>
    <row r="364" ht="12.75" customHeight="1" s="199">
      <c r="C364" s="386" t="n">
        <v>353</v>
      </c>
      <c r="D364" s="387">
        <f>D363+E363</f>
        <v/>
      </c>
      <c r="E364" s="388">
        <f>G364-F364</f>
        <v/>
      </c>
      <c r="F364" s="389">
        <f>-$C$6*D364</f>
        <v/>
      </c>
      <c r="G364" s="385">
        <f>IF(C364&gt;$C$8,0,$C$9)</f>
        <v/>
      </c>
    </row>
    <row r="365" ht="12.75" customHeight="1" s="199">
      <c r="C365" s="386" t="n">
        <v>354</v>
      </c>
      <c r="D365" s="387">
        <f>D364+E364</f>
        <v/>
      </c>
      <c r="E365" s="388">
        <f>G365-F365</f>
        <v/>
      </c>
      <c r="F365" s="389">
        <f>-$C$6*D365</f>
        <v/>
      </c>
      <c r="G365" s="385">
        <f>IF(C365&gt;$C$8,0,$C$9)</f>
        <v/>
      </c>
    </row>
    <row r="366" ht="12.75" customHeight="1" s="199">
      <c r="C366" s="386" t="n">
        <v>355</v>
      </c>
      <c r="D366" s="387">
        <f>D365+E365</f>
        <v/>
      </c>
      <c r="E366" s="388">
        <f>G366-F366</f>
        <v/>
      </c>
      <c r="F366" s="389">
        <f>-$C$6*D366</f>
        <v/>
      </c>
      <c r="G366" s="385">
        <f>IF(C366&gt;$C$8,0,$C$9)</f>
        <v/>
      </c>
    </row>
    <row r="367" ht="12.75" customHeight="1" s="199">
      <c r="C367" s="386" t="n">
        <v>356</v>
      </c>
      <c r="D367" s="387">
        <f>D366+E366</f>
        <v/>
      </c>
      <c r="E367" s="388">
        <f>G367-F367</f>
        <v/>
      </c>
      <c r="F367" s="389">
        <f>-$C$6*D367</f>
        <v/>
      </c>
      <c r="G367" s="385">
        <f>IF(C367&gt;$C$8,0,$C$9)</f>
        <v/>
      </c>
    </row>
    <row r="368" ht="12.75" customHeight="1" s="199">
      <c r="C368" s="386" t="n">
        <v>357</v>
      </c>
      <c r="D368" s="387">
        <f>D367+E367</f>
        <v/>
      </c>
      <c r="E368" s="388">
        <f>G368-F368</f>
        <v/>
      </c>
      <c r="F368" s="389">
        <f>-$C$6*D368</f>
        <v/>
      </c>
      <c r="G368" s="385">
        <f>IF(C368&gt;$C$8,0,$C$9)</f>
        <v/>
      </c>
    </row>
    <row r="369" ht="12.75" customHeight="1" s="199">
      <c r="C369" s="386" t="n">
        <v>358</v>
      </c>
      <c r="D369" s="387">
        <f>D368+E368</f>
        <v/>
      </c>
      <c r="E369" s="388">
        <f>G369-F369</f>
        <v/>
      </c>
      <c r="F369" s="389">
        <f>-$C$6*D369</f>
        <v/>
      </c>
      <c r="G369" s="385">
        <f>IF(C369&gt;$C$8,0,$C$9)</f>
        <v/>
      </c>
    </row>
    <row r="370" ht="12.75" customHeight="1" s="199">
      <c r="C370" s="386" t="n">
        <v>359</v>
      </c>
      <c r="D370" s="387">
        <f>D369+E369</f>
        <v/>
      </c>
      <c r="E370" s="388">
        <f>G370-F370</f>
        <v/>
      </c>
      <c r="F370" s="389">
        <f>-$C$6*D370</f>
        <v/>
      </c>
      <c r="G370" s="385">
        <f>IF(C370&gt;$C$8,0,$C$9)</f>
        <v/>
      </c>
    </row>
    <row r="371" ht="13.5" customHeight="1" s="199">
      <c r="C371" s="390" t="n">
        <v>360</v>
      </c>
      <c r="D371" s="391">
        <f>D370+E370</f>
        <v/>
      </c>
      <c r="E371" s="392">
        <f>G371-F371</f>
        <v/>
      </c>
      <c r="F371" s="393">
        <f>-$C$6*D371</f>
        <v/>
      </c>
      <c r="G371" s="394">
        <f>IF(C371&gt;$C$8,0,$C$9)</f>
        <v/>
      </c>
    </row>
    <row r="372" ht="12.75" customHeight="1" s="199">
      <c r="G372" s="395" t="n"/>
    </row>
    <row r="373" ht="12.75" customHeight="1" s="199">
      <c r="G373" s="395" t="n"/>
    </row>
    <row r="374" ht="12.75" customHeight="1" s="199">
      <c r="G374" s="395" t="n"/>
    </row>
  </sheetData>
  <mergeCells count="1">
    <mergeCell ref="E5:G7"/>
  </mergeCells>
  <printOptions horizontalCentered="1" verticalCentered="0" headings="0" gridLines="0" gridLinesSet="1"/>
  <pageMargins left="0.747916666666667" right="0.747916666666667" top="0.470138888888889" bottom="0.529861111111111" header="0.511805555555555" footer="0.511805555555555"/>
  <pageSetup orientation="portrait" paperSize="1" scale="100" fitToHeight="4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2002-05-15T20:19:48Z</dcterms:created>
  <dcterms:modified xsi:type="dcterms:W3CDTF">2026-08-18T02:25:16Z</dcterms:modified>
  <cp:lastModifiedBy>dkocan</cp:lastModifiedBy>
  <cp:revision>0</cp:revision>
  <cp:keywords> </cp:keywords>
  <cp:lastPrinted>2005-07-21T18:46:35Z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TemplateID" fmtid="{D5CDD505-2E9C-101B-9397-08002B2CF9AE}" pid="2">
    <vt:lpwstr>TC011840791033</vt:lpwstr>
  </property>
</Properties>
</file>